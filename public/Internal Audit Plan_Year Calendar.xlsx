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ISO\Revisions (Audits)\Revisionsplaner\"/>
    </mc:Choice>
  </mc:AlternateContent>
  <xr:revisionPtr revIDLastSave="0" documentId="13_ncr:1_{97C10E5D-0641-4511-8D83-A4CBF7CA398A}" xr6:coauthVersionLast="47" xr6:coauthVersionMax="47" xr10:uidLastSave="{00000000-0000-0000-0000-000000000000}"/>
  <bookViews>
    <workbookView xWindow="-120" yWindow="-120" windowWidth="29040" windowHeight="17520" tabRatio="22" firstSheet="1" activeTab="1" xr2:uid="{B4CA187B-73EB-42BE-92A5-4393D552C036}"/>
  </bookViews>
  <sheets>
    <sheet name="Revision History" sheetId="4" r:id="rId1"/>
    <sheet name="Calendar" sheetId="1" r:id="rId2"/>
    <sheet name="IATF 16949" sheetId="2" state="hidden" r:id="rId3"/>
    <sheet name="Data" sheetId="3" r:id="rId4"/>
    <sheet name="Yearly update check list " sheetId="5" r:id="rId5"/>
  </sheets>
  <externalReferences>
    <externalReference r:id="rId6"/>
    <externalReference r:id="rId7"/>
    <externalReference r:id="rId8"/>
    <externalReference r:id="rId9"/>
  </externalReferences>
  <definedNames>
    <definedName name="Fokusområden">#REF!</definedName>
    <definedName name="_xlnm.Recorder">#REF!</definedName>
    <definedName name="Q">[1]Лист2!$B$1:$B$5</definedName>
    <definedName name="_xlnm.Print_Area" localSheetId="0">[2]DFMEA!$A$11:$S$33</definedName>
    <definedName name="_xlnm.Print_Area">[3]DFMEA!$A$11:$S$33</definedName>
    <definedName name="_xlnm.Print_Titles" localSheetId="0">[2]DFMEA!$A$1:$IV$10</definedName>
    <definedName name="_xlnm.Print_Titles">[3]DFMEA!$A$1:$IV$10</definedName>
    <definedName name="Z">[3]DFMEA!$A$1:$IV$10</definedName>
    <definedName name="Статус" localSheetId="0">[4]Лист1!$B$2:$B$5</definedName>
    <definedName name="Статус">[1]Лист2!$B$1:$B$5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0" i="3" l="1"/>
  <c r="Q14" i="3" s="1"/>
  <c r="Q29" i="3"/>
  <c r="Q13" i="3" s="1"/>
  <c r="H12" i="3"/>
  <c r="G12" i="3"/>
  <c r="Q28" i="3"/>
  <c r="Q12" i="3" s="1"/>
  <c r="Q27" i="3"/>
  <c r="Q11" i="3" s="1"/>
  <c r="Q26" i="3"/>
  <c r="Q10" i="3" s="1"/>
  <c r="Q25" i="3"/>
  <c r="Q9" i="3" s="1"/>
  <c r="Q24" i="3"/>
  <c r="Q8" i="3" s="1"/>
  <c r="Q23" i="3"/>
  <c r="Q7" i="3" s="1"/>
  <c r="Q22" i="3"/>
  <c r="Q6" i="3" s="1"/>
  <c r="Q21" i="3"/>
  <c r="Q5" i="3" s="1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C6" i="3"/>
  <c r="N5" i="3"/>
  <c r="M5" i="3"/>
  <c r="L5" i="3"/>
  <c r="K5" i="3"/>
  <c r="J5" i="3"/>
  <c r="I5" i="3"/>
  <c r="H5" i="3"/>
  <c r="G5" i="3"/>
  <c r="F5" i="3"/>
  <c r="E5" i="3"/>
  <c r="D5" i="3"/>
  <c r="C5" i="3"/>
  <c r="R11" i="3"/>
  <c r="G72" i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R31" i="3"/>
  <c r="V33" i="3"/>
  <c r="R14" i="3"/>
  <c r="R13" i="3"/>
  <c r="R12" i="3"/>
  <c r="R10" i="3"/>
  <c r="R9" i="3"/>
  <c r="R8" i="3"/>
  <c r="R7" i="3"/>
  <c r="R6" i="3"/>
  <c r="R5" i="3"/>
  <c r="U32" i="3"/>
  <c r="U31" i="3"/>
  <c r="U30" i="3"/>
  <c r="U29" i="3"/>
  <c r="U28" i="3"/>
  <c r="U27" i="3"/>
  <c r="R15" i="3" l="1"/>
  <c r="Q15" i="3"/>
  <c r="Q31" i="3"/>
  <c r="G49" i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G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G16" i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U33" i="3" l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Sundqvist</author>
    <author>Regina De Paula</author>
    <author>Mehdi Hosseinpour</author>
  </authors>
  <commentList>
    <comment ref="K20" authorId="0" shapeId="0" xr:uid="{CEBA15AD-2556-480D-B6FA-83328545E5B2}">
      <text>
        <r>
          <rPr>
            <sz val="9"/>
            <color indexed="81"/>
            <rFont val="Tahoma"/>
            <family val="2"/>
          </rPr>
          <t>ETEM 6060592
Trial Batch 402295</t>
        </r>
      </text>
    </comment>
    <comment ref="V20" authorId="0" shapeId="0" xr:uid="{D8B66243-C06E-40E0-8E55-F0EC41EF6352}">
      <text>
        <r>
          <rPr>
            <b/>
            <sz val="9"/>
            <color indexed="81"/>
            <rFont val="Tahoma"/>
            <family val="2"/>
          </rPr>
          <t xml:space="preserve">ETEM 6082569
Trial Batch 202405102
</t>
        </r>
      </text>
    </comment>
    <comment ref="L21" authorId="0" shapeId="0" xr:uid="{AD4B3A21-71E0-450D-9750-7CD170C599AE}">
      <text>
        <r>
          <rPr>
            <b/>
            <sz val="9"/>
            <color indexed="81"/>
            <rFont val="Tahoma"/>
            <family val="2"/>
          </rPr>
          <t>ETEM 6060592 203mm
Charge: 202402295</t>
        </r>
      </text>
    </comment>
    <comment ref="S21" authorId="0" shapeId="0" xr:uid="{00ADB8BB-0671-42AB-B3D8-9C2D636BF9A5}">
      <text>
        <r>
          <rPr>
            <b/>
            <sz val="9"/>
            <color indexed="81"/>
            <rFont val="Tahoma"/>
            <family val="2"/>
          </rPr>
          <t>ETEM 6060592 228mm
Charge: 202404095</t>
        </r>
      </text>
    </comment>
    <comment ref="V21" authorId="0" shapeId="0" xr:uid="{58E1907B-D5BB-4C8A-9FAC-644E044665F9}">
      <text>
        <r>
          <rPr>
            <b/>
            <sz val="9"/>
            <color indexed="81"/>
            <rFont val="Tahoma"/>
            <family val="2"/>
          </rPr>
          <t>ETEM 6082561: 203mm</t>
        </r>
        <r>
          <rPr>
            <sz val="9"/>
            <color indexed="81"/>
            <rFont val="Tahoma"/>
            <family val="2"/>
          </rPr>
          <t xml:space="preserve">
Trial Batch 405107
</t>
        </r>
      </text>
    </comment>
    <comment ref="W21" authorId="0" shapeId="0" xr:uid="{81DAEBB2-EA61-4B6D-955E-A8783D28235B}">
      <text>
        <r>
          <rPr>
            <b/>
            <sz val="9"/>
            <color indexed="81"/>
            <rFont val="Tahoma"/>
            <family val="2"/>
          </rPr>
          <t>ETEM 6082561: 203mm</t>
        </r>
        <r>
          <rPr>
            <sz val="9"/>
            <color indexed="81"/>
            <rFont val="Tahoma"/>
            <family val="2"/>
          </rPr>
          <t xml:space="preserve">
Batch 405111</t>
        </r>
      </text>
    </comment>
    <comment ref="X21" authorId="0" shapeId="0" xr:uid="{4457FDE3-4348-4004-9BDC-9A52EE352120}">
      <text>
        <r>
          <rPr>
            <b/>
            <sz val="9"/>
            <color indexed="81"/>
            <rFont val="Tahoma"/>
            <family val="2"/>
          </rPr>
          <t>ETEM 6082569 203mm</t>
        </r>
        <r>
          <rPr>
            <sz val="9"/>
            <color indexed="81"/>
            <rFont val="Tahoma"/>
            <family val="2"/>
          </rPr>
          <t xml:space="preserve">
Trial  Batch 405102
</t>
        </r>
      </text>
    </comment>
    <comment ref="X33" authorId="1" shapeId="0" xr:uid="{07762F93-8202-472C-8271-F257D05D5517}">
      <text>
        <r>
          <rPr>
            <sz val="10"/>
            <color indexed="81"/>
            <rFont val="Aptos"/>
            <family val="2"/>
          </rPr>
          <t>Moved from Week 17 to 20, since process owner was sick</t>
        </r>
      </text>
    </comment>
    <comment ref="AR35" authorId="1" shapeId="0" xr:uid="{9222CA32-CFB4-4B2B-B017-D4F28D7710E5}">
      <text>
        <r>
          <rPr>
            <sz val="10"/>
            <color indexed="81"/>
            <rFont val="Aptos"/>
            <family val="2"/>
          </rPr>
          <t>1.1 Sales (Zug)</t>
        </r>
      </text>
    </comment>
    <comment ref="P42" authorId="2" shapeId="0" xr:uid="{B9EE6651-8C8F-4876-8E97-6AEAE6F0CCF0}">
      <text>
        <r>
          <rPr>
            <sz val="9"/>
            <color indexed="81"/>
            <rFont val="Tahoma"/>
            <family val="2"/>
          </rPr>
          <t xml:space="preserve">Trial Batch
</t>
        </r>
      </text>
    </comment>
    <comment ref="U42" authorId="2" shapeId="0" xr:uid="{EE2FE996-0EAF-4DD1-A744-44862D33B8BD}">
      <text>
        <r>
          <rPr>
            <sz val="9"/>
            <color indexed="81"/>
            <rFont val="Tahoma"/>
            <family val="2"/>
          </rPr>
          <t xml:space="preserve">QR code control
</t>
        </r>
      </text>
    </comment>
    <comment ref="Z43" authorId="1" shapeId="0" xr:uid="{240D4AB5-73A4-49C9-8114-AFB1FE745823}">
      <text>
        <r>
          <rPr>
            <sz val="10"/>
            <color indexed="81"/>
            <rFont val="Aptos"/>
            <family val="2"/>
          </rPr>
          <t>Antecipated from Oct/25 to May/25 (China)</t>
        </r>
      </text>
    </comment>
    <comment ref="O52" authorId="1" shapeId="0" xr:uid="{FAEA78E0-3F65-4BE8-BFC0-43AB7B1070DB}">
      <text>
        <r>
          <rPr>
            <sz val="12"/>
            <color indexed="81"/>
            <rFont val="Aptos Display"/>
            <family val="2"/>
          </rPr>
          <t>Internal Audit from RUSAL with Danil Uk (17-20 Mar)</t>
        </r>
      </text>
    </comment>
    <comment ref="AL52" authorId="1" shapeId="0" xr:uid="{2F7A82D6-7174-40A9-899E-C79FB9D35A5A}">
      <text>
        <r>
          <rPr>
            <sz val="10"/>
            <color indexed="81"/>
            <rFont val="Aptos Display"/>
            <family val="2"/>
          </rPr>
          <t>EXTERNAL AUDIT
17-21 August</t>
        </r>
      </text>
    </comment>
    <comment ref="AS58" authorId="1" shapeId="0" xr:uid="{E0FB2A70-B53D-4D3C-A2F9-F3F88C028C83}">
      <text>
        <r>
          <rPr>
            <sz val="10"/>
            <color indexed="81"/>
            <rFont val="Aptos Display"/>
            <family val="2"/>
          </rPr>
          <t>EXTERNAL AUDIT
06-08 October</t>
        </r>
      </text>
    </comment>
    <comment ref="K69" authorId="1" shapeId="0" xr:uid="{E77F5379-3E7C-4563-8916-21DD8F179A5F}">
      <text>
        <r>
          <rPr>
            <sz val="10"/>
            <color indexed="81"/>
            <rFont val="Aptos Display"/>
            <family val="2"/>
          </rPr>
          <t>Environmental personal was sick. Audit was moved for week 7</t>
        </r>
      </text>
    </comment>
  </commentList>
</comments>
</file>

<file path=xl/sharedStrings.xml><?xml version="1.0" encoding="utf-8"?>
<sst xmlns="http://schemas.openxmlformats.org/spreadsheetml/2006/main" count="440" uniqueCount="119">
  <si>
    <t>Internal Audit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</si>
  <si>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</si>
  <si>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</si>
  <si>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</si>
  <si>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</si>
  <si>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</si>
  <si>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</si>
  <si>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</si>
  <si>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</si>
  <si>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</si>
  <si>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</si>
  <si>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</si>
  <si>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</si>
  <si>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ISO 9001</t>
  </si>
  <si>
    <t>ISO 14001</t>
  </si>
  <si>
    <t>IATF 16949</t>
  </si>
  <si>
    <t>VDA 6.3 Process</t>
  </si>
  <si>
    <t>VDA 6.5 Product</t>
  </si>
  <si>
    <r>
      <t>CO</t>
    </r>
    <r>
      <rPr>
        <sz val="8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Emissions</t>
    </r>
  </si>
  <si>
    <t>Internal Audit Plan &gt; Calendar</t>
  </si>
  <si>
    <t>Year</t>
  </si>
  <si>
    <t>X</t>
  </si>
  <si>
    <t>IATF 16949 Internal Audits</t>
  </si>
  <si>
    <t xml:space="preserve">Month </t>
  </si>
  <si>
    <t>Result</t>
  </si>
  <si>
    <t>VDA</t>
  </si>
  <si>
    <t>6.3</t>
  </si>
  <si>
    <t>6.5</t>
  </si>
  <si>
    <t>feb.21</t>
  </si>
  <si>
    <t>may. 07</t>
  </si>
  <si>
    <t>feb. 21</t>
  </si>
  <si>
    <t>apr.09</t>
  </si>
  <si>
    <t>may.08</t>
  </si>
  <si>
    <t>Charge number</t>
  </si>
  <si>
    <t>Month</t>
  </si>
  <si>
    <t>Total</t>
  </si>
  <si>
    <t># Internal Audits</t>
  </si>
  <si>
    <t>Type (Standard)</t>
  </si>
  <si>
    <t># External Audits</t>
  </si>
  <si>
    <t xml:space="preserve">Supplier </t>
  </si>
  <si>
    <t>Supplier</t>
  </si>
  <si>
    <t>ASI</t>
  </si>
  <si>
    <t>x</t>
  </si>
  <si>
    <t>EcoVadis Assessment</t>
  </si>
  <si>
    <t>Do not delete!</t>
  </si>
  <si>
    <t>*Manual input</t>
  </si>
  <si>
    <t>Internal Audits</t>
  </si>
  <si>
    <t>External Audits</t>
  </si>
  <si>
    <t>Total 2025</t>
  </si>
  <si>
    <t>CO2 Emissions</t>
  </si>
  <si>
    <t>VDA 6.3 (Moldshop)</t>
  </si>
  <si>
    <t>Plan</t>
  </si>
  <si>
    <t>Fact</t>
  </si>
  <si>
    <t>Status</t>
  </si>
  <si>
    <t>Plant:</t>
  </si>
  <si>
    <t>Kubikenborg Aluminium AB</t>
  </si>
  <si>
    <r>
      <rPr>
        <b/>
        <sz val="12"/>
        <rFont val="Calibri"/>
        <family val="2"/>
        <charset val="204"/>
      </rPr>
      <t xml:space="preserve">Process: </t>
    </r>
  </si>
  <si>
    <t>2.6 Quality Management</t>
  </si>
  <si>
    <r>
      <rPr>
        <b/>
        <sz val="11"/>
        <rFont val="Calibri"/>
        <family val="2"/>
        <charset val="204"/>
      </rPr>
      <t>Revision No.</t>
    </r>
  </si>
  <si>
    <t>Latest revision date:</t>
  </si>
  <si>
    <r>
      <rPr>
        <b/>
        <sz val="11"/>
        <rFont val="Calibri"/>
        <family val="2"/>
        <charset val="204"/>
      </rPr>
      <t>Full name of resp. person:</t>
    </r>
  </si>
  <si>
    <t>Regina De Paula</t>
  </si>
  <si>
    <r>
      <rPr>
        <b/>
        <sz val="11"/>
        <rFont val="Calibri"/>
        <family val="2"/>
        <charset val="204"/>
      </rPr>
      <t>1st release date:</t>
    </r>
  </si>
  <si>
    <r>
      <rPr>
        <b/>
        <sz val="16"/>
        <rFont val="Calibri"/>
        <family val="2"/>
        <charset val="204"/>
      </rPr>
      <t>Revision History</t>
    </r>
  </si>
  <si>
    <r>
      <rPr>
        <b/>
        <i/>
        <sz val="11"/>
        <rFont val="Calibri"/>
        <family val="2"/>
        <charset val="204"/>
      </rPr>
      <t>Revision date</t>
    </r>
  </si>
  <si>
    <r>
      <rPr>
        <b/>
        <i/>
        <sz val="11"/>
        <rFont val="Calibri"/>
        <family val="2"/>
        <charset val="204"/>
      </rPr>
      <t>Revision description</t>
    </r>
  </si>
  <si>
    <r>
      <rPr>
        <b/>
        <i/>
        <sz val="11"/>
        <rFont val="Calibri"/>
        <family val="2"/>
        <charset val="204"/>
      </rPr>
      <t>Revision No.</t>
    </r>
  </si>
  <si>
    <t>Lates update by</t>
  </si>
  <si>
    <r>
      <rPr>
        <b/>
        <i/>
        <sz val="11"/>
        <rFont val="Calibri"/>
        <family val="2"/>
        <charset val="204"/>
      </rPr>
      <t>Comments</t>
    </r>
  </si>
  <si>
    <t>Regina P.</t>
  </si>
  <si>
    <r>
      <t xml:space="preserve">Internal Audit Plan </t>
    </r>
    <r>
      <rPr>
        <sz val="20"/>
        <rFont val="Calibri"/>
        <family val="2"/>
      </rPr>
      <t>(03 Years Calendar)</t>
    </r>
  </si>
  <si>
    <t>Added Row for Plan and Fact + Added Revision History sheet</t>
  </si>
  <si>
    <t>Moved Supplier Audit from Sep/25 to Apr/25, since we had Anodes claim</t>
  </si>
  <si>
    <t>Moved ISO 14001 Audit from week 17 to week 20, Because Environmental manager is in sick leave.</t>
  </si>
  <si>
    <t>Mehdi H</t>
  </si>
  <si>
    <t xml:space="preserve"> </t>
  </si>
  <si>
    <t>2025 FACT</t>
  </si>
  <si>
    <t>Extended EcoVadis Assessment until Nov/25</t>
  </si>
  <si>
    <t>Antecipated</t>
  </si>
  <si>
    <t>Updated links for reports (Facts)</t>
  </si>
  <si>
    <t>VDA 6.3 Process (Moldshop)</t>
  </si>
  <si>
    <t>VDA 6.3  (Moldshop)</t>
  </si>
  <si>
    <t>Yearly update check list for audit plan/competence matrix</t>
  </si>
  <si>
    <t>Audit criteria</t>
  </si>
  <si>
    <t>Date</t>
  </si>
  <si>
    <t>Updated</t>
  </si>
  <si>
    <t>Second Part Auditor (Suppliers)</t>
  </si>
  <si>
    <t xml:space="preserve">Process Auditor VDA 6.3 </t>
  </si>
  <si>
    <t xml:space="preserve">Product Auditor VDA 6.5 </t>
  </si>
  <si>
    <t xml:space="preserve"> Participation</t>
  </si>
  <si>
    <t>Status of internal auditor</t>
  </si>
  <si>
    <t>List of Internal Auditors</t>
  </si>
  <si>
    <t>Calender</t>
  </si>
  <si>
    <t>Internal audit calender</t>
  </si>
  <si>
    <t>Qualification status</t>
  </si>
  <si>
    <t xml:space="preserve">Competence Matrix </t>
  </si>
  <si>
    <t>Added Yearly update checklist sheet</t>
  </si>
  <si>
    <t>After IATF External Audit</t>
  </si>
  <si>
    <t>ISO 9001 / ISO 14001 / IATF 16949 (QMS Auditor)</t>
  </si>
  <si>
    <r>
      <rPr>
        <sz val="12"/>
        <color theme="1"/>
        <rFont val="Aptos Display"/>
        <family val="2"/>
      </rPr>
      <t>01</t>
    </r>
    <r>
      <rPr>
        <b/>
        <sz val="12"/>
        <color theme="1"/>
        <rFont val="Aptos Display"/>
        <family val="2"/>
      </rPr>
      <t xml:space="preserve">
Jan</t>
    </r>
  </si>
  <si>
    <r>
      <rPr>
        <sz val="12"/>
        <color theme="1"/>
        <rFont val="Aptos Display"/>
        <family val="2"/>
      </rPr>
      <t>02</t>
    </r>
    <r>
      <rPr>
        <b/>
        <sz val="12"/>
        <color theme="1"/>
        <rFont val="Aptos Display"/>
        <family val="2"/>
      </rPr>
      <t xml:space="preserve">
Feb</t>
    </r>
  </si>
  <si>
    <r>
      <rPr>
        <sz val="12"/>
        <color theme="1"/>
        <rFont val="Aptos Display"/>
        <family val="2"/>
      </rPr>
      <t>03</t>
    </r>
    <r>
      <rPr>
        <b/>
        <sz val="12"/>
        <color theme="1"/>
        <rFont val="Aptos Display"/>
        <family val="2"/>
      </rPr>
      <t xml:space="preserve">
Mar</t>
    </r>
  </si>
  <si>
    <r>
      <rPr>
        <sz val="12"/>
        <color theme="1"/>
        <rFont val="Aptos Display"/>
        <family val="2"/>
      </rPr>
      <t>04</t>
    </r>
    <r>
      <rPr>
        <b/>
        <sz val="12"/>
        <color theme="1"/>
        <rFont val="Aptos Display"/>
        <family val="2"/>
      </rPr>
      <t xml:space="preserve">
Apr</t>
    </r>
  </si>
  <si>
    <r>
      <rPr>
        <sz val="12"/>
        <color theme="1"/>
        <rFont val="Aptos Display"/>
        <family val="2"/>
      </rPr>
      <t>05</t>
    </r>
    <r>
      <rPr>
        <b/>
        <sz val="12"/>
        <color theme="1"/>
        <rFont val="Aptos Display"/>
        <family val="2"/>
      </rPr>
      <t xml:space="preserve">
May</t>
    </r>
  </si>
  <si>
    <r>
      <rPr>
        <sz val="12"/>
        <color theme="1"/>
        <rFont val="Aptos Display"/>
        <family val="2"/>
      </rPr>
      <t>06</t>
    </r>
    <r>
      <rPr>
        <b/>
        <sz val="12"/>
        <color theme="1"/>
        <rFont val="Aptos Display"/>
        <family val="2"/>
      </rPr>
      <t xml:space="preserve">
Jun</t>
    </r>
  </si>
  <si>
    <r>
      <rPr>
        <sz val="12"/>
        <color theme="1"/>
        <rFont val="Aptos Display"/>
        <family val="2"/>
      </rPr>
      <t>07</t>
    </r>
    <r>
      <rPr>
        <b/>
        <sz val="12"/>
        <color theme="1"/>
        <rFont val="Aptos Display"/>
        <family val="2"/>
      </rPr>
      <t xml:space="preserve">
Jul</t>
    </r>
  </si>
  <si>
    <r>
      <rPr>
        <sz val="12"/>
        <color theme="1"/>
        <rFont val="Aptos Display"/>
        <family val="2"/>
      </rPr>
      <t>08</t>
    </r>
    <r>
      <rPr>
        <b/>
        <sz val="12"/>
        <color theme="1"/>
        <rFont val="Aptos Display"/>
        <family val="2"/>
      </rPr>
      <t xml:space="preserve">
Aug</t>
    </r>
  </si>
  <si>
    <r>
      <rPr>
        <sz val="12"/>
        <color theme="1"/>
        <rFont val="Aptos Display"/>
        <family val="2"/>
      </rPr>
      <t>09</t>
    </r>
    <r>
      <rPr>
        <b/>
        <sz val="12"/>
        <color theme="1"/>
        <rFont val="Aptos Display"/>
        <family val="2"/>
      </rPr>
      <t xml:space="preserve">
Sep</t>
    </r>
  </si>
  <si>
    <r>
      <rPr>
        <sz val="12"/>
        <color theme="1"/>
        <rFont val="Aptos Display"/>
        <family val="2"/>
      </rPr>
      <t>10</t>
    </r>
    <r>
      <rPr>
        <b/>
        <sz val="12"/>
        <color theme="1"/>
        <rFont val="Aptos Display"/>
        <family val="2"/>
      </rPr>
      <t xml:space="preserve">
Oct</t>
    </r>
  </si>
  <si>
    <r>
      <rPr>
        <sz val="12"/>
        <color theme="1"/>
        <rFont val="Aptos Display"/>
        <family val="2"/>
      </rPr>
      <t>11</t>
    </r>
    <r>
      <rPr>
        <b/>
        <sz val="12"/>
        <color theme="1"/>
        <rFont val="Aptos Display"/>
        <family val="2"/>
      </rPr>
      <t xml:space="preserve">
Nov</t>
    </r>
  </si>
  <si>
    <r>
      <rPr>
        <sz val="12"/>
        <color theme="1"/>
        <rFont val="Aptos Display"/>
        <family val="2"/>
      </rPr>
      <t>12</t>
    </r>
    <r>
      <rPr>
        <b/>
        <sz val="12"/>
        <color theme="1"/>
        <rFont val="Aptos Display"/>
        <family val="2"/>
      </rPr>
      <t xml:space="preserve">
Dec</t>
    </r>
  </si>
  <si>
    <t>Total Audit Plan 2026</t>
  </si>
  <si>
    <t>2026 PLAN</t>
  </si>
  <si>
    <r>
      <t xml:space="preserve">Internal Audit Calendar Plan | </t>
    </r>
    <r>
      <rPr>
        <b/>
        <sz val="16"/>
        <color theme="4"/>
        <rFont val="Calibri"/>
        <family val="2"/>
        <scheme val="minor"/>
      </rPr>
      <t>2026</t>
    </r>
  </si>
  <si>
    <t>Audit Plan 2026</t>
  </si>
  <si>
    <t>NCs</t>
  </si>
  <si>
    <t>Revised plan and inserted "external" days for ASI and IATF 16949</t>
  </si>
  <si>
    <t>Added CO2 audit plan</t>
  </si>
  <si>
    <t>Environment personal 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</si>
</sst>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72 Black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22"/>
      <name val="Calibri"/>
      <family val="2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0"/>
      <name val="Calibri"/>
      <family val="2"/>
    </font>
    <font>
      <b/>
      <sz val="16"/>
      <name val="Calibri"/>
      <family val="2"/>
      <charset val="204"/>
    </font>
    <font>
      <b/>
      <i/>
      <sz val="11"/>
      <name val="Calibri"/>
      <family val="2"/>
      <charset val="204"/>
    </font>
    <font>
      <sz val="20"/>
      <name val="Calibri"/>
      <family val="2"/>
    </font>
    <font>
      <sz val="10"/>
      <color indexed="81"/>
      <name val="Aptos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0"/>
      <name val="Aptos Display"/>
      <family val="2"/>
    </font>
    <font>
      <sz val="11"/>
      <color rgb="FFFF0000"/>
      <name val="Calibri"/>
      <family val="2"/>
      <scheme val="minor"/>
    </font>
    <font>
      <b/>
      <sz val="14"/>
      <color theme="1"/>
      <name val="Aptos Display"/>
      <family val="2"/>
    </font>
    <font>
      <sz val="12"/>
      <color indexed="81"/>
      <name val="Aptos Display"/>
      <family val="2"/>
    </font>
    <font>
      <sz val="10"/>
      <color indexed="81"/>
      <name val="Aptos Display"/>
      <family val="2"/>
    </font>
    <font>
      <u/>
      <sz val="11"/>
      <color rgb="FF0070C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B0EA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</fills>
  <borders count="3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/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auto="1"/>
      </left>
      <right style="thin">
        <color theme="2" tint="-9.9948118533890809E-2"/>
      </right>
      <top style="thin">
        <color theme="2" tint="-9.9948118533890809E-2"/>
      </top>
      <bottom style="medium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auto="1"/>
      </bottom>
      <diagonal/>
    </border>
    <border>
      <left style="thin">
        <color theme="2" tint="-9.9948118533890809E-2"/>
      </left>
      <right style="medium">
        <color auto="1"/>
      </right>
      <top style="thin">
        <color theme="2" tint="-9.9948118533890809E-2"/>
      </top>
      <bottom style="medium">
        <color auto="1"/>
      </bottom>
      <diagonal/>
    </border>
    <border>
      <left style="medium">
        <color auto="1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auto="1"/>
      </right>
      <top style="thin">
        <color indexed="64"/>
      </top>
      <bottom style="thin">
        <color theme="2" tint="-9.9948118533890809E-2"/>
      </bottom>
      <diagonal/>
    </border>
  </borders>
  <cellStyleXfs count="4">
    <xf numFmtId="0" fontId="0" fillId="0" borderId="0"/>
    <xf numFmtId="0" fontId="3" fillId="0" borderId="0"/>
    <xf numFmtId="0" fontId="7" fillId="0" borderId="0" applyNumberFormat="0" applyFill="0" applyBorder="0" applyAlignment="0" applyProtection="0"/>
    <xf numFmtId="0" fontId="3" fillId="0" borderId="0"/>
  </cellStyleXfs>
  <cellXfs count="1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8" fillId="8" borderId="1" xfId="2" applyFont="1" applyFill="1" applyBorder="1" applyAlignment="1">
      <alignment horizontal="center" vertical="center"/>
    </xf>
    <xf numFmtId="0" fontId="7" fillId="8" borderId="1" xfId="2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0" fillId="0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7" fillId="11" borderId="1" xfId="2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8" fillId="0" borderId="0" xfId="3" applyFont="1"/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/>
    <xf numFmtId="15" fontId="21" fillId="0" borderId="18" xfId="3" applyNumberFormat="1" applyFont="1" applyBorder="1" applyAlignment="1">
      <alignment vertical="top"/>
    </xf>
    <xf numFmtId="0" fontId="20" fillId="9" borderId="18" xfId="3" applyFont="1" applyFill="1" applyBorder="1" applyAlignment="1">
      <alignment horizontal="left" vertical="center" wrapText="1" indent="1"/>
    </xf>
    <xf numFmtId="14" fontId="22" fillId="9" borderId="18" xfId="3" applyNumberFormat="1" applyFont="1" applyFill="1" applyBorder="1" applyAlignment="1" applyProtection="1">
      <alignment horizontal="left" vertical="center" indent="1"/>
      <protection locked="0"/>
    </xf>
    <xf numFmtId="0" fontId="18" fillId="0" borderId="0" xfId="3" applyFont="1" applyAlignment="1">
      <alignment vertical="top"/>
    </xf>
    <xf numFmtId="0" fontId="21" fillId="0" borderId="18" xfId="3" applyFont="1" applyBorder="1" applyAlignment="1">
      <alignment vertical="top"/>
    </xf>
    <xf numFmtId="0" fontId="18" fillId="13" borderId="18" xfId="3" applyFont="1" applyFill="1" applyBorder="1" applyAlignment="1" applyProtection="1">
      <alignment horizontal="left" vertical="center" indent="1"/>
      <protection locked="0"/>
    </xf>
    <xf numFmtId="14" fontId="22" fillId="13" borderId="18" xfId="3" applyNumberFormat="1" applyFont="1" applyFill="1" applyBorder="1" applyAlignment="1" applyProtection="1">
      <alignment horizontal="left" vertical="center" indent="1"/>
      <protection locked="0"/>
    </xf>
    <xf numFmtId="0" fontId="24" fillId="14" borderId="20" xfId="3" applyFont="1" applyFill="1" applyBorder="1" applyAlignment="1">
      <alignment horizontal="center" vertical="center" wrapText="1"/>
    </xf>
    <xf numFmtId="0" fontId="24" fillId="14" borderId="21" xfId="3" applyFont="1" applyFill="1" applyBorder="1" applyAlignment="1">
      <alignment horizontal="center" vertical="center" wrapText="1"/>
    </xf>
    <xf numFmtId="0" fontId="24" fillId="14" borderId="22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inden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7" fillId="0" borderId="1" xfId="2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7" fillId="11" borderId="0" xfId="2" applyFill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 indent="1"/>
    </xf>
    <xf numFmtId="14" fontId="0" fillId="0" borderId="18" xfId="0" applyNumberForma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4" fontId="0" fillId="0" borderId="18" xfId="0" quotePrefix="1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 wrapText="1" indent="1"/>
    </xf>
    <xf numFmtId="0" fontId="27" fillId="0" borderId="0" xfId="0" applyFont="1" applyAlignment="1">
      <alignment horizontal="center"/>
    </xf>
    <xf numFmtId="0" fontId="27" fillId="0" borderId="0" xfId="0" applyFont="1"/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 indent="1"/>
    </xf>
    <xf numFmtId="0" fontId="27" fillId="0" borderId="12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8" xfId="0" applyFont="1" applyFill="1" applyBorder="1" applyAlignment="1">
      <alignment horizontal="left" vertical="center" wrapText="1" inden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 indent="1"/>
    </xf>
    <xf numFmtId="0" fontId="27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9" xfId="0" applyFont="1" applyFill="1" applyBorder="1" applyAlignment="1">
      <alignment horizontal="left" vertical="center" wrapText="1" indent="1"/>
    </xf>
    <xf numFmtId="0" fontId="27" fillId="0" borderId="9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left" vertical="center" wrapText="1" indent="1"/>
    </xf>
    <xf numFmtId="0" fontId="27" fillId="16" borderId="9" xfId="0" applyFont="1" applyFill="1" applyBorder="1" applyAlignment="1">
      <alignment horizontal="left" vertical="center" wrapText="1" indent="1"/>
    </xf>
    <xf numFmtId="0" fontId="29" fillId="0" borderId="9" xfId="0" applyFont="1" applyFill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left" vertical="center" wrapText="1" indent="1"/>
    </xf>
    <xf numFmtId="0" fontId="27" fillId="0" borderId="0" xfId="0" applyFont="1" applyAlignment="1">
      <alignment horizontal="center" wrapText="1"/>
    </xf>
    <xf numFmtId="0" fontId="29" fillId="10" borderId="0" xfId="0" applyFont="1" applyFill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vertical="center"/>
    </xf>
    <xf numFmtId="0" fontId="15" fillId="11" borderId="23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3" xfId="0" applyFont="1" applyBorder="1" applyAlignment="1">
      <alignment vertical="center"/>
    </xf>
    <xf numFmtId="0" fontId="0" fillId="2" borderId="23" xfId="0" applyFont="1" applyFill="1" applyBorder="1" applyAlignment="1">
      <alignment vertical="center"/>
    </xf>
    <xf numFmtId="0" fontId="15" fillId="2" borderId="23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15" fillId="2" borderId="23" xfId="0" applyFont="1" applyFill="1" applyBorder="1" applyAlignment="1">
      <alignment vertical="center"/>
    </xf>
    <xf numFmtId="0" fontId="0" fillId="0" borderId="23" xfId="0" applyBorder="1"/>
    <xf numFmtId="0" fontId="1" fillId="19" borderId="23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0" borderId="24" xfId="0" applyBorder="1"/>
    <xf numFmtId="0" fontId="0" fillId="20" borderId="23" xfId="0" applyFont="1" applyFill="1" applyBorder="1" applyAlignment="1">
      <alignment horizontal="center" vertical="center"/>
    </xf>
    <xf numFmtId="14" fontId="18" fillId="9" borderId="25" xfId="3" applyNumberFormat="1" applyFont="1" applyFill="1" applyBorder="1" applyAlignment="1" applyProtection="1">
      <alignment horizontal="center" vertical="center" wrapText="1"/>
      <protection locked="0"/>
    </xf>
    <xf numFmtId="0" fontId="18" fillId="9" borderId="23" xfId="3" applyFont="1" applyFill="1" applyBorder="1" applyAlignment="1" applyProtection="1">
      <alignment horizontal="left" vertical="center" wrapText="1" indent="1"/>
      <protection locked="0"/>
    </xf>
    <xf numFmtId="0" fontId="18" fillId="9" borderId="23" xfId="3" applyFont="1" applyFill="1" applyBorder="1" applyAlignment="1" applyProtection="1">
      <alignment horizontal="center" vertical="center" wrapText="1"/>
      <protection locked="0"/>
    </xf>
    <xf numFmtId="15" fontId="18" fillId="9" borderId="26" xfId="3" applyNumberFormat="1" applyFont="1" applyFill="1" applyBorder="1" applyAlignment="1" applyProtection="1">
      <alignment horizontal="left" vertical="center" wrapText="1" indent="1"/>
      <protection locked="0"/>
    </xf>
    <xf numFmtId="0" fontId="18" fillId="9" borderId="25" xfId="3" applyFont="1" applyFill="1" applyBorder="1" applyAlignment="1" applyProtection="1">
      <alignment horizontal="center" vertical="center" wrapText="1"/>
      <protection locked="0"/>
    </xf>
    <xf numFmtId="0" fontId="18" fillId="9" borderId="23" xfId="3" applyFont="1" applyFill="1" applyBorder="1" applyAlignment="1" applyProtection="1">
      <alignment horizontal="left" vertical="top" wrapText="1" indent="1"/>
      <protection locked="0"/>
    </xf>
    <xf numFmtId="0" fontId="18" fillId="9" borderId="23" xfId="3" applyFont="1" applyFill="1" applyBorder="1" applyAlignment="1" applyProtection="1">
      <alignment horizontal="center" vertical="top" wrapText="1"/>
      <protection locked="0"/>
    </xf>
    <xf numFmtId="15" fontId="18" fillId="9" borderId="26" xfId="3" applyNumberFormat="1" applyFont="1" applyFill="1" applyBorder="1" applyAlignment="1" applyProtection="1">
      <alignment horizontal="left" vertical="top" wrapText="1" indent="1"/>
      <protection locked="0"/>
    </xf>
    <xf numFmtId="0" fontId="18" fillId="9" borderId="25" xfId="3" applyFont="1" applyFill="1" applyBorder="1" applyAlignment="1" applyProtection="1">
      <alignment horizontal="center" vertical="top" wrapText="1"/>
      <protection locked="0"/>
    </xf>
    <xf numFmtId="0" fontId="18" fillId="9" borderId="25" xfId="3" applyFont="1" applyFill="1" applyBorder="1" applyAlignment="1" applyProtection="1">
      <alignment horizontal="center" wrapText="1"/>
      <protection locked="0"/>
    </xf>
    <xf numFmtId="0" fontId="18" fillId="9" borderId="23" xfId="3" applyFont="1" applyFill="1" applyBorder="1" applyAlignment="1" applyProtection="1">
      <alignment horizontal="center" wrapText="1"/>
      <protection locked="0"/>
    </xf>
    <xf numFmtId="15" fontId="18" fillId="9" borderId="26" xfId="3" applyNumberFormat="1" applyFont="1" applyFill="1" applyBorder="1" applyAlignment="1" applyProtection="1">
      <alignment horizontal="center" wrapText="1"/>
      <protection locked="0"/>
    </xf>
    <xf numFmtId="0" fontId="18" fillId="9" borderId="23" xfId="3" applyFont="1" applyFill="1" applyBorder="1" applyAlignment="1" applyProtection="1">
      <alignment horizontal="left" vertical="center" wrapText="1"/>
      <protection locked="0"/>
    </xf>
    <xf numFmtId="0" fontId="18" fillId="9" borderId="27" xfId="3" applyFont="1" applyFill="1" applyBorder="1" applyAlignment="1" applyProtection="1">
      <alignment horizontal="center" wrapText="1"/>
      <protection locked="0"/>
    </xf>
    <xf numFmtId="0" fontId="18" fillId="9" borderId="28" xfId="3" applyFont="1" applyFill="1" applyBorder="1" applyAlignment="1" applyProtection="1">
      <alignment horizontal="left" vertical="center" wrapText="1"/>
      <protection locked="0"/>
    </xf>
    <xf numFmtId="0" fontId="18" fillId="9" borderId="28" xfId="3" applyFont="1" applyFill="1" applyBorder="1" applyAlignment="1" applyProtection="1">
      <alignment horizontal="center" vertical="center" wrapText="1"/>
      <protection locked="0"/>
    </xf>
    <xf numFmtId="0" fontId="18" fillId="9" borderId="28" xfId="3" applyFont="1" applyFill="1" applyBorder="1" applyAlignment="1" applyProtection="1">
      <alignment horizontal="center" wrapText="1"/>
      <protection locked="0"/>
    </xf>
    <xf numFmtId="15" fontId="18" fillId="9" borderId="29" xfId="3" applyNumberFormat="1" applyFont="1" applyFill="1" applyBorder="1" applyAlignment="1" applyProtection="1">
      <alignment horizontal="center" wrapText="1"/>
      <protection locked="0"/>
    </xf>
    <xf numFmtId="14" fontId="18" fillId="9" borderId="30" xfId="3" quotePrefix="1" applyNumberFormat="1" applyFont="1" applyFill="1" applyBorder="1" applyAlignment="1" applyProtection="1">
      <alignment horizontal="center" vertical="center" wrapText="1"/>
      <protection locked="0"/>
    </xf>
    <xf numFmtId="0" fontId="18" fillId="9" borderId="31" xfId="3" applyFont="1" applyFill="1" applyBorder="1" applyAlignment="1" applyProtection="1">
      <alignment horizontal="left" vertical="center" wrapText="1" indent="1"/>
      <protection locked="0"/>
    </xf>
    <xf numFmtId="0" fontId="18" fillId="9" borderId="31" xfId="3" applyFont="1" applyFill="1" applyBorder="1" applyAlignment="1" applyProtection="1">
      <alignment horizontal="center" vertical="center" wrapText="1"/>
      <protection locked="0"/>
    </xf>
    <xf numFmtId="15" fontId="18" fillId="9" borderId="32" xfId="3" applyNumberFormat="1" applyFont="1" applyFill="1" applyBorder="1" applyAlignment="1" applyProtection="1">
      <alignment horizontal="left" vertical="center" wrapText="1" indent="1"/>
      <protection locked="0"/>
    </xf>
    <xf numFmtId="0" fontId="7" fillId="11" borderId="23" xfId="2" applyFill="1" applyBorder="1" applyAlignment="1">
      <alignment horizontal="center" vertical="center"/>
    </xf>
    <xf numFmtId="0" fontId="34" fillId="11" borderId="23" xfId="2" applyFont="1" applyFill="1" applyBorder="1" applyAlignment="1">
      <alignment horizontal="center" vertical="center"/>
    </xf>
    <xf numFmtId="0" fontId="18" fillId="0" borderId="15" xfId="3" applyFont="1" applyBorder="1" applyAlignment="1">
      <alignment horizontal="left" vertical="top" indent="1"/>
    </xf>
    <xf numFmtId="0" fontId="18" fillId="0" borderId="16" xfId="3" applyFont="1" applyBorder="1" applyAlignment="1">
      <alignment horizontal="left" vertical="top" indent="1"/>
    </xf>
    <xf numFmtId="0" fontId="18" fillId="0" borderId="17" xfId="3" applyFont="1" applyBorder="1" applyAlignment="1">
      <alignment horizontal="left" vertical="top" indent="1"/>
    </xf>
    <xf numFmtId="0" fontId="23" fillId="0" borderId="19" xfId="3" applyFont="1" applyBorder="1" applyAlignment="1">
      <alignment horizontal="center" vertical="center"/>
    </xf>
    <xf numFmtId="0" fontId="17" fillId="0" borderId="15" xfId="3" applyFont="1" applyBorder="1" applyAlignment="1">
      <alignment horizontal="center" vertical="center" wrapText="1"/>
    </xf>
    <xf numFmtId="0" fontId="17" fillId="0" borderId="16" xfId="3" applyFont="1" applyBorder="1" applyAlignment="1">
      <alignment horizontal="center" vertical="center" wrapText="1"/>
    </xf>
    <xf numFmtId="0" fontId="17" fillId="0" borderId="17" xfId="3" applyFont="1" applyBorder="1" applyAlignment="1">
      <alignment horizontal="center" vertical="center" wrapText="1"/>
    </xf>
    <xf numFmtId="0" fontId="20" fillId="13" borderId="18" xfId="3" applyFont="1" applyFill="1" applyBorder="1" applyAlignment="1">
      <alignment horizontal="left" vertical="center" wrapText="1" indent="1"/>
    </xf>
    <xf numFmtId="0" fontId="20" fillId="0" borderId="15" xfId="3" applyFont="1" applyBorder="1" applyAlignment="1">
      <alignment horizontal="left" vertical="center" wrapText="1" indent="1"/>
    </xf>
    <xf numFmtId="0" fontId="20" fillId="0" borderId="16" xfId="3" applyFont="1" applyBorder="1" applyAlignment="1">
      <alignment horizontal="left" vertical="center" wrapText="1" indent="1"/>
    </xf>
    <xf numFmtId="0" fontId="20" fillId="0" borderId="17" xfId="3" applyFont="1" applyBorder="1" applyAlignment="1">
      <alignment horizontal="left" vertical="center" wrapText="1" indent="1"/>
    </xf>
    <xf numFmtId="0" fontId="1" fillId="3" borderId="23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 indent="1"/>
    </xf>
    <xf numFmtId="0" fontId="1" fillId="3" borderId="2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6" fillId="3" borderId="2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indent="1"/>
    </xf>
    <xf numFmtId="0" fontId="0" fillId="11" borderId="23" xfId="0" applyFont="1" applyFill="1" applyBorder="1" applyAlignment="1">
      <alignment horizontal="center" vertical="center"/>
    </xf>
  </cellXfs>
  <cellStyles count="4">
    <cellStyle name="Hyperlänk" xfId="2" builtinId="8"/>
    <cellStyle name="Normal" xfId="0" builtinId="0"/>
    <cellStyle name="Normal 3" xfId="1" xr:uid="{9B09F629-0C11-4BDD-B510-5C10B2FE9DF0}"/>
    <cellStyle name="Обычный 3 2" xfId="3" xr:uid="{CD7A8D1E-A535-4BAA-8075-EDD74A11FF59}"/>
  </cellStyles>
  <dxfs count="20">
    <dxf>
      <fill>
        <patternFill>
          <bgColor rgb="FFFF9933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ABE9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ABE9"/>
        </patternFill>
      </fill>
    </dxf>
    <dxf>
      <font>
        <color theme="1"/>
      </font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ont>
        <color theme="0"/>
      </font>
      <fill>
        <patternFill>
          <bgColor theme="4"/>
        </patternFill>
      </fill>
    </dxf>
  </dxfs>
  <tableStyles count="0" defaultTableStyle="TableStyleMedium2" defaultPivotStyle="PivotStyleLight16"/>
  <colors>
    <mruColors>
      <color rgb="FFFF7C80"/>
      <color rgb="FFFF9933"/>
      <color rgb="FFFFABE9"/>
      <color rgb="FFCCFFCC"/>
      <color rgb="FFCCB0EA"/>
      <color rgb="FFB18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alendar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hyperlink" Target="#'Revision History'!A1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59684</xdr:colOff>
      <xdr:row>2</xdr:row>
      <xdr:rowOff>54341</xdr:rowOff>
    </xdr:from>
    <xdr:to>
      <xdr:col>1</xdr:col>
      <xdr:colOff>883710</xdr:colOff>
      <xdr:row>2</xdr:row>
      <xdr:rowOff>471787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17EB77-2210-4FDD-A9BD-CCC0D8F3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34" y="384541"/>
          <a:ext cx="824026" cy="417446"/>
        </a:xfrm>
        <a:prstGeom prst="rect">
          <a:avLst/>
        </a:prstGeom>
      </xdr:spPr>
    </xdr:pic>
    <xdr:clientData/>
  </xdr:twoCellAnchor>
  <xdr:twoCellAnchor>
    <xdr:from>
      <xdr:col>6</xdr:col>
      <xdr:colOff>264904</xdr:colOff>
      <xdr:row>1</xdr:row>
      <xdr:rowOff>105832</xdr:rowOff>
    </xdr:from>
    <xdr:to>
      <xdr:col>7</xdr:col>
      <xdr:colOff>229116</xdr:colOff>
      <xdr:row>2</xdr:row>
      <xdr:rowOff>529786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8F0F0-84E6-4CD3-9363-EE04C95B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23654" y="270932"/>
          <a:ext cx="580162" cy="589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152659</xdr:colOff>
      <xdr:row>0</xdr:row>
      <xdr:rowOff>103155</xdr:rowOff>
    </xdr:from>
    <xdr:to>
      <xdr:col>22</xdr:col>
      <xdr:colOff>59353</xdr:colOff>
      <xdr:row>3</xdr:row>
      <xdr:rowOff>201644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1F5CDB-4DAF-4827-A3A6-D457FE9BA880}"/>
            </a:ext>
          </a:extLst>
        </xdr:cNvPr>
        <xdr:cNvSpPr/>
      </xdr:nvSpPr>
      <xdr:spPr>
        <a:xfrm>
          <a:off x="5569209" y="103155"/>
          <a:ext cx="3018194" cy="581089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Calendar</a:t>
          </a:r>
          <a:r>
            <a:rPr lang="en-US" sz="1200" b="1" baseline="0"/>
            <a:t> Plan is linked to Dashboard.</a:t>
          </a:r>
        </a:p>
        <a:p>
          <a:pPr algn="ctr"/>
          <a:r>
            <a:rPr lang="en-US" sz="1200" b="1" baseline="0"/>
            <a:t>Please do not add columns or rows.</a:t>
          </a:r>
          <a:endParaRPr lang="en-US" sz="1200" b="1"/>
        </a:p>
      </xdr:txBody>
    </xdr:sp>
    <xdr:clientData/>
  </xdr:twoCellAnchor>
  <xdr:twoCellAnchor>
    <xdr:from>
      <xdr:col>5</xdr:col>
      <xdr:colOff>139700</xdr:colOff>
      <xdr:row>0</xdr:row>
      <xdr:rowOff>12700</xdr:rowOff>
    </xdr:from>
    <xdr:to>
      <xdr:col>11</xdr:col>
      <xdr:colOff>147942</xdr:colOff>
      <xdr:row>3</xdr:row>
      <xdr:rowOff>145753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450054F-C8A7-4551-8DAF-1A0271BFBBE1}"/>
            </a:ext>
          </a:extLst>
        </xdr:cNvPr>
        <xdr:cNvGrpSpPr/>
      </xdr:nvGrpSpPr>
      <xdr:grpSpPr>
        <a:xfrm>
          <a:off x="3225800" y="12700"/>
          <a:ext cx="1779892" cy="666453"/>
          <a:chOff x="36286" y="3342514"/>
          <a:chExt cx="1614714" cy="624724"/>
        </a:xfrm>
      </xdr:grpSpPr>
      <xdr:sp macro="" textlink="">
        <xdr:nvSpPr>
          <xdr:cNvPr id="4" name="Rectangle: Rounded Corner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7135E4E-AD29-4139-8261-BA6437BF5E93}"/>
              </a:ext>
            </a:extLst>
          </xdr:cNvPr>
          <xdr:cNvSpPr/>
        </xdr:nvSpPr>
        <xdr:spPr>
          <a:xfrm>
            <a:off x="120952" y="3478379"/>
            <a:ext cx="1530048" cy="488859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200" b="1">
                <a:solidFill>
                  <a:schemeClr val="tx1"/>
                </a:solidFill>
              </a:rPr>
              <a:t>Revision History</a:t>
            </a:r>
            <a:endParaRPr lang="en-US" sz="1200" b="1" baseline="0">
              <a:solidFill>
                <a:schemeClr val="tx1"/>
              </a:solidFill>
            </a:endParaRPr>
          </a:p>
          <a:p>
            <a:pPr algn="r"/>
            <a:r>
              <a:rPr lang="en-US" sz="1000" b="0" i="0" baseline="0">
                <a:solidFill>
                  <a:schemeClr val="tx1"/>
                </a:solidFill>
                <a:latin typeface="+mj-lt"/>
              </a:rPr>
              <a:t>Update here</a:t>
            </a:r>
            <a:endParaRPr lang="en-US" sz="1000" b="0" i="0">
              <a:solidFill>
                <a:schemeClr val="tx1"/>
              </a:solidFill>
              <a:latin typeface="+mj-lt"/>
            </a:endParaRPr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E702E93D-D894-47AE-BA90-A617E1A71799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2476" y="3516591"/>
            <a:ext cx="344131" cy="39693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FFC21750-4AF9-4F83-A89E-0448B341883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duotone>
              <a:schemeClr val="accent6">
                <a:shade val="45000"/>
                <a:satMod val="135000"/>
              </a:schemeClr>
              <a:prstClr val="white"/>
            </a:duotone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391" b="98047" l="1563" r="99219">
                        <a14:foregroundMark x1="1953" y1="49219" x2="12109" y2="50391"/>
                        <a14:foregroundMark x1="35156" y1="5469" x2="42969" y2="14844"/>
                        <a14:foregroundMark x1="65234" y1="3516" x2="65234" y2="3516"/>
                        <a14:foregroundMark x1="50391" y1="391" x2="50391" y2="391"/>
                        <a14:foregroundMark x1="91797" y1="36328" x2="91797" y2="36328"/>
                        <a14:foregroundMark x1="99219" y1="49219" x2="99219" y2="49219"/>
                        <a14:foregroundMark x1="78906" y1="90625" x2="78906" y2="90625"/>
                        <a14:foregroundMark x1="63281" y1="95313" x2="63281" y2="95313"/>
                        <a14:foregroundMark x1="50391" y1="98047" x2="50391" y2="98047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6286" y="3342514"/>
            <a:ext cx="223762" cy="273876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638175</xdr:colOff>
      <xdr:row>1</xdr:row>
      <xdr:rowOff>147703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CCCDB-C991-4CD3-9AFC-70B90538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"/>
          <a:ext cx="638175" cy="338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bal\dfs\ISO\IATF%2016949-2016\Core%20Tools%20(Oficial)\Oficial%20documents%20(Do%20not%20change)\Final%20version%20(Approved%202020)\Billets\Flow%20chart%20and%20protocol%20FMEA%20Billets_KUBAL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orary%20Internet%20Files\Content.IE5\8HST45S5\fmea_form_generic_v3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3;&#1086;&#1074;&#1072;&#1103;%20&#1087;&#1072;&#1087;&#1082;&#1072;%20(4)\&#1053;&#1086;&#1074;&#1072;&#1103;%20&#1087;&#1072;&#1087;&#1082;&#1072;%20(4)\WINDOWS\Temporary%20Internet%20Files\Content.IE5\8HST45S5\fmea_form_generic_v3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bal\dfs\ISO\B6_Produktion_Drift\B65_Gjuterihandbok\Core%20tools\Final%20version\English\Billets\Block%20Diagram_Production%20stages%20BILLETS_Kubal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lan"/>
      <sheetName val="Revision History"/>
      <sheetName val="Flow Chart"/>
      <sheetName val="FMEA (Process)"/>
      <sheetName val="Лист2"/>
    </sheetNames>
    <sheetDataSet>
      <sheetData sheetId="0"/>
      <sheetData sheetId="1"/>
      <sheetData sheetId="2"/>
      <sheetData sheetId="3">
        <row r="13">
          <cell r="E13" t="str">
            <v>Metal ordering time</v>
          </cell>
        </row>
      </sheetData>
      <sheetData sheetId="4">
        <row r="1">
          <cell r="B1" t="str">
            <v>Статус (выбери):</v>
          </cell>
        </row>
        <row r="2">
          <cell r="B2" t="str">
            <v>Опытное</v>
          </cell>
        </row>
        <row r="3">
          <cell r="B3" t="str">
            <v>Предсерийное</v>
          </cell>
        </row>
        <row r="4">
          <cell r="B4" t="str">
            <v>Серийное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ME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MEA"/>
      <sheetName val="Flow Char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Block Diagram"/>
      <sheetName val="Revision History"/>
      <sheetName val="Лист1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Опытное</v>
          </cell>
        </row>
        <row r="3">
          <cell r="B3" t="str">
            <v>Серийное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Revision%20Interna\2023\IATF%2016949\QMS%20Audit%20(May%202023)\QMS%20Internal%20Audit%20IATF%2016949%20Report_May%202023%20(Oficial).xlsx" TargetMode="External"/><Relationship Id="rId18" Type="http://schemas.openxmlformats.org/officeDocument/2006/relationships/hyperlink" Target="../../IATF%2016949-2016/8.4%20Suppliers/Suppliers%20Audit%20Programme/Supplier%20Audit%20result/2023/Aleastur%20(05-06%20Oct)" TargetMode="External"/><Relationship Id="rId26" Type="http://schemas.openxmlformats.org/officeDocument/2006/relationships/hyperlink" Target="..\Revision%20Interna\2024\VDA%206.3%20Process\REPORT%20Kubal%20Audit%20(VDA%206.3)%20Dec%2003%202024\VDA%206.3%20Internal%20Audit%20Report_P7%20Customer%20Service.xlsm" TargetMode="External"/><Relationship Id="rId39" Type="http://schemas.openxmlformats.org/officeDocument/2006/relationships/hyperlink" Target="..\Revision%20Interna\2025\CO2\Revrapport%20handel%20med%20utsl&#228;ppsr&#228;tter%20(2025)%20.xlsx" TargetMode="External"/><Relationship Id="rId21" Type="http://schemas.openxmlformats.org/officeDocument/2006/relationships/hyperlink" Target="..\Revision%20Interna\2024\VDA%206.3%20Process\REPORT%20Kubal%20Audit%20(VDA%206.3)%20Feb%2021%202024\VDA%206.3%206060592%20Etem%20Process%20feb%2021%202024.xlsm" TargetMode="External"/><Relationship Id="rId34" Type="http://schemas.openxmlformats.org/officeDocument/2006/relationships/hyperlink" Target="..\Revision%20Interna\2025\VDA%206.5%20Product\VDA%206.5%20Product%20606035%20(2025-04-28)\VDA6_5_Product_Audit_Report%202025-04-28.xlsx" TargetMode="External"/><Relationship Id="rId42" Type="http://schemas.openxmlformats.org/officeDocument/2006/relationships/hyperlink" Target="..\Revision%20Interna\2026\VDA%206.5%20Product\VDA%206.5%20Product%20M16063%20(2026-02-25)\VDA%206.5%20Product%20audit%20report_2026-02-26.xlsx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Revision%20Interna\2023\VDA%206.5%20Product\VDA%206.5%20Product%20M26060_%20(18%20Dec%202023)\VDA%206.5%20Product_M26060%20Audit_%20Billets%20Dec%2018%202023%20%20(Charge%20312247)%20.xlsx" TargetMode="External"/><Relationship Id="rId2" Type="http://schemas.openxmlformats.org/officeDocument/2006/relationships/hyperlink" Target="Revision%20Interna\2023\VDA%206.3%20Process\Follow%20up%20Scrap%20reasons%20sep%202023\REPORT%20Kubal%20Audit%206815%20%20(VDA%206.3)%2019.09.2023%20.xlsm" TargetMode="External"/><Relationship Id="rId16" Type="http://schemas.openxmlformats.org/officeDocument/2006/relationships/hyperlink" Target="..\Revision%20Interna\2024\VDA%206.5%20Product\VDA%206.5%20Product_6082561%20(May.%2008%202024)\VDA%206.5%20Product_6082561_%20202405111%20Billets%20203%20mm%20May%2008%202024.xlsx" TargetMode="External"/><Relationship Id="rId29" Type="http://schemas.openxmlformats.org/officeDocument/2006/relationships/hyperlink" Target="https://www.ecovadis-survey.com/app/" TargetMode="External"/><Relationship Id="rId1" Type="http://schemas.openxmlformats.org/officeDocument/2006/relationships/hyperlink" Target="Revision%20Interna\2023\VDA%206.3%20Process\Follow%20up%20due%20to%20Claim%2011678%20%20(Alloy%207948F)\REPORT%20Claim%207948F%20All%20shifts%20mar.%202023%20.xlsm" TargetMode="External"/><Relationship Id="rId6" Type="http://schemas.openxmlformats.org/officeDocument/2006/relationships/hyperlink" Target="Revision%20Interna\2023\VDA%206.5%20Product\VDA%206.5%20Product_6005EX_(13%20Jun%202023)\VDA%206.5%20Product_6005EX%20%20Audit_%20Billets%20June%2013%20%202023%20%20(Charge%20KC%20306161)%20.xlsx" TargetMode="External"/><Relationship Id="rId11" Type="http://schemas.openxmlformats.org/officeDocument/2006/relationships/hyperlink" Target="..\Revision%20Interna\2024\ISO%209001\ISO%209001%20Internal%20Audit%20Report%20(2024%2003%2027).xlsx" TargetMode="External"/><Relationship Id="rId24" Type="http://schemas.openxmlformats.org/officeDocument/2006/relationships/hyperlink" Target="..\Revision%20Interna\2024\VDA%206.5%20Product\VDA%206.5%20Product_6082561%20(May.%2008%202024)\VDA%206.5%20Product_6082561_%20202405107%20Billets%20203mm%20May%2008%202024.xlsx" TargetMode="External"/><Relationship Id="rId32" Type="http://schemas.openxmlformats.org/officeDocument/2006/relationships/hyperlink" Target="..\Revision%20Interna\2025\VDA%206.3%20Process\Report%20Kubal%20Audit%20(VDA%206.3)%20Mar%2003%20Trial%20alloy%20105033\VDA%206.3%20Process%20Audit_Trial%20105033%20(mar%2003%20)%20.xlsm" TargetMode="External"/><Relationship Id="rId37" Type="http://schemas.openxmlformats.org/officeDocument/2006/relationships/hyperlink" Target="..\..\IATF%2016949-2016\8.4%20Suppliers\Suppliers%20Audit%20Programme\Supplier%20Audit%20result\2025" TargetMode="External"/><Relationship Id="rId40" Type="http://schemas.openxmlformats.org/officeDocument/2006/relationships/hyperlink" Target="../Revision%20Interna/2025/SALES%20(Zug)" TargetMode="External"/><Relationship Id="rId45" Type="http://schemas.openxmlformats.org/officeDocument/2006/relationships/printerSettings" Target="../printerSettings/printerSettings2.bin"/><Relationship Id="rId5" Type="http://schemas.openxmlformats.org/officeDocument/2006/relationships/hyperlink" Target="Revision%20Interna\2023\VDA%206.5%20Product\VDA%206.5%20Product%20M16063_(13%20Jun%202023)\VDA%206.5%20Product_M16063%20%20Audit_%20Billets%20June%2013%20%202023%20%20(Charge%20306108%20&amp;%20306161)%20.xlsx" TargetMode="External"/><Relationship Id="rId15" Type="http://schemas.openxmlformats.org/officeDocument/2006/relationships/hyperlink" Target="Revision%20Interna\2023\ISO%209001\ISO%209001%20Internal%20Audit%20Report%20KUBAL.xlsx" TargetMode="External"/><Relationship Id="rId23" Type="http://schemas.openxmlformats.org/officeDocument/2006/relationships/hyperlink" Target="../Revision%20Interna/2024/CO2/Revrapport%20handel%20med%20utsl&#228;ppsr&#228;tter%20(2024%20mar)%20.xlsx" TargetMode="External"/><Relationship Id="rId28" Type="http://schemas.openxmlformats.org/officeDocument/2006/relationships/hyperlink" Target="..\Revision%20Interna\2025\VDA%206.5%20Product\VDA%206.5%20Product%20105003%20(2025-03-07)\REPORT_VDA%206.5%20Product_105003_Slabs%20503033%20(mar%204%202025)%20Trial%20new%20customer.xlsx" TargetMode="External"/><Relationship Id="rId36" Type="http://schemas.openxmlformats.org/officeDocument/2006/relationships/hyperlink" Target="..\Revision%20Interna\2025\IATF%2016949\Aug\QMS%20Internal%20Audit%20Report_IATF%2016949_Aug%202025.xlsx" TargetMode="External"/><Relationship Id="rId10" Type="http://schemas.openxmlformats.org/officeDocument/2006/relationships/hyperlink" Target="..\Revision%20Interna\2024\VDA%206.5%20Product\VDA%206.5%20Product%206060592%20(Feb.%2021%202024)\VDA%206.5%20Product_6060592_%20Billets%20Feb%2021%202024%20.xlsx" TargetMode="External"/><Relationship Id="rId19" Type="http://schemas.openxmlformats.org/officeDocument/2006/relationships/hyperlink" Target="..\Revision%20Interna\2024\IATF%2016949\Sep%202024" TargetMode="External"/><Relationship Id="rId31" Type="http://schemas.openxmlformats.org/officeDocument/2006/relationships/hyperlink" Target="..\Revision%20Interna\2025\ISO%2014001\Maj\EMS%20Internal%20Audit%20Report_ISO%2014001-2015.xlsx" TargetMode="External"/><Relationship Id="rId44" Type="http://schemas.openxmlformats.org/officeDocument/2006/relationships/hyperlink" Target="..\Revision%20Interna\2026\ASI\Gap-analysis%20ASI%202026%20Kubal.xlsx" TargetMode="External"/><Relationship Id="rId4" Type="http://schemas.openxmlformats.org/officeDocument/2006/relationships/hyperlink" Target="Revision%20Interna\2023\VDA%206.5%20Product\VDA%206.5%20Product%207857_(27%20Sep%202023)\REPORT_VDA%206.5%20Product_Internal%20Audit_Slabs%207857%20(Sep%2027%20%202023)%20Final%20version.xlsx" TargetMode="External"/><Relationship Id="rId9" Type="http://schemas.openxmlformats.org/officeDocument/2006/relationships/hyperlink" Target="Revision%20Interna\2023\VDA%206.5%20Product\VDA%206.5%20Product_6815_(19%20Apr%202023)\REPORT_VDA%206.5%20Product_Internal%20Audit_Slabs%206815%20(19%20April%202023.xlsx" TargetMode="External"/><Relationship Id="rId14" Type="http://schemas.openxmlformats.org/officeDocument/2006/relationships/hyperlink" Target="Revision%20Interna\2023\IATF%2016949\QMS%20Audit%20(Sep%202023)\QMS%20Internal%20Audit%20Report_IATF%2016949_Sep%202023%20(Final%20Regina%20P.).xlsx" TargetMode="External"/><Relationship Id="rId22" Type="http://schemas.openxmlformats.org/officeDocument/2006/relationships/hyperlink" Target="..\Revision%20Interna\2024\VDA%206.3%20Process\REPORT%20Kubal%20Audit%20(VDA%206.3)%20May%2007%202024\VDA%206.3%206082569%20Etem%20Process%20may%2007%202024.xlsm" TargetMode="External"/><Relationship Id="rId27" Type="http://schemas.openxmlformats.org/officeDocument/2006/relationships/hyperlink" Target="..\Revision%20Interna\2025\VDA%206.5%20Product\VDA%206.5%20Product%20105003%20(2025-03-18)\VDA%206.5%20Product_105003_%20Charge%20202503279%20Slab%20Mar%2018%202025%20(Final).xlsx" TargetMode="External"/><Relationship Id="rId30" Type="http://schemas.openxmlformats.org/officeDocument/2006/relationships/hyperlink" Target="..\Revision%20Interna\2025\VDA%206.5%20Product\VDA%206.5%20Product%206060N%20(2025-06-11)\VDA%206.5%20Product%202025-06-11.xlsx" TargetMode="External"/><Relationship Id="rId35" Type="http://schemas.openxmlformats.org/officeDocument/2006/relationships/hyperlink" Target="..\Revision%20Interna\2025\ISO%209001\Aug\QMS%20Internal%20Audit%20Report%20ISO%209001_Aug%202025.xlsx" TargetMode="External"/><Relationship Id="rId43" Type="http://schemas.openxmlformats.org/officeDocument/2006/relationships/hyperlink" Target="../Revision%20Interna/2026/CO2/Intern%20revision%20CO2_2026.xlsx" TargetMode="External"/><Relationship Id="rId48" Type="http://schemas.openxmlformats.org/officeDocument/2006/relationships/comments" Target="../comments1.xml"/><Relationship Id="rId8" Type="http://schemas.openxmlformats.org/officeDocument/2006/relationships/hyperlink" Target="../Revision%20Interna/2023/VDA%206.5%20Product/VDA%206.5%20Product_6060%20MF_(22%20Feb%202023)/VDA%206.5%20Product_MF6060%20%20Audit_%20Billets%20Feb%2022%202023.xlsx" TargetMode="External"/><Relationship Id="rId3" Type="http://schemas.openxmlformats.org/officeDocument/2006/relationships/hyperlink" Target="../Revision%20Interna/2023/VDA%206.5%20Product/VDA%206.5%20Product%207948F_(07%20Mar%202023)/REPORT_VDA%206.5%20Product_Internal%20Audit_Slabs%207948F%20(07.%20Mar.%202023)%20Claim%2011678%20.xlsx" TargetMode="External"/><Relationship Id="rId12" Type="http://schemas.openxmlformats.org/officeDocument/2006/relationships/hyperlink" Target="Revision%20Interna\2023\CO2\Revrapport%20handel%20med%20utsl&#228;ppsr&#228;tter%20(2023%20mar)%20.xlsx" TargetMode="External"/><Relationship Id="rId17" Type="http://schemas.openxmlformats.org/officeDocument/2006/relationships/hyperlink" Target="../../IATF%2016949-2016/8.4%20Suppliers/Suppliers%20Audit%20Programme/Supplier%20Audit%20result/2023/Rodabel%20(03-04%20Oct)" TargetMode="External"/><Relationship Id="rId25" Type="http://schemas.openxmlformats.org/officeDocument/2006/relationships/hyperlink" Target="..\Revision%20Interna\2024\VDA%206.5%20Product\VDA%206.5%20Product_6082569%20(May.%2008%202024)\VDA%206.5%20Product_6082569_202405102%20Billets%20%20203mm%20May%2008%202024.xlsx" TargetMode="External"/><Relationship Id="rId33" Type="http://schemas.openxmlformats.org/officeDocument/2006/relationships/hyperlink" Target="..\Revision%20Interna\2025\VDA%206.3%20Process\Report%20Kubal%20Audit%20(VDA%206.3)%20Mar%2018%20Trial%20alloy%20105033%20-%20nr%204\VDA%206.3%20Process%20Audit_Trial%20105033%20(mar%2018%20)%20.xlsm" TargetMode="External"/><Relationship Id="rId38" Type="http://schemas.openxmlformats.org/officeDocument/2006/relationships/hyperlink" Target="..\Revision%20Interna\2025\VDA%206.3%20Process\REPORT%20Kubal%20Audit%20(VDA%206.3)%20Feb%2025%202025%20Moldshop\VDA%206.3%20Process%20Audit_Moldshop%20Feb%2025%20.xlsm" TargetMode="External"/><Relationship Id="rId46" Type="http://schemas.openxmlformats.org/officeDocument/2006/relationships/drawing" Target="../drawings/drawing2.xml"/><Relationship Id="rId20" Type="http://schemas.openxmlformats.org/officeDocument/2006/relationships/hyperlink" Target="..\Revision%20Interna\2024\VDA%206.5%20Product\VDA%206.5%20Product_6060592%20(Apr.%2009%202024)\VDA%206.5%20Product_6060592_%20228mm%20Billets%20Apr%2009%202024%20.xlsx" TargetMode="External"/><Relationship Id="rId41" Type="http://schemas.openxmlformats.org/officeDocument/2006/relationships/hyperlink" Target="..\Revision%20Interna\2025\VDA%206.5%20Product\VDA%206.5%20Product%20606035%20(2025-12-11)\VDA%206.5%20Product%20Audit%20report%20606035%20(2025-12-11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9EFA-92FD-424B-89B8-F1CE402D3374}">
  <dimension ref="B3:F52"/>
  <sheetViews>
    <sheetView showGridLines="0" topLeftCell="C2" zoomScale="90" zoomScaleNormal="90" workbookViewId="0">
      <pane ySplit="10" topLeftCell="A15" activePane="bottomLeft" state="frozen"/>
      <selection activeCell="A2" sqref="A2"/>
      <selection pane="bottomLeft" activeCell="F19" sqref="F19"/>
    </sheetView>
  </sheetViews>
  <sheetFormatPr defaultColWidth="11.42578125" defaultRowHeight="12.75" x14ac:dyDescent="0.2"/>
  <cols>
    <col min="1" max="1" width="1.5703125" style="35" customWidth="1"/>
    <col min="2" max="2" width="24.42578125" style="35" bestFit="1" customWidth="1"/>
    <col min="3" max="3" width="81.5703125" style="35" bestFit="1" customWidth="1"/>
    <col min="4" max="4" width="10.7109375" style="48" customWidth="1"/>
    <col min="5" max="5" width="24.42578125" style="48" customWidth="1"/>
    <col min="6" max="6" width="47.7109375" style="48" customWidth="1"/>
    <col min="7" max="257" width="8.85546875" style="35" customWidth="1"/>
    <col min="258" max="16384" width="11.42578125" style="35"/>
  </cols>
  <sheetData>
    <row r="3" spans="2:6" ht="42" customHeight="1" x14ac:dyDescent="0.2">
      <c r="B3" s="149" t="s">
        <v>70</v>
      </c>
      <c r="C3" s="150"/>
      <c r="D3" s="150"/>
      <c r="E3" s="150"/>
      <c r="F3" s="151"/>
    </row>
    <row r="4" spans="2:6" ht="15.75" x14ac:dyDescent="0.2">
      <c r="B4" s="36" t="s">
        <v>54</v>
      </c>
      <c r="C4" s="152" t="s">
        <v>55</v>
      </c>
      <c r="D4" s="152"/>
      <c r="E4" s="152"/>
      <c r="F4" s="152"/>
    </row>
    <row r="5" spans="2:6" ht="15.75" x14ac:dyDescent="0.25">
      <c r="B5" s="37" t="s">
        <v>56</v>
      </c>
      <c r="C5" s="152" t="s">
        <v>57</v>
      </c>
      <c r="D5" s="152"/>
      <c r="E5" s="152"/>
      <c r="F5" s="152"/>
    </row>
    <row r="6" spans="2:6" ht="15" customHeight="1" x14ac:dyDescent="0.2">
      <c r="B6" s="38" t="s">
        <v>58</v>
      </c>
      <c r="C6" s="39">
        <v>9</v>
      </c>
      <c r="D6" s="153"/>
      <c r="E6" s="154"/>
      <c r="F6" s="155"/>
    </row>
    <row r="7" spans="2:6" s="41" customFormat="1" ht="15.75" customHeight="1" x14ac:dyDescent="0.25">
      <c r="B7" s="38" t="s">
        <v>59</v>
      </c>
      <c r="C7" s="40">
        <v>46058</v>
      </c>
      <c r="D7" s="145"/>
      <c r="E7" s="146"/>
      <c r="F7" s="147"/>
    </row>
    <row r="8" spans="2:6" s="41" customFormat="1" ht="15.75" customHeight="1" x14ac:dyDescent="0.25">
      <c r="B8" s="42" t="s">
        <v>60</v>
      </c>
      <c r="C8" s="43" t="s">
        <v>61</v>
      </c>
      <c r="D8" s="145"/>
      <c r="E8" s="146"/>
      <c r="F8" s="147"/>
    </row>
    <row r="9" spans="2:6" s="41" customFormat="1" ht="15" x14ac:dyDescent="0.25">
      <c r="B9" s="42" t="s">
        <v>62</v>
      </c>
      <c r="C9" s="44">
        <v>44704</v>
      </c>
      <c r="D9" s="145"/>
      <c r="E9" s="146"/>
      <c r="F9" s="147"/>
    </row>
    <row r="10" spans="2:6" s="41" customFormat="1" ht="21" customHeight="1" thickBot="1" x14ac:dyDescent="0.3">
      <c r="B10" s="148" t="s">
        <v>63</v>
      </c>
      <c r="C10" s="148"/>
      <c r="D10" s="148"/>
      <c r="E10" s="148"/>
      <c r="F10" s="148"/>
    </row>
    <row r="11" spans="2:6" s="41" customFormat="1" ht="30" x14ac:dyDescent="0.25">
      <c r="B11" s="45" t="s">
        <v>64</v>
      </c>
      <c r="C11" s="46" t="s">
        <v>65</v>
      </c>
      <c r="D11" s="46" t="s">
        <v>66</v>
      </c>
      <c r="E11" s="46" t="s">
        <v>67</v>
      </c>
      <c r="F11" s="47" t="s">
        <v>68</v>
      </c>
    </row>
    <row r="12" spans="2:6" s="41" customFormat="1" ht="18.95" customHeight="1" x14ac:dyDescent="0.25">
      <c r="B12" s="139">
        <v>45729</v>
      </c>
      <c r="C12" s="140" t="s">
        <v>71</v>
      </c>
      <c r="D12" s="141">
        <v>2</v>
      </c>
      <c r="E12" s="141" t="s">
        <v>69</v>
      </c>
      <c r="F12" s="142"/>
    </row>
    <row r="13" spans="2:6" s="41" customFormat="1" ht="18.95" customHeight="1" x14ac:dyDescent="0.25">
      <c r="B13" s="121">
        <v>45743</v>
      </c>
      <c r="C13" s="122" t="s">
        <v>72</v>
      </c>
      <c r="D13" s="123">
        <v>3</v>
      </c>
      <c r="E13" s="123" t="s">
        <v>69</v>
      </c>
      <c r="F13" s="124"/>
    </row>
    <row r="14" spans="2:6" s="41" customFormat="1" ht="18.95" customHeight="1" x14ac:dyDescent="0.25">
      <c r="B14" s="121">
        <v>45769</v>
      </c>
      <c r="C14" s="122" t="s">
        <v>73</v>
      </c>
      <c r="D14" s="123">
        <v>4</v>
      </c>
      <c r="E14" s="123" t="s">
        <v>74</v>
      </c>
      <c r="F14" s="124"/>
    </row>
    <row r="15" spans="2:6" s="41" customFormat="1" ht="18.95" customHeight="1" x14ac:dyDescent="0.25">
      <c r="B15" s="121">
        <v>45883</v>
      </c>
      <c r="C15" s="122" t="s">
        <v>77</v>
      </c>
      <c r="D15" s="123">
        <v>5</v>
      </c>
      <c r="E15" s="123" t="s">
        <v>69</v>
      </c>
      <c r="F15" s="124"/>
    </row>
    <row r="16" spans="2:6" s="41" customFormat="1" ht="18.95" customHeight="1" x14ac:dyDescent="0.25">
      <c r="B16" s="121">
        <v>45918</v>
      </c>
      <c r="C16" s="122" t="s">
        <v>79</v>
      </c>
      <c r="D16" s="123">
        <v>6</v>
      </c>
      <c r="E16" s="123" t="s">
        <v>69</v>
      </c>
      <c r="F16" s="124"/>
    </row>
    <row r="17" spans="2:6" s="41" customFormat="1" ht="18.95" customHeight="1" x14ac:dyDescent="0.25">
      <c r="B17" s="121">
        <v>45945</v>
      </c>
      <c r="C17" s="122" t="s">
        <v>96</v>
      </c>
      <c r="D17" s="123">
        <v>7</v>
      </c>
      <c r="E17" s="123" t="s">
        <v>74</v>
      </c>
      <c r="F17" s="124" t="s">
        <v>97</v>
      </c>
    </row>
    <row r="18" spans="2:6" s="41" customFormat="1" ht="18.95" customHeight="1" x14ac:dyDescent="0.25">
      <c r="B18" s="121">
        <v>46036</v>
      </c>
      <c r="C18" s="122" t="s">
        <v>117</v>
      </c>
      <c r="D18" s="123">
        <v>8</v>
      </c>
      <c r="E18" s="123" t="s">
        <v>74</v>
      </c>
      <c r="F18" s="124" t="s">
        <v>118</v>
      </c>
    </row>
    <row r="19" spans="2:6" s="41" customFormat="1" ht="18.95" customHeight="1" x14ac:dyDescent="0.25">
      <c r="B19" s="121">
        <v>46058</v>
      </c>
      <c r="C19" s="122" t="s">
        <v>116</v>
      </c>
      <c r="D19" s="123">
        <v>9</v>
      </c>
      <c r="E19" s="123" t="s">
        <v>69</v>
      </c>
      <c r="F19" s="124"/>
    </row>
    <row r="20" spans="2:6" s="41" customFormat="1" ht="18.95" customHeight="1" x14ac:dyDescent="0.25">
      <c r="B20" s="121"/>
      <c r="C20" s="122"/>
      <c r="D20" s="123"/>
      <c r="E20" s="123"/>
      <c r="F20" s="124"/>
    </row>
    <row r="21" spans="2:6" s="41" customFormat="1" ht="18.95" customHeight="1" x14ac:dyDescent="0.25">
      <c r="B21" s="121"/>
      <c r="C21" s="122"/>
      <c r="D21" s="123"/>
      <c r="E21" s="123"/>
      <c r="F21" s="124"/>
    </row>
    <row r="22" spans="2:6" s="41" customFormat="1" ht="18.95" customHeight="1" x14ac:dyDescent="0.25">
      <c r="B22" s="125"/>
      <c r="C22" s="122"/>
      <c r="D22" s="123"/>
      <c r="E22" s="123"/>
      <c r="F22" s="124"/>
    </row>
    <row r="23" spans="2:6" s="41" customFormat="1" ht="18.95" customHeight="1" x14ac:dyDescent="0.25">
      <c r="B23" s="125"/>
      <c r="C23" s="122"/>
      <c r="D23" s="123"/>
      <c r="E23" s="123"/>
      <c r="F23" s="124"/>
    </row>
    <row r="24" spans="2:6" s="41" customFormat="1" ht="18.95" customHeight="1" x14ac:dyDescent="0.25">
      <c r="B24" s="125"/>
      <c r="C24" s="122"/>
      <c r="D24" s="123"/>
      <c r="E24" s="123"/>
      <c r="F24" s="124"/>
    </row>
    <row r="25" spans="2:6" s="41" customFormat="1" ht="18.95" customHeight="1" x14ac:dyDescent="0.25">
      <c r="B25" s="125"/>
      <c r="C25" s="122"/>
      <c r="D25" s="123"/>
      <c r="E25" s="123"/>
      <c r="F25" s="124"/>
    </row>
    <row r="26" spans="2:6" s="41" customFormat="1" ht="18.95" customHeight="1" x14ac:dyDescent="0.25">
      <c r="B26" s="125"/>
      <c r="C26" s="122"/>
      <c r="D26" s="123"/>
      <c r="E26" s="123"/>
      <c r="F26" s="124"/>
    </row>
    <row r="27" spans="2:6" s="41" customFormat="1" ht="18.95" customHeight="1" x14ac:dyDescent="0.25">
      <c r="B27" s="125"/>
      <c r="C27" s="122"/>
      <c r="D27" s="123"/>
      <c r="E27" s="123"/>
      <c r="F27" s="124"/>
    </row>
    <row r="28" spans="2:6" s="41" customFormat="1" ht="18.95" customHeight="1" x14ac:dyDescent="0.25">
      <c r="B28" s="125"/>
      <c r="C28" s="122"/>
      <c r="D28" s="123"/>
      <c r="E28" s="123"/>
      <c r="F28" s="124"/>
    </row>
    <row r="29" spans="2:6" s="41" customFormat="1" ht="18.95" customHeight="1" x14ac:dyDescent="0.25">
      <c r="B29" s="125"/>
      <c r="C29" s="122"/>
      <c r="D29" s="123"/>
      <c r="E29" s="123"/>
      <c r="F29" s="124"/>
    </row>
    <row r="30" spans="2:6" s="41" customFormat="1" ht="18.95" customHeight="1" x14ac:dyDescent="0.25">
      <c r="B30" s="125"/>
      <c r="C30" s="122"/>
      <c r="D30" s="123"/>
      <c r="E30" s="123"/>
      <c r="F30" s="124"/>
    </row>
    <row r="31" spans="2:6" s="41" customFormat="1" ht="18.95" customHeight="1" x14ac:dyDescent="0.25">
      <c r="B31" s="125"/>
      <c r="C31" s="122"/>
      <c r="D31" s="123"/>
      <c r="E31" s="123"/>
      <c r="F31" s="124"/>
    </row>
    <row r="32" spans="2:6" s="41" customFormat="1" ht="18.95" customHeight="1" x14ac:dyDescent="0.25">
      <c r="B32" s="125"/>
      <c r="C32" s="122"/>
      <c r="D32" s="123"/>
      <c r="E32" s="123"/>
      <c r="F32" s="124"/>
    </row>
    <row r="33" spans="2:6" s="41" customFormat="1" ht="18.95" customHeight="1" x14ac:dyDescent="0.25">
      <c r="B33" s="125"/>
      <c r="C33" s="122"/>
      <c r="D33" s="123"/>
      <c r="E33" s="123"/>
      <c r="F33" s="124"/>
    </row>
    <row r="34" spans="2:6" s="41" customFormat="1" ht="18.95" customHeight="1" x14ac:dyDescent="0.25">
      <c r="B34" s="125"/>
      <c r="C34" s="122"/>
      <c r="D34" s="123"/>
      <c r="E34" s="123"/>
      <c r="F34" s="124"/>
    </row>
    <row r="35" spans="2:6" s="41" customFormat="1" ht="18.95" customHeight="1" x14ac:dyDescent="0.25">
      <c r="B35" s="125"/>
      <c r="C35" s="122"/>
      <c r="D35" s="123"/>
      <c r="E35" s="123"/>
      <c r="F35" s="124"/>
    </row>
    <row r="36" spans="2:6" s="41" customFormat="1" ht="18.95" customHeight="1" x14ac:dyDescent="0.25">
      <c r="B36" s="125"/>
      <c r="C36" s="122"/>
      <c r="D36" s="123"/>
      <c r="E36" s="123"/>
      <c r="F36" s="124"/>
    </row>
    <row r="37" spans="2:6" s="41" customFormat="1" ht="18.95" customHeight="1" x14ac:dyDescent="0.25">
      <c r="B37" s="125"/>
      <c r="C37" s="126"/>
      <c r="D37" s="123"/>
      <c r="E37" s="127"/>
      <c r="F37" s="128"/>
    </row>
    <row r="38" spans="2:6" s="41" customFormat="1" ht="18.95" customHeight="1" x14ac:dyDescent="0.25">
      <c r="B38" s="125"/>
      <c r="C38" s="126"/>
      <c r="D38" s="123"/>
      <c r="E38" s="127"/>
      <c r="F38" s="128"/>
    </row>
    <row r="39" spans="2:6" s="41" customFormat="1" ht="18.95" customHeight="1" x14ac:dyDescent="0.25">
      <c r="B39" s="125"/>
      <c r="C39" s="126"/>
      <c r="D39" s="123"/>
      <c r="E39" s="127"/>
      <c r="F39" s="128"/>
    </row>
    <row r="40" spans="2:6" s="41" customFormat="1" ht="18.95" customHeight="1" x14ac:dyDescent="0.25">
      <c r="B40" s="125"/>
      <c r="C40" s="126"/>
      <c r="D40" s="123"/>
      <c r="E40" s="127"/>
      <c r="F40" s="128"/>
    </row>
    <row r="41" spans="2:6" s="41" customFormat="1" ht="18.95" customHeight="1" x14ac:dyDescent="0.25">
      <c r="B41" s="125"/>
      <c r="C41" s="126"/>
      <c r="D41" s="123"/>
      <c r="E41" s="127"/>
      <c r="F41" s="128"/>
    </row>
    <row r="42" spans="2:6" s="41" customFormat="1" ht="18.95" customHeight="1" x14ac:dyDescent="0.25">
      <c r="B42" s="125"/>
      <c r="C42" s="126"/>
      <c r="D42" s="123"/>
      <c r="E42" s="127"/>
      <c r="F42" s="128"/>
    </row>
    <row r="43" spans="2:6" s="41" customFormat="1" ht="18.95" customHeight="1" x14ac:dyDescent="0.25">
      <c r="B43" s="125"/>
      <c r="C43" s="126"/>
      <c r="D43" s="123"/>
      <c r="E43" s="127"/>
      <c r="F43" s="128"/>
    </row>
    <row r="44" spans="2:6" s="41" customFormat="1" ht="18.95" customHeight="1" x14ac:dyDescent="0.25">
      <c r="B44" s="125"/>
      <c r="C44" s="126"/>
      <c r="D44" s="123"/>
      <c r="E44" s="127"/>
      <c r="F44" s="128"/>
    </row>
    <row r="45" spans="2:6" s="41" customFormat="1" ht="18.95" customHeight="1" x14ac:dyDescent="0.25">
      <c r="B45" s="129"/>
      <c r="C45" s="126"/>
      <c r="D45" s="123"/>
      <c r="E45" s="127"/>
      <c r="F45" s="128"/>
    </row>
    <row r="46" spans="2:6" ht="18.95" customHeight="1" x14ac:dyDescent="0.2">
      <c r="B46" s="130"/>
      <c r="C46" s="122"/>
      <c r="D46" s="123"/>
      <c r="E46" s="131"/>
      <c r="F46" s="132"/>
    </row>
    <row r="47" spans="2:6" ht="18.95" customHeight="1" x14ac:dyDescent="0.2">
      <c r="B47" s="130"/>
      <c r="C47" s="133"/>
      <c r="D47" s="123"/>
      <c r="E47" s="131"/>
      <c r="F47" s="132"/>
    </row>
    <row r="48" spans="2:6" ht="18.95" customHeight="1" x14ac:dyDescent="0.2">
      <c r="B48" s="130"/>
      <c r="C48" s="133"/>
      <c r="D48" s="123"/>
      <c r="E48" s="131"/>
      <c r="F48" s="132"/>
    </row>
    <row r="49" spans="2:6" ht="18.95" customHeight="1" x14ac:dyDescent="0.2">
      <c r="B49" s="130"/>
      <c r="C49" s="133"/>
      <c r="D49" s="123"/>
      <c r="E49" s="131"/>
      <c r="F49" s="132"/>
    </row>
    <row r="50" spans="2:6" ht="18.95" customHeight="1" x14ac:dyDescent="0.2">
      <c r="B50" s="130"/>
      <c r="C50" s="133"/>
      <c r="D50" s="123"/>
      <c r="E50" s="131"/>
      <c r="F50" s="132"/>
    </row>
    <row r="51" spans="2:6" ht="18.95" customHeight="1" x14ac:dyDescent="0.2">
      <c r="B51" s="130"/>
      <c r="C51" s="133"/>
      <c r="D51" s="123"/>
      <c r="E51" s="131"/>
      <c r="F51" s="132"/>
    </row>
    <row r="52" spans="2:6" ht="18.95" customHeight="1" thickBot="1" x14ac:dyDescent="0.25">
      <c r="B52" s="134"/>
      <c r="C52" s="135"/>
      <c r="D52" s="136"/>
      <c r="E52" s="137"/>
      <c r="F52" s="138"/>
    </row>
  </sheetData>
  <mergeCells count="8">
    <mergeCell ref="D9:F9"/>
    <mergeCell ref="B10:F10"/>
    <mergeCell ref="B3:F3"/>
    <mergeCell ref="C4:F4"/>
    <mergeCell ref="C5:F5"/>
    <mergeCell ref="D6:F6"/>
    <mergeCell ref="D7:F7"/>
    <mergeCell ref="D8:F8"/>
  </mergeCells>
  <printOptions horizontalCentered="1"/>
  <pageMargins left="0.59055118110236204" right="0.39370078740157499" top="0.31496062992126" bottom="0.31496062992126" header="0.31496062992126" footer="0.31496062992126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860A-26BC-4CBD-AF1C-3E4E967E07D9}">
  <sheetPr>
    <pageSetUpPr fitToPage="1"/>
  </sheetPr>
  <dimension ref="B2:BE92"/>
  <sheetViews>
    <sheetView showGridLines="0" tabSelected="1" zoomScaleNormal="100" zoomScaleSheetLayoutView="72" workbookViewId="0">
      <pane xSplit="3" topLeftCell="D1" activePane="topRight" state="frozen"/>
      <selection pane="topRight" activeCell="G54" sqref="G54"/>
    </sheetView>
  </sheetViews>
  <sheetFormatPr defaultRowHeight="15" x14ac:dyDescent="0.25"/>
  <cols>
    <col min="1" max="1" width="1.7109375" customWidth="1"/>
    <col min="2" max="2" width="11" style="3" customWidth="1"/>
    <col min="3" max="3" width="22.140625" style="3" customWidth="1"/>
    <col min="4" max="4" width="7" style="3" customWidth="1"/>
    <col min="5" max="17" width="4.42578125" style="1" customWidth="1"/>
    <col min="18" max="56" width="4.42578125" customWidth="1"/>
    <col min="57" max="57" width="8.7109375" style="117"/>
  </cols>
  <sheetData>
    <row r="2" spans="2:57" s="51" customFormat="1" ht="13.5" customHeight="1" x14ac:dyDescent="0.25">
      <c r="B2" s="49" t="s">
        <v>19</v>
      </c>
      <c r="C2" s="50"/>
      <c r="D2" s="5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A2" s="30" t="s">
        <v>42</v>
      </c>
      <c r="AB2" s="51" t="s">
        <v>52</v>
      </c>
      <c r="AD2" s="61" t="s">
        <v>42</v>
      </c>
      <c r="AE2" s="51" t="s">
        <v>78</v>
      </c>
      <c r="BE2" s="116"/>
    </row>
    <row r="3" spans="2:57" s="51" customFormat="1" ht="13.5" customHeight="1" x14ac:dyDescent="0.25">
      <c r="B3" s="52"/>
      <c r="C3" s="50"/>
      <c r="D3" s="5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AA3" s="29" t="s">
        <v>42</v>
      </c>
      <c r="AB3" s="51" t="s">
        <v>51</v>
      </c>
      <c r="BE3" s="116"/>
    </row>
    <row r="4" spans="2:57" ht="25.35" customHeight="1" x14ac:dyDescent="0.25"/>
    <row r="5" spans="2:57" hidden="1" x14ac:dyDescent="0.25">
      <c r="B5" s="165" t="s">
        <v>20</v>
      </c>
      <c r="C5" s="165" t="s">
        <v>0</v>
      </c>
      <c r="D5" s="26"/>
      <c r="E5" s="165" t="s">
        <v>1</v>
      </c>
      <c r="F5" s="165"/>
      <c r="G5" s="165"/>
      <c r="H5" s="165"/>
      <c r="I5" s="165" t="s">
        <v>2</v>
      </c>
      <c r="J5" s="165"/>
      <c r="K5" s="165"/>
      <c r="L5" s="165"/>
      <c r="M5" s="165" t="s">
        <v>3</v>
      </c>
      <c r="N5" s="165"/>
      <c r="O5" s="165"/>
      <c r="P5" s="165"/>
      <c r="Q5" s="165"/>
      <c r="R5" s="163" t="s">
        <v>4</v>
      </c>
      <c r="S5" s="163"/>
      <c r="T5" s="163"/>
      <c r="U5" s="163"/>
      <c r="V5" s="163" t="s">
        <v>5</v>
      </c>
      <c r="W5" s="163"/>
      <c r="X5" s="163"/>
      <c r="Y5" s="163"/>
      <c r="Z5" s="163"/>
      <c r="AA5" s="163" t="s">
        <v>6</v>
      </c>
      <c r="AB5" s="163"/>
      <c r="AC5" s="163"/>
      <c r="AD5" s="163"/>
      <c r="AE5" s="163" t="s">
        <v>7</v>
      </c>
      <c r="AF5" s="163"/>
      <c r="AG5" s="163"/>
      <c r="AH5" s="163"/>
      <c r="AI5" s="165" t="s">
        <v>8</v>
      </c>
      <c r="AJ5" s="165"/>
      <c r="AK5" s="165"/>
      <c r="AL5" s="165"/>
      <c r="AM5" s="165"/>
      <c r="AN5" s="165" t="s">
        <v>9</v>
      </c>
      <c r="AO5" s="165"/>
      <c r="AP5" s="165"/>
      <c r="AQ5" s="165"/>
      <c r="AR5" s="163" t="s">
        <v>10</v>
      </c>
      <c r="AS5" s="163"/>
      <c r="AT5" s="163"/>
      <c r="AU5" s="163"/>
      <c r="AV5" s="163"/>
      <c r="AW5" s="163" t="s">
        <v>11</v>
      </c>
      <c r="AX5" s="163"/>
      <c r="AY5" s="163"/>
      <c r="AZ5" s="163"/>
      <c r="BA5" s="163" t="s">
        <v>12</v>
      </c>
      <c r="BB5" s="163"/>
      <c r="BC5" s="163"/>
      <c r="BD5" s="163"/>
    </row>
    <row r="6" spans="2:57" hidden="1" x14ac:dyDescent="0.25">
      <c r="B6" s="165"/>
      <c r="C6" s="165"/>
      <c r="D6" s="26"/>
      <c r="E6" s="14">
        <v>1</v>
      </c>
      <c r="F6" s="14">
        <v>2</v>
      </c>
      <c r="G6" s="14">
        <f>F6+1</f>
        <v>3</v>
      </c>
      <c r="H6" s="14">
        <f t="shared" ref="H6:AD6" si="0">G6+1</f>
        <v>4</v>
      </c>
      <c r="I6" s="14">
        <f t="shared" si="0"/>
        <v>5</v>
      </c>
      <c r="J6" s="14">
        <f t="shared" si="0"/>
        <v>6</v>
      </c>
      <c r="K6" s="14">
        <f t="shared" si="0"/>
        <v>7</v>
      </c>
      <c r="L6" s="14">
        <f t="shared" si="0"/>
        <v>8</v>
      </c>
      <c r="M6" s="14">
        <f t="shared" si="0"/>
        <v>9</v>
      </c>
      <c r="N6" s="14">
        <f t="shared" si="0"/>
        <v>10</v>
      </c>
      <c r="O6" s="14">
        <f t="shared" si="0"/>
        <v>11</v>
      </c>
      <c r="P6" s="14">
        <f t="shared" si="0"/>
        <v>12</v>
      </c>
      <c r="Q6" s="14">
        <f t="shared" si="0"/>
        <v>13</v>
      </c>
      <c r="R6" s="14">
        <f t="shared" si="0"/>
        <v>14</v>
      </c>
      <c r="S6" s="14">
        <f t="shared" si="0"/>
        <v>15</v>
      </c>
      <c r="T6" s="14">
        <f t="shared" si="0"/>
        <v>16</v>
      </c>
      <c r="U6" s="14">
        <f t="shared" si="0"/>
        <v>17</v>
      </c>
      <c r="V6" s="14">
        <f t="shared" si="0"/>
        <v>18</v>
      </c>
      <c r="W6" s="14">
        <f t="shared" si="0"/>
        <v>19</v>
      </c>
      <c r="X6" s="14">
        <f t="shared" si="0"/>
        <v>20</v>
      </c>
      <c r="Y6" s="14">
        <f t="shared" si="0"/>
        <v>21</v>
      </c>
      <c r="Z6" s="14">
        <f t="shared" si="0"/>
        <v>22</v>
      </c>
      <c r="AA6" s="14">
        <f t="shared" si="0"/>
        <v>23</v>
      </c>
      <c r="AB6" s="14">
        <f t="shared" si="0"/>
        <v>24</v>
      </c>
      <c r="AC6" s="14">
        <f t="shared" si="0"/>
        <v>25</v>
      </c>
      <c r="AD6" s="14">
        <f t="shared" si="0"/>
        <v>26</v>
      </c>
      <c r="AE6" s="14">
        <f>AD6+1</f>
        <v>27</v>
      </c>
      <c r="AF6" s="14">
        <f>AE6+1</f>
        <v>28</v>
      </c>
      <c r="AG6" s="14">
        <f>AF6+1</f>
        <v>29</v>
      </c>
      <c r="AH6" s="14">
        <f t="shared" ref="AH6:BD6" si="1">AG6+1</f>
        <v>30</v>
      </c>
      <c r="AI6" s="14">
        <f t="shared" si="1"/>
        <v>31</v>
      </c>
      <c r="AJ6" s="14">
        <f t="shared" si="1"/>
        <v>32</v>
      </c>
      <c r="AK6" s="14">
        <f t="shared" si="1"/>
        <v>33</v>
      </c>
      <c r="AL6" s="14">
        <f t="shared" si="1"/>
        <v>34</v>
      </c>
      <c r="AM6" s="14">
        <f t="shared" si="1"/>
        <v>35</v>
      </c>
      <c r="AN6" s="14">
        <f t="shared" si="1"/>
        <v>36</v>
      </c>
      <c r="AO6" s="14">
        <f t="shared" si="1"/>
        <v>37</v>
      </c>
      <c r="AP6" s="14">
        <f t="shared" si="1"/>
        <v>38</v>
      </c>
      <c r="AQ6" s="14">
        <f t="shared" si="1"/>
        <v>39</v>
      </c>
      <c r="AR6" s="14">
        <f t="shared" si="1"/>
        <v>40</v>
      </c>
      <c r="AS6" s="14">
        <f t="shared" si="1"/>
        <v>41</v>
      </c>
      <c r="AT6" s="14">
        <f t="shared" si="1"/>
        <v>42</v>
      </c>
      <c r="AU6" s="14">
        <f t="shared" si="1"/>
        <v>43</v>
      </c>
      <c r="AV6" s="14">
        <f t="shared" si="1"/>
        <v>44</v>
      </c>
      <c r="AW6" s="14">
        <f t="shared" si="1"/>
        <v>45</v>
      </c>
      <c r="AX6" s="14">
        <f t="shared" si="1"/>
        <v>46</v>
      </c>
      <c r="AY6" s="14">
        <f t="shared" si="1"/>
        <v>47</v>
      </c>
      <c r="AZ6" s="14">
        <f t="shared" si="1"/>
        <v>48</v>
      </c>
      <c r="BA6" s="14">
        <f t="shared" si="1"/>
        <v>49</v>
      </c>
      <c r="BB6" s="14">
        <f t="shared" si="1"/>
        <v>50</v>
      </c>
      <c r="BC6" s="14">
        <f t="shared" si="1"/>
        <v>51</v>
      </c>
      <c r="BD6" s="14">
        <f t="shared" si="1"/>
        <v>52</v>
      </c>
    </row>
    <row r="7" spans="2:57" ht="17.100000000000001" hidden="1" customHeight="1" x14ac:dyDescent="0.25">
      <c r="B7" s="168">
        <v>2023</v>
      </c>
      <c r="C7" s="7" t="s">
        <v>13</v>
      </c>
      <c r="D7" s="7"/>
      <c r="E7" s="8"/>
      <c r="F7" s="8"/>
      <c r="G7" s="8"/>
      <c r="H7" s="8"/>
      <c r="I7" s="5"/>
      <c r="J7" s="4"/>
      <c r="K7" s="4"/>
      <c r="L7" s="4"/>
      <c r="M7" s="8"/>
      <c r="N7" s="8"/>
      <c r="O7" s="8"/>
      <c r="P7" s="8"/>
      <c r="Q7" s="8"/>
      <c r="R7" s="6"/>
      <c r="S7" s="6"/>
      <c r="T7" s="6"/>
      <c r="U7" s="6"/>
      <c r="V7" s="9"/>
      <c r="W7" s="9"/>
      <c r="X7" s="9"/>
      <c r="Y7" s="9"/>
      <c r="Z7" s="9"/>
      <c r="AA7" s="6"/>
      <c r="AB7" s="6"/>
      <c r="AC7" s="6"/>
      <c r="AD7" s="6"/>
      <c r="AE7" s="8"/>
      <c r="AF7" s="8"/>
      <c r="AG7" s="8"/>
      <c r="AH7" s="8"/>
      <c r="AI7" s="5"/>
      <c r="AJ7" s="4"/>
      <c r="AK7" s="4"/>
      <c r="AL7" s="4"/>
      <c r="AM7" s="4"/>
      <c r="AN7" s="8"/>
      <c r="AO7" s="11" t="s">
        <v>21</v>
      </c>
      <c r="AP7" s="8"/>
      <c r="AQ7" s="8"/>
      <c r="AR7" s="6"/>
      <c r="AS7" s="6"/>
      <c r="AT7" s="6"/>
      <c r="AU7" s="6"/>
      <c r="AV7" s="6"/>
      <c r="AW7" s="9"/>
      <c r="AX7" s="9"/>
      <c r="AY7" s="9"/>
      <c r="AZ7" s="9"/>
      <c r="BA7" s="6"/>
      <c r="BB7" s="6"/>
      <c r="BC7" s="6"/>
      <c r="BD7" s="6"/>
    </row>
    <row r="8" spans="2:57" ht="17.100000000000001" hidden="1" customHeight="1" x14ac:dyDescent="0.25">
      <c r="B8" s="168"/>
      <c r="C8" s="7" t="s">
        <v>14</v>
      </c>
      <c r="D8" s="7"/>
      <c r="E8" s="8"/>
      <c r="F8" s="8"/>
      <c r="G8" s="8"/>
      <c r="H8" s="8"/>
      <c r="I8" s="5"/>
      <c r="J8" s="4"/>
      <c r="K8" s="4"/>
      <c r="L8" s="4"/>
      <c r="M8" s="8"/>
      <c r="N8" s="8"/>
      <c r="O8" s="8"/>
      <c r="P8" s="8"/>
      <c r="Q8" s="8"/>
      <c r="R8" s="6"/>
      <c r="S8" s="6"/>
      <c r="T8" s="6"/>
      <c r="U8" s="6"/>
      <c r="V8" s="9"/>
      <c r="W8" s="9"/>
      <c r="X8" s="9"/>
      <c r="Y8" s="9"/>
      <c r="Z8" s="9"/>
      <c r="AA8" s="6"/>
      <c r="AB8" s="6"/>
      <c r="AC8" s="6"/>
      <c r="AD8" s="6"/>
      <c r="AE8" s="8"/>
      <c r="AF8" s="8"/>
      <c r="AG8" s="8"/>
      <c r="AH8" s="8"/>
      <c r="AI8" s="5"/>
      <c r="AJ8" s="4"/>
      <c r="AK8" s="4"/>
      <c r="AL8" s="4"/>
      <c r="AM8" s="4"/>
      <c r="AN8" s="8"/>
      <c r="AO8" s="8"/>
      <c r="AP8" s="8"/>
      <c r="AQ8" s="8"/>
      <c r="AR8" s="6"/>
      <c r="AS8" s="6"/>
      <c r="AT8" s="6"/>
      <c r="AU8" s="6"/>
      <c r="AV8" s="6"/>
      <c r="AW8" s="9"/>
      <c r="AX8" s="9"/>
      <c r="AY8" s="9"/>
      <c r="AZ8" s="9"/>
      <c r="BA8" s="6"/>
      <c r="BB8" s="6"/>
      <c r="BC8" s="6"/>
      <c r="BD8" s="6"/>
    </row>
    <row r="9" spans="2:57" ht="17.100000000000001" hidden="1" customHeight="1" x14ac:dyDescent="0.25">
      <c r="B9" s="168"/>
      <c r="C9" s="7" t="s">
        <v>15</v>
      </c>
      <c r="D9" s="7"/>
      <c r="E9" s="8"/>
      <c r="F9" s="8"/>
      <c r="G9" s="8"/>
      <c r="H9" s="8"/>
      <c r="I9" s="5"/>
      <c r="J9" s="4"/>
      <c r="K9" s="4"/>
      <c r="L9" s="4"/>
      <c r="M9" s="8"/>
      <c r="N9" s="8"/>
      <c r="O9" s="8"/>
      <c r="P9" s="8"/>
      <c r="Q9" s="8"/>
      <c r="R9" s="6"/>
      <c r="S9" s="6"/>
      <c r="T9" s="6"/>
      <c r="U9" s="6"/>
      <c r="V9" s="9"/>
      <c r="W9" s="9"/>
      <c r="X9" s="10" t="s">
        <v>21</v>
      </c>
      <c r="Y9" s="9"/>
      <c r="Z9" s="9"/>
      <c r="AA9" s="6"/>
      <c r="AB9" s="6"/>
      <c r="AC9" s="6"/>
      <c r="AD9" s="6"/>
      <c r="AE9" s="8"/>
      <c r="AF9" s="8"/>
      <c r="AG9" s="8"/>
      <c r="AH9" s="8"/>
      <c r="AI9" s="5"/>
      <c r="AJ9" s="4"/>
      <c r="AK9" s="4"/>
      <c r="AL9" s="4"/>
      <c r="AM9" s="4"/>
      <c r="AN9" s="8"/>
      <c r="AO9" s="10" t="s">
        <v>21</v>
      </c>
      <c r="AP9" s="8"/>
      <c r="AQ9" s="8"/>
      <c r="AR9" s="6"/>
      <c r="AS9" s="6"/>
      <c r="AT9" s="6"/>
      <c r="AU9" s="6"/>
      <c r="AV9" s="6"/>
      <c r="AW9" s="9"/>
      <c r="AX9" s="9"/>
      <c r="AY9" s="9"/>
      <c r="AZ9" s="9"/>
      <c r="BA9" s="6"/>
      <c r="BB9" s="6"/>
      <c r="BC9" s="6"/>
      <c r="BD9" s="6"/>
    </row>
    <row r="10" spans="2:57" ht="17.100000000000001" hidden="1" customHeight="1" x14ac:dyDescent="0.25">
      <c r="B10" s="168"/>
      <c r="C10" s="7" t="s">
        <v>16</v>
      </c>
      <c r="D10" s="7"/>
      <c r="E10" s="8"/>
      <c r="F10" s="8"/>
      <c r="G10" s="8"/>
      <c r="H10" s="8"/>
      <c r="I10" s="5"/>
      <c r="J10" s="4"/>
      <c r="K10" s="4"/>
      <c r="L10" s="4"/>
      <c r="M10" s="8"/>
      <c r="N10" s="8"/>
      <c r="O10" s="8"/>
      <c r="P10" s="8"/>
      <c r="Q10" s="10" t="s">
        <v>21</v>
      </c>
      <c r="R10" s="6"/>
      <c r="S10" s="6"/>
      <c r="T10" s="6"/>
      <c r="U10" s="6"/>
      <c r="V10" s="9"/>
      <c r="W10" s="9"/>
      <c r="X10" s="9"/>
      <c r="Y10" s="9"/>
      <c r="Z10" s="9"/>
      <c r="AA10" s="6"/>
      <c r="AB10" s="6"/>
      <c r="AC10" s="6"/>
      <c r="AD10" s="6"/>
      <c r="AE10" s="8"/>
      <c r="AF10" s="8"/>
      <c r="AG10" s="8"/>
      <c r="AH10" s="8"/>
      <c r="AI10" s="5"/>
      <c r="AJ10" s="4"/>
      <c r="AK10" s="4"/>
      <c r="AL10" s="4"/>
      <c r="AM10" s="4"/>
      <c r="AN10" s="8"/>
      <c r="AO10" s="8"/>
      <c r="AP10" s="10" t="s">
        <v>21</v>
      </c>
      <c r="AQ10" s="8"/>
      <c r="AR10" s="6"/>
      <c r="AS10" s="6"/>
      <c r="AT10" s="6"/>
      <c r="AU10" s="6"/>
      <c r="AV10" s="6"/>
      <c r="AW10" s="9"/>
      <c r="AX10" s="9"/>
      <c r="AY10" s="9"/>
      <c r="AZ10" s="9"/>
      <c r="BA10" s="6"/>
      <c r="BB10" s="6"/>
      <c r="BC10" s="6"/>
      <c r="BD10" s="6"/>
    </row>
    <row r="11" spans="2:57" ht="17.100000000000001" hidden="1" customHeight="1" x14ac:dyDescent="0.25">
      <c r="B11" s="168"/>
      <c r="C11" s="7" t="s">
        <v>17</v>
      </c>
      <c r="D11" s="7"/>
      <c r="E11" s="8"/>
      <c r="F11" s="8"/>
      <c r="G11" s="8"/>
      <c r="H11" s="8"/>
      <c r="I11" s="5"/>
      <c r="J11" s="4"/>
      <c r="K11" s="4"/>
      <c r="L11" s="11" t="s">
        <v>21</v>
      </c>
      <c r="M11" s="8"/>
      <c r="N11" s="11" t="s">
        <v>21</v>
      </c>
      <c r="O11" s="8"/>
      <c r="P11" s="8"/>
      <c r="Q11" s="8"/>
      <c r="R11" s="6"/>
      <c r="S11" s="6"/>
      <c r="T11" s="10" t="s">
        <v>21</v>
      </c>
      <c r="U11" s="6"/>
      <c r="V11" s="9"/>
      <c r="W11" s="9"/>
      <c r="X11" s="9"/>
      <c r="Y11" s="9"/>
      <c r="Z11" s="9"/>
      <c r="AA11" s="6"/>
      <c r="AB11" s="10" t="s">
        <v>21</v>
      </c>
      <c r="AC11" s="10" t="s">
        <v>21</v>
      </c>
      <c r="AD11" s="6"/>
      <c r="AE11" s="8"/>
      <c r="AF11" s="8"/>
      <c r="AG11" s="8"/>
      <c r="AH11" s="8"/>
      <c r="AI11" s="5"/>
      <c r="AJ11" s="4"/>
      <c r="AK11" s="4"/>
      <c r="AL11" s="4"/>
      <c r="AM11" s="4"/>
      <c r="AN11" s="8"/>
      <c r="AO11" s="8"/>
      <c r="AP11" s="8"/>
      <c r="AQ11" s="10" t="s">
        <v>21</v>
      </c>
      <c r="AR11" s="6"/>
      <c r="AS11" s="6"/>
      <c r="AT11" s="6"/>
      <c r="AU11" s="6"/>
      <c r="AV11" s="6"/>
      <c r="AW11" s="9"/>
      <c r="AX11" s="9"/>
      <c r="AY11" s="9"/>
      <c r="AZ11" s="9"/>
      <c r="BA11" s="6"/>
      <c r="BB11" s="6"/>
      <c r="BC11" s="10" t="s">
        <v>21</v>
      </c>
      <c r="BD11" s="6"/>
    </row>
    <row r="12" spans="2:57" ht="17.100000000000001" hidden="1" customHeight="1" x14ac:dyDescent="0.25">
      <c r="B12" s="168"/>
      <c r="C12" s="7" t="s">
        <v>39</v>
      </c>
      <c r="D12" s="7"/>
      <c r="E12" s="8"/>
      <c r="F12" s="8"/>
      <c r="G12" s="8"/>
      <c r="H12" s="8"/>
      <c r="I12" s="5"/>
      <c r="J12" s="4"/>
      <c r="K12" s="5"/>
      <c r="L12" s="12"/>
      <c r="M12" s="8"/>
      <c r="N12" s="8"/>
      <c r="O12" s="8"/>
      <c r="P12" s="8"/>
      <c r="Q12" s="8"/>
      <c r="R12" s="13"/>
      <c r="S12" s="13"/>
      <c r="T12" s="12"/>
      <c r="U12" s="13"/>
      <c r="V12" s="8"/>
      <c r="W12" s="8"/>
      <c r="X12" s="8"/>
      <c r="Y12" s="8"/>
      <c r="Z12" s="8"/>
      <c r="AA12" s="13"/>
      <c r="AB12" s="12"/>
      <c r="AC12" s="12"/>
      <c r="AD12" s="13"/>
      <c r="AE12" s="8"/>
      <c r="AF12" s="8"/>
      <c r="AG12" s="8"/>
      <c r="AH12" s="8"/>
      <c r="AI12" s="5"/>
      <c r="AJ12" s="5"/>
      <c r="AK12" s="5"/>
      <c r="AL12" s="5"/>
      <c r="AM12" s="5"/>
      <c r="AN12" s="8"/>
      <c r="AO12" s="8"/>
      <c r="AP12" s="8"/>
      <c r="AQ12" s="8"/>
      <c r="AR12" s="11" t="s">
        <v>21</v>
      </c>
      <c r="AS12" s="11" t="s">
        <v>21</v>
      </c>
      <c r="AT12" s="13"/>
      <c r="AU12" s="13"/>
      <c r="AV12" s="13"/>
      <c r="AW12" s="8"/>
      <c r="AX12" s="8"/>
      <c r="AY12" s="8"/>
      <c r="AZ12" s="8"/>
      <c r="BA12" s="13"/>
      <c r="BB12" s="13"/>
      <c r="BC12" s="12"/>
      <c r="BD12" s="13"/>
    </row>
    <row r="13" spans="2:57" ht="17.100000000000001" hidden="1" customHeight="1" x14ac:dyDescent="0.25">
      <c r="B13" s="168"/>
      <c r="C13" s="7" t="s">
        <v>18</v>
      </c>
      <c r="D13" s="7"/>
      <c r="E13" s="8"/>
      <c r="F13" s="8"/>
      <c r="G13" s="8"/>
      <c r="H13" s="8"/>
      <c r="I13" s="5"/>
      <c r="J13" s="4"/>
      <c r="K13" s="4"/>
      <c r="L13" s="4"/>
      <c r="M13" s="8"/>
      <c r="N13" s="8"/>
      <c r="O13" s="8"/>
      <c r="P13" s="8"/>
      <c r="Q13" s="10" t="s">
        <v>21</v>
      </c>
      <c r="R13" s="6"/>
      <c r="S13" s="6"/>
      <c r="T13" s="6"/>
      <c r="U13" s="6"/>
      <c r="V13" s="9"/>
      <c r="W13" s="9"/>
      <c r="X13" s="9"/>
      <c r="Y13" s="9"/>
      <c r="Z13" s="9"/>
      <c r="AA13" s="6"/>
      <c r="AB13" s="6"/>
      <c r="AC13" s="6"/>
      <c r="AD13" s="6"/>
      <c r="AE13" s="8"/>
      <c r="AF13" s="8"/>
      <c r="AG13" s="8"/>
      <c r="AH13" s="8"/>
      <c r="AI13" s="5"/>
      <c r="AJ13" s="4"/>
      <c r="AK13" s="4"/>
      <c r="AL13" s="4"/>
      <c r="AM13" s="4"/>
      <c r="AN13" s="8"/>
      <c r="AO13" s="8"/>
      <c r="AP13" s="8"/>
      <c r="AQ13" s="8"/>
      <c r="AR13" s="6"/>
      <c r="AS13" s="6"/>
      <c r="AT13" s="6"/>
      <c r="AU13" s="6"/>
      <c r="AV13" s="6"/>
      <c r="AW13" s="9"/>
      <c r="AX13" s="9"/>
      <c r="AY13" s="9"/>
      <c r="AZ13" s="9"/>
      <c r="BA13" s="6"/>
      <c r="BB13" s="6"/>
      <c r="BC13" s="6"/>
      <c r="BD13" s="6"/>
    </row>
    <row r="14" spans="2:57" hidden="1" x14ac:dyDescent="0.25">
      <c r="I14" s="2"/>
    </row>
    <row r="15" spans="2:57" hidden="1" x14ac:dyDescent="0.25">
      <c r="B15" s="165" t="s">
        <v>20</v>
      </c>
      <c r="C15" s="165" t="s">
        <v>0</v>
      </c>
      <c r="D15" s="26"/>
      <c r="E15" s="165" t="s">
        <v>1</v>
      </c>
      <c r="F15" s="165"/>
      <c r="G15" s="165"/>
      <c r="H15" s="165"/>
      <c r="I15" s="165" t="s">
        <v>2</v>
      </c>
      <c r="J15" s="165"/>
      <c r="K15" s="165"/>
      <c r="L15" s="165"/>
      <c r="M15" s="165" t="s">
        <v>3</v>
      </c>
      <c r="N15" s="165"/>
      <c r="O15" s="165"/>
      <c r="P15" s="165"/>
      <c r="Q15" s="165"/>
      <c r="R15" s="163" t="s">
        <v>4</v>
      </c>
      <c r="S15" s="163"/>
      <c r="T15" s="163"/>
      <c r="U15" s="163"/>
      <c r="V15" s="163" t="s">
        <v>5</v>
      </c>
      <c r="W15" s="163"/>
      <c r="X15" s="163"/>
      <c r="Y15" s="163"/>
      <c r="Z15" s="163"/>
      <c r="AA15" s="163" t="s">
        <v>6</v>
      </c>
      <c r="AB15" s="163"/>
      <c r="AC15" s="163"/>
      <c r="AD15" s="163"/>
      <c r="AE15" s="165" t="s">
        <v>7</v>
      </c>
      <c r="AF15" s="165"/>
      <c r="AG15" s="165"/>
      <c r="AH15" s="165"/>
      <c r="AI15" s="165" t="s">
        <v>8</v>
      </c>
      <c r="AJ15" s="165"/>
      <c r="AK15" s="165"/>
      <c r="AL15" s="165"/>
      <c r="AM15" s="165"/>
      <c r="AN15" s="165" t="s">
        <v>9</v>
      </c>
      <c r="AO15" s="165"/>
      <c r="AP15" s="165"/>
      <c r="AQ15" s="165"/>
      <c r="AR15" s="163" t="s">
        <v>10</v>
      </c>
      <c r="AS15" s="163"/>
      <c r="AT15" s="163"/>
      <c r="AU15" s="163"/>
      <c r="AV15" s="163"/>
      <c r="AW15" s="163" t="s">
        <v>11</v>
      </c>
      <c r="AX15" s="163"/>
      <c r="AY15" s="163"/>
      <c r="AZ15" s="163"/>
      <c r="BA15" s="163" t="s">
        <v>12</v>
      </c>
      <c r="BB15" s="163"/>
      <c r="BC15" s="163"/>
      <c r="BD15" s="163"/>
    </row>
    <row r="16" spans="2:57" hidden="1" x14ac:dyDescent="0.25">
      <c r="B16" s="165"/>
      <c r="C16" s="165"/>
      <c r="D16" s="26"/>
      <c r="E16" s="14">
        <v>1</v>
      </c>
      <c r="F16" s="14">
        <v>2</v>
      </c>
      <c r="G16" s="14">
        <f>F16+1</f>
        <v>3</v>
      </c>
      <c r="H16" s="14">
        <f t="shared" ref="H16:AD16" si="2">G16+1</f>
        <v>4</v>
      </c>
      <c r="I16" s="14">
        <f t="shared" si="2"/>
        <v>5</v>
      </c>
      <c r="J16" s="14">
        <f t="shared" si="2"/>
        <v>6</v>
      </c>
      <c r="K16" s="14">
        <f t="shared" si="2"/>
        <v>7</v>
      </c>
      <c r="L16" s="14">
        <f t="shared" si="2"/>
        <v>8</v>
      </c>
      <c r="M16" s="14">
        <f t="shared" si="2"/>
        <v>9</v>
      </c>
      <c r="N16" s="14">
        <f t="shared" si="2"/>
        <v>10</v>
      </c>
      <c r="O16" s="14">
        <f t="shared" si="2"/>
        <v>11</v>
      </c>
      <c r="P16" s="14">
        <f t="shared" si="2"/>
        <v>12</v>
      </c>
      <c r="Q16" s="14">
        <f t="shared" si="2"/>
        <v>13</v>
      </c>
      <c r="R16" s="14">
        <f t="shared" si="2"/>
        <v>14</v>
      </c>
      <c r="S16" s="14">
        <f t="shared" si="2"/>
        <v>15</v>
      </c>
      <c r="T16" s="14">
        <f t="shared" si="2"/>
        <v>16</v>
      </c>
      <c r="U16" s="14">
        <f t="shared" si="2"/>
        <v>17</v>
      </c>
      <c r="V16" s="14">
        <f t="shared" si="2"/>
        <v>18</v>
      </c>
      <c r="W16" s="14">
        <f t="shared" si="2"/>
        <v>19</v>
      </c>
      <c r="X16" s="14">
        <f t="shared" si="2"/>
        <v>20</v>
      </c>
      <c r="Y16" s="14">
        <f t="shared" si="2"/>
        <v>21</v>
      </c>
      <c r="Z16" s="14">
        <f t="shared" si="2"/>
        <v>22</v>
      </c>
      <c r="AA16" s="14">
        <f t="shared" si="2"/>
        <v>23</v>
      </c>
      <c r="AB16" s="14">
        <f t="shared" si="2"/>
        <v>24</v>
      </c>
      <c r="AC16" s="14">
        <f t="shared" si="2"/>
        <v>25</v>
      </c>
      <c r="AD16" s="14">
        <f t="shared" si="2"/>
        <v>26</v>
      </c>
      <c r="AE16" s="14">
        <f>AD16+1</f>
        <v>27</v>
      </c>
      <c r="AF16" s="14">
        <f>AE16+1</f>
        <v>28</v>
      </c>
      <c r="AG16" s="14">
        <f>AF16+1</f>
        <v>29</v>
      </c>
      <c r="AH16" s="14">
        <f t="shared" ref="AH16:BD16" si="3">AG16+1</f>
        <v>30</v>
      </c>
      <c r="AI16" s="14">
        <f t="shared" si="3"/>
        <v>31</v>
      </c>
      <c r="AJ16" s="14">
        <f t="shared" si="3"/>
        <v>32</v>
      </c>
      <c r="AK16" s="14">
        <f t="shared" si="3"/>
        <v>33</v>
      </c>
      <c r="AL16" s="14">
        <f t="shared" si="3"/>
        <v>34</v>
      </c>
      <c r="AM16" s="14">
        <f t="shared" si="3"/>
        <v>35</v>
      </c>
      <c r="AN16" s="14">
        <f t="shared" si="3"/>
        <v>36</v>
      </c>
      <c r="AO16" s="14">
        <f t="shared" si="3"/>
        <v>37</v>
      </c>
      <c r="AP16" s="14">
        <f t="shared" si="3"/>
        <v>38</v>
      </c>
      <c r="AQ16" s="14">
        <f t="shared" si="3"/>
        <v>39</v>
      </c>
      <c r="AR16" s="14">
        <f t="shared" si="3"/>
        <v>40</v>
      </c>
      <c r="AS16" s="14">
        <f t="shared" si="3"/>
        <v>41</v>
      </c>
      <c r="AT16" s="14">
        <f t="shared" si="3"/>
        <v>42</v>
      </c>
      <c r="AU16" s="14">
        <f t="shared" si="3"/>
        <v>43</v>
      </c>
      <c r="AV16" s="14">
        <f t="shared" si="3"/>
        <v>44</v>
      </c>
      <c r="AW16" s="14">
        <f t="shared" si="3"/>
        <v>45</v>
      </c>
      <c r="AX16" s="14">
        <f t="shared" si="3"/>
        <v>46</v>
      </c>
      <c r="AY16" s="14">
        <f t="shared" si="3"/>
        <v>47</v>
      </c>
      <c r="AZ16" s="14">
        <f t="shared" si="3"/>
        <v>48</v>
      </c>
      <c r="BA16" s="14">
        <f t="shared" si="3"/>
        <v>49</v>
      </c>
      <c r="BB16" s="14">
        <f t="shared" si="3"/>
        <v>50</v>
      </c>
      <c r="BC16" s="14">
        <f t="shared" si="3"/>
        <v>51</v>
      </c>
      <c r="BD16" s="14">
        <f t="shared" si="3"/>
        <v>52</v>
      </c>
    </row>
    <row r="17" spans="2:57" ht="17.100000000000001" hidden="1" customHeight="1" x14ac:dyDescent="0.25">
      <c r="B17" s="164">
        <v>2024</v>
      </c>
      <c r="C17" s="7" t="s">
        <v>13</v>
      </c>
      <c r="D17" s="7"/>
      <c r="E17" s="8"/>
      <c r="F17" s="8"/>
      <c r="G17" s="8"/>
      <c r="H17" s="8"/>
      <c r="I17" s="5"/>
      <c r="J17" s="4"/>
      <c r="K17" s="4"/>
      <c r="L17" s="4"/>
      <c r="M17" s="8"/>
      <c r="N17" s="8"/>
      <c r="O17" s="8"/>
      <c r="P17" s="8"/>
      <c r="Q17" s="27" t="s">
        <v>21</v>
      </c>
      <c r="R17" s="6"/>
      <c r="S17" s="6"/>
      <c r="T17" s="6"/>
      <c r="U17" s="6"/>
      <c r="V17" s="9"/>
      <c r="W17" s="9"/>
      <c r="X17" s="9"/>
      <c r="Y17" s="9"/>
      <c r="Z17" s="9"/>
      <c r="AA17" s="6"/>
      <c r="AB17" s="6"/>
      <c r="AC17" s="6"/>
      <c r="AD17" s="6"/>
      <c r="AE17" s="8"/>
      <c r="AF17" s="8"/>
      <c r="AG17" s="8"/>
      <c r="AH17" s="8"/>
      <c r="AI17" s="5"/>
      <c r="AJ17" s="4"/>
      <c r="AK17" s="4"/>
      <c r="AL17" s="4"/>
      <c r="AM17" s="4"/>
      <c r="AN17" s="8"/>
      <c r="AO17" s="8"/>
      <c r="AP17" s="8"/>
      <c r="AQ17" s="8"/>
      <c r="AR17" s="6"/>
      <c r="AS17" s="6"/>
      <c r="AT17" s="6"/>
      <c r="AU17" s="6"/>
      <c r="AV17" s="6"/>
      <c r="AW17" s="9"/>
      <c r="AX17" s="9"/>
      <c r="AY17" s="9"/>
      <c r="AZ17" s="9"/>
      <c r="BA17" s="6"/>
      <c r="BB17" s="6"/>
      <c r="BC17" s="6"/>
      <c r="BD17" s="6"/>
    </row>
    <row r="18" spans="2:57" ht="17.100000000000001" hidden="1" customHeight="1" x14ac:dyDescent="0.25">
      <c r="B18" s="164"/>
      <c r="C18" s="7" t="s">
        <v>14</v>
      </c>
      <c r="D18" s="7"/>
      <c r="E18" s="8"/>
      <c r="F18" s="8"/>
      <c r="G18" s="8"/>
      <c r="H18" s="8"/>
      <c r="I18" s="5"/>
      <c r="J18" s="4"/>
      <c r="K18" s="4"/>
      <c r="L18" s="4"/>
      <c r="M18" s="8"/>
      <c r="N18" s="8"/>
      <c r="O18" s="8"/>
      <c r="P18" s="8"/>
      <c r="Q18" s="8"/>
      <c r="R18" s="6"/>
      <c r="S18" s="6"/>
      <c r="T18" s="6"/>
      <c r="U18" s="6"/>
      <c r="V18" s="9"/>
      <c r="W18" s="9"/>
      <c r="X18" s="9"/>
      <c r="Y18" s="9"/>
      <c r="Z18" s="9"/>
      <c r="AA18" s="6"/>
      <c r="AB18" s="6"/>
      <c r="AC18" s="6"/>
      <c r="AD18" s="6"/>
      <c r="AE18" s="8"/>
      <c r="AF18" s="8"/>
      <c r="AG18" s="8"/>
      <c r="AH18" s="8"/>
      <c r="AI18" s="5"/>
      <c r="AJ18" s="4"/>
      <c r="AK18" s="4"/>
      <c r="AL18" s="4"/>
      <c r="AM18" s="4"/>
      <c r="AN18" s="8"/>
      <c r="AO18" s="8"/>
      <c r="AP18" s="8"/>
      <c r="AQ18" s="8"/>
      <c r="AR18" s="6"/>
      <c r="AS18" s="6"/>
      <c r="AT18" s="6"/>
      <c r="AU18" s="6"/>
      <c r="AV18" s="6"/>
      <c r="AW18" s="9"/>
      <c r="AX18" s="9"/>
      <c r="AY18" s="9"/>
      <c r="AZ18" s="9"/>
      <c r="BA18" s="6"/>
      <c r="BB18" s="6"/>
      <c r="BC18" s="6"/>
      <c r="BD18" s="6"/>
    </row>
    <row r="19" spans="2:57" ht="17.100000000000001" hidden="1" customHeight="1" x14ac:dyDescent="0.25">
      <c r="B19" s="164"/>
      <c r="C19" s="7" t="s">
        <v>15</v>
      </c>
      <c r="D19" s="7"/>
      <c r="E19" s="8"/>
      <c r="F19" s="8"/>
      <c r="G19" s="8"/>
      <c r="H19" s="8"/>
      <c r="I19" s="5"/>
      <c r="J19" s="4"/>
      <c r="K19" s="4"/>
      <c r="L19" s="4"/>
      <c r="M19" s="8"/>
      <c r="N19" s="8"/>
      <c r="O19" s="8"/>
      <c r="P19" s="8"/>
      <c r="Q19" s="8"/>
      <c r="R19" s="6"/>
      <c r="S19" s="6"/>
      <c r="T19" s="6"/>
      <c r="U19" s="6"/>
      <c r="V19" s="9"/>
      <c r="W19" s="9"/>
      <c r="X19" s="9"/>
      <c r="Y19" s="9"/>
      <c r="Z19" s="9"/>
      <c r="AA19" s="6"/>
      <c r="AB19" s="6"/>
      <c r="AC19" s="6"/>
      <c r="AD19" s="6"/>
      <c r="AE19" s="8"/>
      <c r="AF19" s="8"/>
      <c r="AG19" s="8"/>
      <c r="AH19" s="8"/>
      <c r="AI19" s="5"/>
      <c r="AJ19" s="4"/>
      <c r="AK19" s="4"/>
      <c r="AL19" s="4"/>
      <c r="AM19" s="4"/>
      <c r="AN19" s="8"/>
      <c r="AO19" s="8"/>
      <c r="AP19" s="27" t="s">
        <v>21</v>
      </c>
      <c r="AQ19" s="8"/>
      <c r="AR19" s="6"/>
      <c r="AS19" s="6"/>
      <c r="AT19" s="6"/>
      <c r="AU19" s="6"/>
      <c r="AV19" s="6"/>
      <c r="AW19" s="9"/>
      <c r="AX19" s="9"/>
      <c r="AY19" s="9"/>
      <c r="AZ19" s="9"/>
      <c r="BA19" s="6"/>
      <c r="BB19" s="6"/>
      <c r="BC19" s="6"/>
      <c r="BD19" s="6"/>
    </row>
    <row r="20" spans="2:57" ht="17.100000000000001" hidden="1" customHeight="1" x14ac:dyDescent="0.25">
      <c r="B20" s="164"/>
      <c r="C20" s="7" t="s">
        <v>16</v>
      </c>
      <c r="D20" s="7"/>
      <c r="E20" s="8"/>
      <c r="F20" s="8"/>
      <c r="G20" s="8"/>
      <c r="H20" s="8"/>
      <c r="I20" s="5"/>
      <c r="J20" s="5"/>
      <c r="K20" s="27" t="s">
        <v>21</v>
      </c>
      <c r="L20" s="4"/>
      <c r="M20" s="8"/>
      <c r="N20" s="8"/>
      <c r="O20" s="8"/>
      <c r="P20" s="8"/>
      <c r="Q20" s="8"/>
      <c r="R20" s="6"/>
      <c r="S20" s="6"/>
      <c r="T20" s="6"/>
      <c r="U20" s="6"/>
      <c r="V20" s="27" t="s">
        <v>21</v>
      </c>
      <c r="W20" s="9"/>
      <c r="X20" s="9"/>
      <c r="Y20" s="9"/>
      <c r="Z20" s="9"/>
      <c r="AA20" s="6"/>
      <c r="AB20" s="6"/>
      <c r="AC20" s="6"/>
      <c r="AD20" s="6"/>
      <c r="AE20" s="8"/>
      <c r="AF20" s="8"/>
      <c r="AG20" s="8"/>
      <c r="AH20" s="8"/>
      <c r="AI20" s="5"/>
      <c r="AJ20" s="4"/>
      <c r="AK20" s="4"/>
      <c r="AL20" s="4"/>
      <c r="AM20" s="4"/>
      <c r="AN20" s="8"/>
      <c r="AO20" s="8"/>
      <c r="AP20" s="8"/>
      <c r="AQ20" s="8"/>
      <c r="AR20" s="6"/>
      <c r="AS20" s="6"/>
      <c r="AT20" s="6"/>
      <c r="AU20" s="6"/>
      <c r="AV20" s="6"/>
      <c r="AW20" s="9"/>
      <c r="AX20" s="9"/>
      <c r="AY20" s="9"/>
      <c r="AZ20" s="9"/>
      <c r="BA20" s="6"/>
      <c r="BB20" s="27" t="s">
        <v>21</v>
      </c>
      <c r="BC20" s="6"/>
      <c r="BD20" s="6"/>
    </row>
    <row r="21" spans="2:57" ht="17.100000000000001" hidden="1" customHeight="1" x14ac:dyDescent="0.25">
      <c r="B21" s="164"/>
      <c r="C21" s="7" t="s">
        <v>17</v>
      </c>
      <c r="D21" s="7"/>
      <c r="E21" s="8"/>
      <c r="F21" s="8"/>
      <c r="G21" s="8"/>
      <c r="H21" s="8"/>
      <c r="I21" s="5"/>
      <c r="J21" s="4"/>
      <c r="K21" s="4"/>
      <c r="L21" s="27" t="s">
        <v>21</v>
      </c>
      <c r="M21" s="8"/>
      <c r="N21" s="8"/>
      <c r="O21" s="8"/>
      <c r="P21" s="8"/>
      <c r="Q21" s="8"/>
      <c r="R21" s="6"/>
      <c r="S21" s="27" t="s">
        <v>21</v>
      </c>
      <c r="T21" s="6"/>
      <c r="U21" s="6"/>
      <c r="V21" s="27" t="s">
        <v>21</v>
      </c>
      <c r="W21" s="27" t="s">
        <v>21</v>
      </c>
      <c r="X21" s="27" t="s">
        <v>21</v>
      </c>
      <c r="Y21" s="9"/>
      <c r="Z21" s="9"/>
      <c r="AA21" s="6"/>
      <c r="AB21" s="6"/>
      <c r="AC21" s="6"/>
      <c r="AD21" s="6"/>
      <c r="AE21" s="8"/>
      <c r="AF21" s="8"/>
      <c r="AG21" s="8"/>
      <c r="AH21" s="8"/>
      <c r="AI21" s="5"/>
      <c r="AJ21" s="4"/>
      <c r="AK21" s="4"/>
      <c r="AL21" s="4"/>
      <c r="AM21" s="4"/>
      <c r="AN21" s="8"/>
      <c r="AO21" s="8"/>
      <c r="AP21" s="8"/>
      <c r="AQ21" s="8"/>
      <c r="AR21" s="6"/>
      <c r="AS21" s="6"/>
      <c r="AT21" s="6"/>
      <c r="AU21" s="6"/>
      <c r="AV21" s="6"/>
      <c r="AW21" s="9"/>
      <c r="AX21" s="9"/>
      <c r="AY21" s="9"/>
      <c r="AZ21" s="9"/>
      <c r="BA21" s="6"/>
      <c r="BB21" s="6"/>
      <c r="BC21" s="6"/>
      <c r="BD21" s="6"/>
    </row>
    <row r="22" spans="2:57" ht="17.100000000000001" hidden="1" customHeight="1" x14ac:dyDescent="0.25">
      <c r="B22" s="164"/>
      <c r="C22" s="7" t="s">
        <v>39</v>
      </c>
      <c r="D22" s="7"/>
      <c r="E22" s="8"/>
      <c r="F22" s="8"/>
      <c r="G22" s="8"/>
      <c r="H22" s="8"/>
      <c r="I22" s="5"/>
      <c r="J22" s="4"/>
      <c r="K22" s="5"/>
      <c r="L22" s="12"/>
      <c r="M22" s="8"/>
      <c r="N22" s="8"/>
      <c r="O22" s="8"/>
      <c r="P22" s="8"/>
      <c r="Q22" s="8"/>
      <c r="R22" s="13"/>
      <c r="S22" s="13"/>
      <c r="T22" s="12"/>
      <c r="U22" s="13"/>
      <c r="V22" s="8"/>
      <c r="W22" s="8"/>
      <c r="X22" s="8"/>
      <c r="Y22" s="8"/>
      <c r="Z22" s="8"/>
      <c r="AA22" s="13"/>
      <c r="AB22" s="12"/>
      <c r="AC22" s="12"/>
      <c r="AD22" s="13"/>
      <c r="AE22" s="8"/>
      <c r="AF22" s="8"/>
      <c r="AG22" s="8"/>
      <c r="AH22" s="8"/>
      <c r="AI22" s="5"/>
      <c r="AJ22" s="4"/>
      <c r="AK22" s="4"/>
      <c r="AL22" s="4"/>
      <c r="AM22" s="4"/>
      <c r="AN22" s="8"/>
      <c r="AO22" s="8"/>
      <c r="AP22" s="8"/>
      <c r="AQ22" s="8"/>
      <c r="AR22" s="6"/>
      <c r="AS22" s="6"/>
      <c r="AT22" s="6"/>
      <c r="AU22" s="6"/>
      <c r="AV22" s="6"/>
      <c r="AW22" s="9"/>
      <c r="AX22" s="9"/>
      <c r="AY22" s="9"/>
      <c r="AZ22" s="9"/>
      <c r="BA22" s="6"/>
      <c r="BB22" s="13"/>
      <c r="BC22" s="12"/>
      <c r="BD22" s="13"/>
    </row>
    <row r="23" spans="2:57" ht="17.100000000000001" hidden="1" customHeight="1" x14ac:dyDescent="0.25">
      <c r="B23" s="164"/>
      <c r="C23" s="7" t="s">
        <v>18</v>
      </c>
      <c r="D23" s="7"/>
      <c r="E23" s="8"/>
      <c r="F23" s="8"/>
      <c r="G23" s="8"/>
      <c r="H23" s="8"/>
      <c r="I23" s="5"/>
      <c r="J23" s="4"/>
      <c r="K23" s="4"/>
      <c r="L23" s="4"/>
      <c r="M23" s="8"/>
      <c r="N23" s="8"/>
      <c r="O23" s="8"/>
      <c r="P23" s="8"/>
      <c r="Q23" s="8"/>
      <c r="R23" s="6"/>
      <c r="S23" s="6"/>
      <c r="T23" s="27" t="s">
        <v>21</v>
      </c>
      <c r="U23" s="6"/>
      <c r="V23" s="9"/>
      <c r="W23" s="9"/>
      <c r="X23" s="9"/>
      <c r="Y23" s="9"/>
      <c r="Z23" s="9"/>
      <c r="AA23" s="6"/>
      <c r="AB23" s="6"/>
      <c r="AC23" s="6"/>
      <c r="AD23" s="6"/>
      <c r="AE23" s="8"/>
      <c r="AF23" s="8"/>
      <c r="AG23" s="8"/>
      <c r="AH23" s="8"/>
      <c r="AI23" s="5"/>
      <c r="AJ23" s="4"/>
      <c r="AK23" s="4"/>
      <c r="AL23" s="4"/>
      <c r="AM23" s="4"/>
      <c r="AN23" s="8"/>
      <c r="AO23" s="8"/>
      <c r="AP23" s="8"/>
      <c r="AQ23" s="8"/>
      <c r="AR23" s="6"/>
      <c r="AS23" s="6"/>
      <c r="AT23" s="6"/>
      <c r="AU23" s="6"/>
      <c r="AV23" s="6"/>
      <c r="AW23" s="9"/>
      <c r="AX23" s="9"/>
      <c r="AY23" s="9"/>
      <c r="AZ23" s="9"/>
      <c r="BA23" s="6"/>
      <c r="BB23" s="6"/>
      <c r="BC23" s="6"/>
      <c r="BD23" s="6"/>
    </row>
    <row r="24" spans="2:57" hidden="1" x14ac:dyDescent="0.25">
      <c r="I24" s="2"/>
    </row>
    <row r="25" spans="2:57" hidden="1" x14ac:dyDescent="0.25">
      <c r="B25" s="165" t="s">
        <v>20</v>
      </c>
      <c r="C25" s="165" t="s">
        <v>0</v>
      </c>
      <c r="D25" s="166" t="s">
        <v>53</v>
      </c>
      <c r="E25" s="165" t="s">
        <v>1</v>
      </c>
      <c r="F25" s="165"/>
      <c r="G25" s="165"/>
      <c r="H25" s="165"/>
      <c r="I25" s="165" t="s">
        <v>2</v>
      </c>
      <c r="J25" s="165"/>
      <c r="K25" s="165"/>
      <c r="L25" s="165"/>
      <c r="M25" s="165"/>
      <c r="N25" s="165" t="s">
        <v>3</v>
      </c>
      <c r="O25" s="165"/>
      <c r="P25" s="165"/>
      <c r="Q25" s="165"/>
      <c r="R25" s="163" t="s">
        <v>4</v>
      </c>
      <c r="S25" s="163"/>
      <c r="T25" s="163"/>
      <c r="U25" s="163"/>
      <c r="V25" s="163" t="s">
        <v>5</v>
      </c>
      <c r="W25" s="163"/>
      <c r="X25" s="163"/>
      <c r="Y25" s="163"/>
      <c r="Z25" s="163"/>
      <c r="AA25" s="163" t="s">
        <v>6</v>
      </c>
      <c r="AB25" s="163"/>
      <c r="AC25" s="163"/>
      <c r="AD25" s="163"/>
      <c r="AE25" s="165" t="s">
        <v>7</v>
      </c>
      <c r="AF25" s="165"/>
      <c r="AG25" s="165"/>
      <c r="AH25" s="165"/>
      <c r="AI25" s="165" t="s">
        <v>8</v>
      </c>
      <c r="AJ25" s="165"/>
      <c r="AK25" s="165"/>
      <c r="AL25" s="165"/>
      <c r="AM25" s="165"/>
      <c r="AN25" s="165" t="s">
        <v>9</v>
      </c>
      <c r="AO25" s="165"/>
      <c r="AP25" s="165"/>
      <c r="AQ25" s="165"/>
      <c r="AR25" s="163" t="s">
        <v>10</v>
      </c>
      <c r="AS25" s="163"/>
      <c r="AT25" s="163"/>
      <c r="AU25" s="163"/>
      <c r="AV25" s="163"/>
      <c r="AW25" s="163" t="s">
        <v>11</v>
      </c>
      <c r="AX25" s="163"/>
      <c r="AY25" s="163"/>
      <c r="AZ25" s="163"/>
      <c r="BA25" s="163" t="s">
        <v>12</v>
      </c>
      <c r="BB25" s="163"/>
      <c r="BC25" s="163"/>
      <c r="BD25" s="163"/>
    </row>
    <row r="26" spans="2:57" hidden="1" x14ac:dyDescent="0.25">
      <c r="B26" s="165"/>
      <c r="C26" s="165"/>
      <c r="D26" s="166"/>
      <c r="E26" s="53">
        <v>1</v>
      </c>
      <c r="F26" s="53">
        <v>2</v>
      </c>
      <c r="G26" s="53">
        <f>F26+1</f>
        <v>3</v>
      </c>
      <c r="H26" s="53">
        <f t="shared" ref="H26:AD26" si="4">G26+1</f>
        <v>4</v>
      </c>
      <c r="I26" s="53">
        <f t="shared" si="4"/>
        <v>5</v>
      </c>
      <c r="J26" s="53">
        <f t="shared" si="4"/>
        <v>6</v>
      </c>
      <c r="K26" s="53">
        <f t="shared" si="4"/>
        <v>7</v>
      </c>
      <c r="L26" s="53">
        <f t="shared" si="4"/>
        <v>8</v>
      </c>
      <c r="M26" s="53">
        <f t="shared" si="4"/>
        <v>9</v>
      </c>
      <c r="N26" s="53">
        <f t="shared" si="4"/>
        <v>10</v>
      </c>
      <c r="O26" s="53">
        <f t="shared" si="4"/>
        <v>11</v>
      </c>
      <c r="P26" s="53">
        <f t="shared" si="4"/>
        <v>12</v>
      </c>
      <c r="Q26" s="53">
        <f t="shared" si="4"/>
        <v>13</v>
      </c>
      <c r="R26" s="53">
        <f t="shared" si="4"/>
        <v>14</v>
      </c>
      <c r="S26" s="53">
        <f t="shared" si="4"/>
        <v>15</v>
      </c>
      <c r="T26" s="53">
        <f t="shared" si="4"/>
        <v>16</v>
      </c>
      <c r="U26" s="53">
        <f t="shared" si="4"/>
        <v>17</v>
      </c>
      <c r="V26" s="53">
        <f t="shared" si="4"/>
        <v>18</v>
      </c>
      <c r="W26" s="53">
        <f t="shared" si="4"/>
        <v>19</v>
      </c>
      <c r="X26" s="53">
        <f t="shared" si="4"/>
        <v>20</v>
      </c>
      <c r="Y26" s="53">
        <f t="shared" si="4"/>
        <v>21</v>
      </c>
      <c r="Z26" s="53">
        <f t="shared" si="4"/>
        <v>22</v>
      </c>
      <c r="AA26" s="53">
        <f t="shared" si="4"/>
        <v>23</v>
      </c>
      <c r="AB26" s="53">
        <f t="shared" si="4"/>
        <v>24</v>
      </c>
      <c r="AC26" s="53">
        <f t="shared" si="4"/>
        <v>25</v>
      </c>
      <c r="AD26" s="53">
        <f t="shared" si="4"/>
        <v>26</v>
      </c>
      <c r="AE26" s="53">
        <f>AD26+1</f>
        <v>27</v>
      </c>
      <c r="AF26" s="53">
        <f>AE26+1</f>
        <v>28</v>
      </c>
      <c r="AG26" s="53">
        <f>AF26+1</f>
        <v>29</v>
      </c>
      <c r="AH26" s="53">
        <f t="shared" ref="AH26:BD26" si="5">AG26+1</f>
        <v>30</v>
      </c>
      <c r="AI26" s="53">
        <f t="shared" si="5"/>
        <v>31</v>
      </c>
      <c r="AJ26" s="53">
        <f t="shared" si="5"/>
        <v>32</v>
      </c>
      <c r="AK26" s="53">
        <f t="shared" si="5"/>
        <v>33</v>
      </c>
      <c r="AL26" s="53">
        <f t="shared" si="5"/>
        <v>34</v>
      </c>
      <c r="AM26" s="53">
        <f t="shared" si="5"/>
        <v>35</v>
      </c>
      <c r="AN26" s="53">
        <f t="shared" si="5"/>
        <v>36</v>
      </c>
      <c r="AO26" s="53">
        <f t="shared" si="5"/>
        <v>37</v>
      </c>
      <c r="AP26" s="53">
        <f t="shared" si="5"/>
        <v>38</v>
      </c>
      <c r="AQ26" s="53">
        <f t="shared" si="5"/>
        <v>39</v>
      </c>
      <c r="AR26" s="53">
        <f t="shared" si="5"/>
        <v>40</v>
      </c>
      <c r="AS26" s="53">
        <f t="shared" si="5"/>
        <v>41</v>
      </c>
      <c r="AT26" s="53">
        <f t="shared" si="5"/>
        <v>42</v>
      </c>
      <c r="AU26" s="53">
        <f t="shared" si="5"/>
        <v>43</v>
      </c>
      <c r="AV26" s="53">
        <f t="shared" si="5"/>
        <v>44</v>
      </c>
      <c r="AW26" s="53">
        <f t="shared" si="5"/>
        <v>45</v>
      </c>
      <c r="AX26" s="53">
        <f t="shared" si="5"/>
        <v>46</v>
      </c>
      <c r="AY26" s="53">
        <f t="shared" si="5"/>
        <v>47</v>
      </c>
      <c r="AZ26" s="53">
        <f t="shared" si="5"/>
        <v>48</v>
      </c>
      <c r="BA26" s="53">
        <f t="shared" si="5"/>
        <v>49</v>
      </c>
      <c r="BB26" s="53">
        <f t="shared" si="5"/>
        <v>50</v>
      </c>
      <c r="BC26" s="53">
        <f t="shared" si="5"/>
        <v>51</v>
      </c>
      <c r="BD26" s="53">
        <f t="shared" si="5"/>
        <v>52</v>
      </c>
    </row>
    <row r="27" spans="2:57" s="21" customFormat="1" ht="13.5" hidden="1" customHeight="1" x14ac:dyDescent="0.25">
      <c r="B27" s="167">
        <v>2025</v>
      </c>
      <c r="C27" s="160" t="s">
        <v>43</v>
      </c>
      <c r="D27" s="33" t="s">
        <v>51</v>
      </c>
      <c r="E27" s="28"/>
      <c r="F27" s="28"/>
      <c r="G27" s="28"/>
      <c r="H27" s="28"/>
      <c r="I27" s="13"/>
      <c r="J27" s="31"/>
      <c r="K27" s="29" t="s">
        <v>42</v>
      </c>
      <c r="L27" s="20"/>
      <c r="M27" s="20"/>
      <c r="N27" s="28"/>
      <c r="O27" s="28"/>
      <c r="P27" s="28"/>
      <c r="Q27" s="28"/>
      <c r="R27" s="20"/>
      <c r="S27" s="20"/>
      <c r="T27" s="20"/>
      <c r="U27" s="20"/>
      <c r="V27" s="28"/>
      <c r="W27" s="28"/>
      <c r="X27" s="28"/>
      <c r="Y27" s="28"/>
      <c r="Z27" s="28"/>
      <c r="AA27" s="20"/>
      <c r="AB27" s="20"/>
      <c r="AC27" s="20"/>
      <c r="AD27" s="20"/>
      <c r="AE27" s="28"/>
      <c r="AF27" s="28"/>
      <c r="AG27" s="28"/>
      <c r="AH27" s="28"/>
      <c r="AI27" s="20"/>
      <c r="AJ27" s="20"/>
      <c r="AK27" s="20"/>
      <c r="AL27" s="20"/>
      <c r="AM27" s="20"/>
      <c r="AN27" s="28"/>
      <c r="AO27" s="28"/>
      <c r="AP27" s="28"/>
      <c r="AQ27" s="28"/>
      <c r="AR27" s="20"/>
      <c r="AS27" s="20"/>
      <c r="AT27" s="20"/>
      <c r="AU27" s="20"/>
      <c r="AV27" s="20"/>
      <c r="AW27" s="28"/>
      <c r="AX27" s="28"/>
      <c r="AY27" s="28"/>
      <c r="AZ27" s="29" t="s">
        <v>42</v>
      </c>
      <c r="BA27" s="20"/>
      <c r="BB27" s="20"/>
      <c r="BC27" s="20"/>
      <c r="BD27" s="20"/>
      <c r="BE27" s="118"/>
    </row>
    <row r="28" spans="2:57" s="21" customFormat="1" ht="13.5" hidden="1" customHeight="1" x14ac:dyDescent="0.25">
      <c r="B28" s="167"/>
      <c r="C28" s="160"/>
      <c r="D28" s="34" t="s">
        <v>52</v>
      </c>
      <c r="E28" s="28"/>
      <c r="F28" s="28" t="s">
        <v>75</v>
      </c>
      <c r="G28" s="28"/>
      <c r="H28" s="28"/>
      <c r="I28" s="62"/>
      <c r="J28" s="62"/>
      <c r="K28" s="27" t="s">
        <v>42</v>
      </c>
      <c r="L28" s="20"/>
      <c r="M28" s="20"/>
      <c r="N28" s="28"/>
      <c r="O28" s="28"/>
      <c r="P28" s="28"/>
      <c r="Q28" s="28"/>
      <c r="R28" s="20"/>
      <c r="S28" s="20"/>
      <c r="T28" s="20"/>
      <c r="U28" s="20"/>
      <c r="V28" s="28"/>
      <c r="W28" s="28"/>
      <c r="X28" s="28"/>
      <c r="Y28" s="28"/>
      <c r="Z28" s="28"/>
      <c r="AA28" s="20"/>
      <c r="AB28" s="20"/>
      <c r="AC28" s="20"/>
      <c r="AD28" s="20"/>
      <c r="AE28" s="28"/>
      <c r="AF28" s="28"/>
      <c r="AG28" s="28"/>
      <c r="AH28" s="28"/>
      <c r="AI28" s="20"/>
      <c r="AJ28" s="20"/>
      <c r="AK28" s="20"/>
      <c r="AL28" s="20"/>
      <c r="AM28" s="20"/>
      <c r="AN28" s="28"/>
      <c r="AO28" s="28"/>
      <c r="AP28" s="28"/>
      <c r="AQ28" s="28"/>
      <c r="AR28" s="20"/>
      <c r="AS28" s="20"/>
      <c r="AT28" s="20"/>
      <c r="AU28" s="20"/>
      <c r="AV28" s="20"/>
      <c r="AW28" s="28"/>
      <c r="AX28" s="28"/>
      <c r="AY28" s="28"/>
      <c r="AZ28" s="63" t="s">
        <v>42</v>
      </c>
      <c r="BA28" s="20"/>
      <c r="BB28" s="20"/>
      <c r="BC28" s="20"/>
      <c r="BD28" s="20"/>
      <c r="BE28" s="118"/>
    </row>
    <row r="29" spans="2:57" s="21" customFormat="1" ht="13.5" hidden="1" customHeight="1" x14ac:dyDescent="0.25">
      <c r="B29" s="167"/>
      <c r="C29" s="160" t="s">
        <v>41</v>
      </c>
      <c r="D29" s="33" t="s">
        <v>51</v>
      </c>
      <c r="E29" s="28"/>
      <c r="F29" s="28"/>
      <c r="G29" s="28"/>
      <c r="H29" s="28"/>
      <c r="I29" s="20"/>
      <c r="J29" s="20"/>
      <c r="K29" s="20"/>
      <c r="L29" s="20"/>
      <c r="M29" s="20"/>
      <c r="N29" s="28"/>
      <c r="O29" s="28"/>
      <c r="P29" s="28"/>
      <c r="Q29" s="28"/>
      <c r="R29" s="20"/>
      <c r="S29" s="20"/>
      <c r="T29" s="20"/>
      <c r="U29" s="20"/>
      <c r="V29" s="28"/>
      <c r="W29" s="28"/>
      <c r="X29" s="28"/>
      <c r="Y29" s="28"/>
      <c r="Z29" s="28"/>
      <c r="AA29" s="20"/>
      <c r="AB29" s="20"/>
      <c r="AC29" s="20"/>
      <c r="AD29" s="20"/>
      <c r="AE29" s="28"/>
      <c r="AF29" s="28"/>
      <c r="AG29" s="28"/>
      <c r="AH29" s="28"/>
      <c r="AI29" s="20"/>
      <c r="AJ29" s="20"/>
      <c r="AK29" s="20"/>
      <c r="AL29" s="20"/>
      <c r="AM29" s="20"/>
      <c r="AN29" s="28"/>
      <c r="AO29" s="28"/>
      <c r="AP29" s="28"/>
      <c r="AQ29" s="28"/>
      <c r="AR29" s="20"/>
      <c r="AS29" s="20"/>
      <c r="AT29" s="20"/>
      <c r="AU29" s="20"/>
      <c r="AV29" s="20"/>
      <c r="AW29" s="28"/>
      <c r="AX29" s="28"/>
      <c r="AY29" s="28"/>
      <c r="AZ29" s="28"/>
      <c r="BA29" s="20"/>
      <c r="BB29" s="20"/>
      <c r="BC29" s="20"/>
      <c r="BD29" s="20"/>
      <c r="BE29" s="118"/>
    </row>
    <row r="30" spans="2:57" s="21" customFormat="1" ht="13.5" hidden="1" customHeight="1" x14ac:dyDescent="0.25">
      <c r="B30" s="167"/>
      <c r="C30" s="160"/>
      <c r="D30" s="34" t="s">
        <v>52</v>
      </c>
      <c r="E30" s="28"/>
      <c r="F30" s="28"/>
      <c r="G30" s="28"/>
      <c r="H30" s="28"/>
      <c r="I30" s="20"/>
      <c r="J30" s="20"/>
      <c r="K30" s="20"/>
      <c r="L30" s="20"/>
      <c r="M30" s="20"/>
      <c r="N30" s="28"/>
      <c r="O30" s="28"/>
      <c r="P30" s="28"/>
      <c r="Q30" s="28"/>
      <c r="R30" s="20"/>
      <c r="S30" s="20"/>
      <c r="T30" s="20"/>
      <c r="U30" s="20"/>
      <c r="V30" s="28"/>
      <c r="W30" s="28"/>
      <c r="X30" s="28"/>
      <c r="Y30" s="28"/>
      <c r="Z30" s="28"/>
      <c r="AA30" s="20"/>
      <c r="AB30" s="20"/>
      <c r="AC30" s="20"/>
      <c r="AD30" s="20"/>
      <c r="AE30" s="28"/>
      <c r="AF30" s="28"/>
      <c r="AG30" s="28"/>
      <c r="AH30" s="28"/>
      <c r="AI30" s="20"/>
      <c r="AJ30" s="20"/>
      <c r="AK30" s="20"/>
      <c r="AL30" s="20"/>
      <c r="AM30" s="20"/>
      <c r="AN30" s="28"/>
      <c r="AO30" s="28"/>
      <c r="AP30" s="28"/>
      <c r="AQ30" s="28"/>
      <c r="AR30" s="20"/>
      <c r="AS30" s="20"/>
      <c r="AT30" s="20"/>
      <c r="AU30" s="20"/>
      <c r="AV30" s="20"/>
      <c r="AW30" s="28"/>
      <c r="AX30" s="28"/>
      <c r="AY30" s="28"/>
      <c r="AZ30" s="28"/>
      <c r="BA30" s="20"/>
      <c r="BB30" s="20"/>
      <c r="BC30" s="20"/>
      <c r="BD30" s="20"/>
      <c r="BE30" s="118"/>
    </row>
    <row r="31" spans="2:57" ht="13.5" hidden="1" customHeight="1" x14ac:dyDescent="0.25">
      <c r="B31" s="167"/>
      <c r="C31" s="160" t="s">
        <v>13</v>
      </c>
      <c r="D31" s="33" t="s">
        <v>51</v>
      </c>
      <c r="E31" s="28"/>
      <c r="F31" s="28"/>
      <c r="G31" s="28"/>
      <c r="H31" s="28"/>
      <c r="I31" s="31"/>
      <c r="J31" s="32"/>
      <c r="K31" s="32"/>
      <c r="L31" s="32"/>
      <c r="M31" s="32"/>
      <c r="N31" s="28"/>
      <c r="O31" s="28"/>
      <c r="P31" s="28"/>
      <c r="Q31" s="28"/>
      <c r="R31" s="32"/>
      <c r="S31" s="32"/>
      <c r="T31" s="32"/>
      <c r="U31" s="32"/>
      <c r="V31" s="28"/>
      <c r="W31" s="28"/>
      <c r="X31" s="28"/>
      <c r="Y31" s="28"/>
      <c r="Z31" s="28"/>
      <c r="AA31" s="32"/>
      <c r="AB31" s="32"/>
      <c r="AC31" s="32"/>
      <c r="AD31" s="32"/>
      <c r="AE31" s="28"/>
      <c r="AF31" s="28"/>
      <c r="AG31" s="28"/>
      <c r="AH31" s="28"/>
      <c r="AI31" s="31"/>
      <c r="AJ31" s="32"/>
      <c r="AK31" s="29" t="s">
        <v>42</v>
      </c>
      <c r="AL31" s="32"/>
      <c r="AM31" s="32"/>
      <c r="AN31" s="28"/>
      <c r="AO31" s="28"/>
      <c r="AP31" s="28"/>
      <c r="AQ31" s="28"/>
      <c r="AR31" s="32"/>
      <c r="AS31" s="32"/>
      <c r="AT31" s="32"/>
      <c r="AU31" s="32"/>
      <c r="AV31" s="32"/>
      <c r="AW31" s="28"/>
      <c r="AX31" s="28"/>
      <c r="AY31" s="28"/>
      <c r="AZ31" s="28"/>
      <c r="BA31" s="32"/>
      <c r="BB31" s="32"/>
      <c r="BC31" s="32"/>
      <c r="BD31" s="32"/>
    </row>
    <row r="32" spans="2:57" ht="13.5" hidden="1" customHeight="1" x14ac:dyDescent="0.25">
      <c r="B32" s="167"/>
      <c r="C32" s="160"/>
      <c r="D32" s="34" t="s">
        <v>52</v>
      </c>
      <c r="E32" s="28"/>
      <c r="F32" s="28"/>
      <c r="G32" s="28"/>
      <c r="H32" s="28"/>
      <c r="I32" s="31"/>
      <c r="J32" s="32"/>
      <c r="K32" s="32"/>
      <c r="L32" s="32"/>
      <c r="M32" s="32"/>
      <c r="N32" s="28"/>
      <c r="O32" s="28"/>
      <c r="P32" s="28"/>
      <c r="Q32" s="28"/>
      <c r="R32" s="32"/>
      <c r="S32" s="32"/>
      <c r="T32" s="32"/>
      <c r="U32" s="32"/>
      <c r="V32" s="28"/>
      <c r="W32" s="28"/>
      <c r="X32" s="28"/>
      <c r="Y32" s="28"/>
      <c r="Z32" s="28"/>
      <c r="AA32" s="32"/>
      <c r="AB32" s="32"/>
      <c r="AC32" s="32"/>
      <c r="AD32" s="32"/>
      <c r="AE32" s="28"/>
      <c r="AF32" s="28"/>
      <c r="AG32" s="28"/>
      <c r="AH32" s="28"/>
      <c r="AI32" s="31"/>
      <c r="AJ32" s="32"/>
      <c r="AK32" s="27" t="s">
        <v>42</v>
      </c>
      <c r="AL32" s="32"/>
      <c r="AM32" s="32"/>
      <c r="AN32" s="28"/>
      <c r="AO32" s="28"/>
      <c r="AP32" s="28"/>
      <c r="AQ32" s="28"/>
      <c r="AR32" s="32"/>
      <c r="AS32" s="32"/>
      <c r="AT32" s="32"/>
      <c r="AU32" s="32"/>
      <c r="AV32" s="32"/>
      <c r="AW32" s="28"/>
      <c r="AX32" s="28"/>
      <c r="AY32" s="28"/>
      <c r="AZ32" s="28"/>
      <c r="BA32" s="32"/>
      <c r="BB32" s="32"/>
      <c r="BC32" s="32"/>
      <c r="BD32" s="32"/>
    </row>
    <row r="33" spans="2:56" ht="13.5" hidden="1" customHeight="1" x14ac:dyDescent="0.25">
      <c r="B33" s="167"/>
      <c r="C33" s="160" t="s">
        <v>14</v>
      </c>
      <c r="D33" s="33" t="s">
        <v>51</v>
      </c>
      <c r="E33" s="28"/>
      <c r="F33" s="28"/>
      <c r="G33" s="28"/>
      <c r="H33" s="28"/>
      <c r="I33" s="31"/>
      <c r="J33" s="32"/>
      <c r="K33" s="32"/>
      <c r="L33" s="32"/>
      <c r="M33" s="32"/>
      <c r="N33" s="28"/>
      <c r="O33" s="28"/>
      <c r="P33" s="28"/>
      <c r="Q33" s="28"/>
      <c r="R33" s="32"/>
      <c r="S33" s="32"/>
      <c r="T33" s="6"/>
      <c r="U33" s="32"/>
      <c r="V33" s="28"/>
      <c r="W33" s="28"/>
      <c r="X33" s="61" t="s">
        <v>42</v>
      </c>
      <c r="Y33" s="28"/>
      <c r="Z33" s="28"/>
      <c r="AA33" s="32"/>
      <c r="AB33" s="32"/>
      <c r="AC33" s="32"/>
      <c r="AD33" s="32"/>
      <c r="AE33" s="28"/>
      <c r="AF33" s="28"/>
      <c r="AG33" s="28"/>
      <c r="AH33" s="28"/>
      <c r="AI33" s="31"/>
      <c r="AJ33" s="32"/>
      <c r="AK33" s="32"/>
      <c r="AL33" s="32"/>
      <c r="AM33" s="32"/>
      <c r="AN33" s="28"/>
      <c r="AO33" s="28"/>
      <c r="AP33" s="28"/>
      <c r="AQ33" s="28"/>
      <c r="AR33" s="32"/>
      <c r="AS33" s="32"/>
      <c r="AT33" s="32"/>
      <c r="AU33" s="32"/>
      <c r="AV33" s="32"/>
      <c r="AW33" s="28"/>
      <c r="AX33" s="28"/>
      <c r="AY33" s="28"/>
      <c r="AZ33" s="28"/>
      <c r="BA33" s="32"/>
      <c r="BB33" s="32"/>
      <c r="BC33" s="32"/>
      <c r="BD33" s="32"/>
    </row>
    <row r="34" spans="2:56" ht="13.5" hidden="1" customHeight="1" x14ac:dyDescent="0.25">
      <c r="B34" s="167"/>
      <c r="C34" s="160"/>
      <c r="D34" s="34" t="s">
        <v>52</v>
      </c>
      <c r="E34" s="28"/>
      <c r="F34" s="28"/>
      <c r="G34" s="28"/>
      <c r="H34" s="28"/>
      <c r="I34" s="31"/>
      <c r="J34" s="32"/>
      <c r="K34" s="32"/>
      <c r="L34" s="32"/>
      <c r="M34" s="32"/>
      <c r="N34" s="28"/>
      <c r="O34" s="28"/>
      <c r="P34" s="28"/>
      <c r="Q34" s="28"/>
      <c r="R34" s="32"/>
      <c r="S34" s="32"/>
      <c r="T34" s="32"/>
      <c r="U34" s="32"/>
      <c r="V34" s="28"/>
      <c r="W34" s="28"/>
      <c r="X34" s="27" t="s">
        <v>42</v>
      </c>
      <c r="Y34" s="28"/>
      <c r="Z34" s="28"/>
      <c r="AA34" s="32"/>
      <c r="AB34" s="32"/>
      <c r="AC34" s="32"/>
      <c r="AD34" s="32"/>
      <c r="AE34" s="28"/>
      <c r="AF34" s="28"/>
      <c r="AG34" s="28"/>
      <c r="AH34" s="28"/>
      <c r="AI34" s="31"/>
      <c r="AJ34" s="32"/>
      <c r="AK34" s="32"/>
      <c r="AL34" s="32"/>
      <c r="AM34" s="32"/>
      <c r="AN34" s="28"/>
      <c r="AO34" s="28"/>
      <c r="AP34" s="28"/>
      <c r="AQ34" s="28"/>
      <c r="AR34" s="32"/>
      <c r="AS34" s="32"/>
      <c r="AT34" s="32"/>
      <c r="AU34" s="32"/>
      <c r="AV34" s="32"/>
      <c r="AW34" s="28"/>
      <c r="AX34" s="28"/>
      <c r="AY34" s="28"/>
      <c r="AZ34" s="28"/>
      <c r="BA34" s="32"/>
      <c r="BB34" s="32"/>
      <c r="BC34" s="32"/>
      <c r="BD34" s="32"/>
    </row>
    <row r="35" spans="2:56" ht="13.5" hidden="1" customHeight="1" x14ac:dyDescent="0.25">
      <c r="B35" s="167"/>
      <c r="C35" s="160" t="s">
        <v>15</v>
      </c>
      <c r="D35" s="33" t="s">
        <v>51</v>
      </c>
      <c r="E35" s="28"/>
      <c r="F35" s="28"/>
      <c r="G35" s="28"/>
      <c r="H35" s="28"/>
      <c r="I35" s="31"/>
      <c r="J35" s="31"/>
      <c r="K35" s="32"/>
      <c r="L35" s="32"/>
      <c r="M35" s="32"/>
      <c r="N35" s="28"/>
      <c r="O35" s="28"/>
      <c r="P35" s="28"/>
      <c r="Q35" s="28"/>
      <c r="R35" s="32"/>
      <c r="S35" s="32"/>
      <c r="T35" s="32"/>
      <c r="U35" s="32"/>
      <c r="V35" s="28"/>
      <c r="W35" s="28"/>
      <c r="X35" s="28"/>
      <c r="Y35" s="28"/>
      <c r="Z35" s="28"/>
      <c r="AA35" s="32"/>
      <c r="AB35" s="32"/>
      <c r="AC35" s="32"/>
      <c r="AD35" s="32"/>
      <c r="AE35" s="28"/>
      <c r="AF35" s="28"/>
      <c r="AG35" s="28"/>
      <c r="AH35" s="28"/>
      <c r="AI35" s="31"/>
      <c r="AJ35" s="32"/>
      <c r="AK35" s="29" t="s">
        <v>42</v>
      </c>
      <c r="AL35" s="32"/>
      <c r="AM35" s="32"/>
      <c r="AN35" s="28"/>
      <c r="AO35" s="28"/>
      <c r="AP35" s="28"/>
      <c r="AQ35" s="28"/>
      <c r="AR35" s="29" t="s">
        <v>42</v>
      </c>
      <c r="AS35" s="32"/>
      <c r="AT35" s="32"/>
      <c r="AU35" s="32"/>
      <c r="AV35" s="32"/>
      <c r="AW35" s="28"/>
      <c r="AX35" s="28"/>
      <c r="AY35" s="28"/>
      <c r="AZ35" s="28"/>
      <c r="BA35" s="32"/>
      <c r="BB35" s="32"/>
      <c r="BC35" s="32"/>
      <c r="BD35" s="32"/>
    </row>
    <row r="36" spans="2:56" ht="13.5" hidden="1" customHeight="1" x14ac:dyDescent="0.25">
      <c r="B36" s="167"/>
      <c r="C36" s="160"/>
      <c r="D36" s="34" t="s">
        <v>52</v>
      </c>
      <c r="E36" s="28"/>
      <c r="F36" s="28"/>
      <c r="G36" s="28"/>
      <c r="H36" s="28"/>
      <c r="I36" s="31"/>
      <c r="J36" s="31"/>
      <c r="K36" s="32"/>
      <c r="L36" s="32"/>
      <c r="M36" s="32"/>
      <c r="N36" s="28"/>
      <c r="O36" s="28"/>
      <c r="P36" s="28"/>
      <c r="Q36" s="28"/>
      <c r="R36" s="32"/>
      <c r="S36" s="32"/>
      <c r="T36" s="32"/>
      <c r="U36" s="32"/>
      <c r="V36" s="28"/>
      <c r="W36" s="28"/>
      <c r="X36" s="28"/>
      <c r="Y36" s="28"/>
      <c r="Z36" s="28"/>
      <c r="AA36" s="32"/>
      <c r="AB36" s="32"/>
      <c r="AC36" s="32"/>
      <c r="AD36" s="32"/>
      <c r="AE36" s="28"/>
      <c r="AF36" s="28"/>
      <c r="AG36" s="28"/>
      <c r="AH36" s="28"/>
      <c r="AI36" s="31"/>
      <c r="AJ36" s="32"/>
      <c r="AK36" s="27" t="s">
        <v>42</v>
      </c>
      <c r="AL36" s="32"/>
      <c r="AM36" s="32"/>
      <c r="AN36" s="28"/>
      <c r="AO36" s="28"/>
      <c r="AP36" s="28"/>
      <c r="AQ36" s="28"/>
      <c r="AR36" s="64" t="s">
        <v>42</v>
      </c>
      <c r="AS36" s="32"/>
      <c r="AT36" s="32"/>
      <c r="AU36" s="32"/>
      <c r="AV36" s="32"/>
      <c r="AW36" s="28"/>
      <c r="AX36" s="28"/>
      <c r="AY36" s="28"/>
      <c r="AZ36" s="28"/>
      <c r="BA36" s="32"/>
      <c r="BB36" s="32"/>
      <c r="BC36" s="32"/>
      <c r="BD36" s="32"/>
    </row>
    <row r="37" spans="2:56" ht="13.5" hidden="1" customHeight="1" x14ac:dyDescent="0.25">
      <c r="B37" s="167"/>
      <c r="C37" s="160" t="s">
        <v>16</v>
      </c>
      <c r="D37" s="33" t="s">
        <v>51</v>
      </c>
      <c r="E37" s="28"/>
      <c r="F37" s="28"/>
      <c r="G37" s="28"/>
      <c r="H37" s="28"/>
      <c r="I37" s="31"/>
      <c r="J37" s="32"/>
      <c r="K37" s="32"/>
      <c r="L37" s="32"/>
      <c r="M37" s="4"/>
      <c r="N37" s="29" t="s">
        <v>42</v>
      </c>
      <c r="O37" s="28"/>
      <c r="P37" s="28"/>
      <c r="Q37" s="28"/>
      <c r="R37" s="32"/>
      <c r="T37" s="32"/>
      <c r="U37" s="32"/>
      <c r="V37" s="28"/>
      <c r="W37" s="28"/>
      <c r="X37" s="28"/>
      <c r="Y37" s="28"/>
      <c r="Z37" s="28"/>
      <c r="AA37" s="32"/>
      <c r="AB37" s="32"/>
      <c r="AC37" s="32"/>
      <c r="AD37" s="32"/>
      <c r="AE37" s="28"/>
      <c r="AF37" s="28"/>
      <c r="AG37" s="28"/>
      <c r="AH37" s="28"/>
      <c r="AI37" s="31"/>
      <c r="AJ37" s="32"/>
      <c r="AK37" s="32"/>
      <c r="AL37" s="32"/>
      <c r="AM37" s="32"/>
      <c r="AN37" s="28"/>
      <c r="AO37" s="28"/>
      <c r="AP37" s="28"/>
      <c r="AQ37" s="28"/>
      <c r="AR37" s="32"/>
      <c r="AT37" s="32"/>
      <c r="AU37" s="32"/>
      <c r="AV37" s="32"/>
      <c r="AW37" s="28"/>
      <c r="AX37" s="28"/>
      <c r="AY37" s="28"/>
      <c r="AZ37" s="28"/>
      <c r="BA37" s="32"/>
      <c r="BB37" s="32"/>
      <c r="BC37" s="32"/>
      <c r="BD37" s="32"/>
    </row>
    <row r="38" spans="2:56" ht="13.5" hidden="1" customHeight="1" x14ac:dyDescent="0.25">
      <c r="B38" s="167"/>
      <c r="C38" s="160"/>
      <c r="D38" s="34" t="s">
        <v>52</v>
      </c>
      <c r="E38" s="28"/>
      <c r="F38" s="28"/>
      <c r="G38" s="28"/>
      <c r="H38" s="28"/>
      <c r="I38" s="31"/>
      <c r="J38" s="32"/>
      <c r="K38" s="32"/>
      <c r="L38" s="32"/>
      <c r="M38" s="4"/>
      <c r="N38" s="27" t="s">
        <v>42</v>
      </c>
      <c r="O38" s="28"/>
      <c r="P38" s="27" t="s">
        <v>42</v>
      </c>
      <c r="Q38" s="28"/>
      <c r="R38" s="32"/>
      <c r="S38" s="32"/>
      <c r="T38" s="32"/>
      <c r="U38" s="32"/>
      <c r="V38" s="28"/>
      <c r="W38" s="28"/>
      <c r="X38" s="28"/>
      <c r="Y38" s="28"/>
      <c r="Z38" s="28"/>
      <c r="AA38" s="32"/>
      <c r="AB38" s="32"/>
      <c r="AC38" s="32"/>
      <c r="AD38" s="32"/>
      <c r="AE38" s="28"/>
      <c r="AF38" s="28"/>
      <c r="AG38" s="28"/>
      <c r="AH38" s="28"/>
      <c r="AI38" s="31"/>
      <c r="AJ38" s="32"/>
      <c r="AK38" s="32"/>
      <c r="AL38" s="32"/>
      <c r="AM38" s="32"/>
      <c r="AN38" s="28"/>
      <c r="AO38" s="28"/>
      <c r="AP38" s="28"/>
      <c r="AQ38" s="28"/>
      <c r="AR38" s="32"/>
      <c r="AS38" s="32"/>
      <c r="AT38" s="32"/>
      <c r="AU38" s="32"/>
      <c r="AV38" s="32"/>
      <c r="AW38" s="28"/>
      <c r="AX38" s="28"/>
      <c r="AY38" s="28"/>
      <c r="AZ38" s="28"/>
      <c r="BA38" s="32"/>
      <c r="BB38" s="32"/>
      <c r="BC38" s="32"/>
      <c r="BD38" s="32"/>
    </row>
    <row r="39" spans="2:56" ht="13.5" hidden="1" customHeight="1" x14ac:dyDescent="0.25">
      <c r="B39" s="167"/>
      <c r="C39" s="160" t="s">
        <v>50</v>
      </c>
      <c r="D39" s="33" t="s">
        <v>51</v>
      </c>
      <c r="E39" s="28"/>
      <c r="F39" s="28"/>
      <c r="G39" s="28"/>
      <c r="H39" s="28"/>
      <c r="I39" s="31"/>
      <c r="J39" s="29" t="s">
        <v>42</v>
      </c>
      <c r="K39" s="32"/>
      <c r="L39" s="32"/>
      <c r="M39" s="32"/>
      <c r="N39" s="28"/>
      <c r="O39" s="28"/>
      <c r="P39" s="28"/>
      <c r="Q39" s="28"/>
      <c r="R39" s="32"/>
      <c r="S39" s="32"/>
      <c r="T39" s="32"/>
      <c r="U39" s="32"/>
      <c r="V39" s="28"/>
      <c r="W39" s="28"/>
      <c r="X39" s="28"/>
      <c r="Y39" s="28"/>
      <c r="Z39" s="28"/>
      <c r="AA39" s="32"/>
      <c r="AB39" s="32"/>
      <c r="AC39" s="32"/>
      <c r="AD39" s="32"/>
      <c r="AE39" s="28"/>
      <c r="AF39" s="28"/>
      <c r="AG39" s="28"/>
      <c r="AH39" s="28"/>
      <c r="AI39" s="31"/>
      <c r="AJ39" s="32"/>
      <c r="AK39" s="32"/>
      <c r="AL39" s="32"/>
      <c r="AM39" s="32"/>
      <c r="AN39" s="28"/>
      <c r="AO39" s="28"/>
      <c r="AP39" s="28"/>
      <c r="AQ39" s="28"/>
      <c r="AR39" s="32"/>
      <c r="AT39" s="32"/>
      <c r="AV39" s="32"/>
      <c r="AW39" s="28"/>
      <c r="AX39" s="28"/>
      <c r="AY39" s="28"/>
      <c r="AZ39" s="28"/>
      <c r="BA39" s="32"/>
      <c r="BB39" s="32"/>
      <c r="BC39" s="32"/>
      <c r="BD39" s="32"/>
    </row>
    <row r="40" spans="2:56" ht="13.5" hidden="1" customHeight="1" x14ac:dyDescent="0.25">
      <c r="B40" s="167"/>
      <c r="C40" s="160"/>
      <c r="D40" s="34" t="s">
        <v>52</v>
      </c>
      <c r="E40" s="28"/>
      <c r="F40" s="28"/>
      <c r="G40" s="28"/>
      <c r="H40" s="28"/>
      <c r="I40" s="31"/>
      <c r="J40" s="32"/>
      <c r="K40" s="32"/>
      <c r="L40" s="32"/>
      <c r="M40" s="27" t="s">
        <v>42</v>
      </c>
      <c r="N40" s="28"/>
      <c r="O40" s="28"/>
      <c r="P40" s="28"/>
      <c r="Q40" s="28"/>
      <c r="R40" s="32"/>
      <c r="S40" s="32"/>
      <c r="T40" s="32"/>
      <c r="U40" s="32"/>
      <c r="V40" s="28"/>
      <c r="W40" s="28"/>
      <c r="X40" s="28"/>
      <c r="Y40" s="28"/>
      <c r="Z40" s="28"/>
      <c r="AA40" s="32"/>
      <c r="AB40" s="32"/>
      <c r="AC40" s="32"/>
      <c r="AD40" s="32"/>
      <c r="AE40" s="28"/>
      <c r="AF40" s="28"/>
      <c r="AG40" s="28"/>
      <c r="AH40" s="28"/>
      <c r="AI40" s="31"/>
      <c r="AJ40" s="32"/>
      <c r="AK40" s="32"/>
      <c r="AL40" s="32"/>
      <c r="AM40" s="32"/>
      <c r="AN40" s="28"/>
      <c r="AO40" s="28"/>
      <c r="AP40" s="28"/>
      <c r="AQ40" s="28"/>
      <c r="AR40" s="32"/>
      <c r="AS40" s="32"/>
      <c r="AT40" s="32"/>
      <c r="AU40" s="32"/>
      <c r="AV40" s="32"/>
      <c r="AW40" s="28"/>
      <c r="AX40" s="28"/>
      <c r="AY40" s="28"/>
      <c r="AZ40" s="28"/>
      <c r="BA40" s="32"/>
      <c r="BB40" s="32"/>
      <c r="BC40" s="32"/>
      <c r="BD40" s="32"/>
    </row>
    <row r="41" spans="2:56" ht="13.5" hidden="1" customHeight="1" x14ac:dyDescent="0.25">
      <c r="B41" s="167"/>
      <c r="C41" s="160" t="s">
        <v>17</v>
      </c>
      <c r="D41" s="33" t="s">
        <v>51</v>
      </c>
      <c r="E41" s="28"/>
      <c r="F41" s="28"/>
      <c r="G41" s="28"/>
      <c r="H41" s="28"/>
      <c r="I41" s="32"/>
      <c r="J41" s="32"/>
      <c r="K41" s="32"/>
      <c r="L41" s="32"/>
      <c r="M41" s="32"/>
      <c r="N41" s="29" t="s">
        <v>42</v>
      </c>
      <c r="O41" s="28"/>
      <c r="P41" s="28"/>
      <c r="Q41" s="28"/>
      <c r="R41" s="32"/>
      <c r="S41" s="32"/>
      <c r="T41" s="32"/>
      <c r="U41" s="29" t="s">
        <v>42</v>
      </c>
      <c r="V41" s="28"/>
      <c r="W41" s="28"/>
      <c r="X41" s="28"/>
      <c r="Y41" s="28"/>
      <c r="Z41" s="28"/>
      <c r="AA41" s="29" t="s">
        <v>42</v>
      </c>
      <c r="AB41" s="32"/>
      <c r="AC41" s="32"/>
      <c r="AD41" s="32"/>
      <c r="AE41" s="28"/>
      <c r="AF41" s="28"/>
      <c r="AG41" s="28"/>
      <c r="AH41" s="28"/>
      <c r="AI41" s="31"/>
      <c r="AJ41" s="32"/>
      <c r="AK41" s="32"/>
      <c r="AL41" s="32"/>
      <c r="AM41" s="32"/>
      <c r="AN41" s="28"/>
      <c r="AO41" s="28"/>
      <c r="AP41" s="28"/>
      <c r="AQ41" s="28"/>
      <c r="AR41" s="32"/>
      <c r="AS41" s="32"/>
      <c r="AU41" s="32"/>
      <c r="AV41" s="32"/>
      <c r="AW41" s="28"/>
      <c r="AX41" s="28"/>
      <c r="AY41" s="28"/>
      <c r="AZ41" s="28"/>
      <c r="BA41" s="32"/>
      <c r="BB41" s="29" t="s">
        <v>42</v>
      </c>
      <c r="BC41" s="32"/>
      <c r="BD41" s="32"/>
    </row>
    <row r="42" spans="2:56" ht="13.5" hidden="1" customHeight="1" x14ac:dyDescent="0.25">
      <c r="B42" s="167"/>
      <c r="C42" s="160"/>
      <c r="D42" s="34" t="s">
        <v>52</v>
      </c>
      <c r="E42" s="28"/>
      <c r="F42" s="28"/>
      <c r="G42" s="28"/>
      <c r="H42" s="28"/>
      <c r="I42" s="32"/>
      <c r="J42" s="32"/>
      <c r="K42" s="32"/>
      <c r="L42" s="32"/>
      <c r="M42" s="32"/>
      <c r="N42" s="27" t="s">
        <v>42</v>
      </c>
      <c r="O42" s="28"/>
      <c r="P42" s="27" t="s">
        <v>42</v>
      </c>
      <c r="Q42" s="28"/>
      <c r="R42" s="32"/>
      <c r="S42" s="32"/>
      <c r="T42" s="32"/>
      <c r="U42" s="27" t="s">
        <v>42</v>
      </c>
      <c r="V42" s="28"/>
      <c r="W42" s="28"/>
      <c r="X42" s="28"/>
      <c r="Y42" s="28"/>
      <c r="Z42" s="28"/>
      <c r="AA42" s="27" t="s">
        <v>42</v>
      </c>
      <c r="AB42" s="32"/>
      <c r="AC42" s="32"/>
      <c r="AD42" s="32"/>
      <c r="AE42" s="28"/>
      <c r="AF42" s="28"/>
      <c r="AG42" s="28"/>
      <c r="AH42" s="28"/>
      <c r="AI42" s="31"/>
      <c r="AJ42" s="32"/>
      <c r="AK42" s="32"/>
      <c r="AL42" s="32"/>
      <c r="AM42" s="32"/>
      <c r="AN42" s="28"/>
      <c r="AO42" s="28"/>
      <c r="AP42" s="28"/>
      <c r="AQ42" s="28"/>
      <c r="AR42" s="32"/>
      <c r="AS42" s="32"/>
      <c r="AT42" s="32"/>
      <c r="AU42" s="32"/>
      <c r="AV42" s="32"/>
      <c r="AW42" s="28"/>
      <c r="AX42" s="28"/>
      <c r="AY42" s="28"/>
      <c r="AZ42" s="28"/>
      <c r="BA42" s="32"/>
      <c r="BB42" s="27" t="s">
        <v>42</v>
      </c>
      <c r="BC42" s="32"/>
      <c r="BD42" s="32"/>
    </row>
    <row r="43" spans="2:56" ht="13.5" hidden="1" customHeight="1" x14ac:dyDescent="0.25">
      <c r="B43" s="167"/>
      <c r="C43" s="160" t="s">
        <v>39</v>
      </c>
      <c r="D43" s="33" t="s">
        <v>51</v>
      </c>
      <c r="E43" s="28"/>
      <c r="F43" s="28"/>
      <c r="G43" s="28"/>
      <c r="H43" s="28"/>
      <c r="I43" s="31"/>
      <c r="J43" s="32"/>
      <c r="K43" s="32"/>
      <c r="L43" s="32"/>
      <c r="M43" s="32"/>
      <c r="N43" s="28"/>
      <c r="O43" s="28"/>
      <c r="P43" s="28"/>
      <c r="Q43" s="28"/>
      <c r="R43" s="32"/>
      <c r="S43" s="32"/>
      <c r="T43" s="6"/>
      <c r="U43" s="32"/>
      <c r="V43" s="28"/>
      <c r="W43" s="28"/>
      <c r="X43" s="28"/>
      <c r="Y43" s="28"/>
      <c r="Z43" s="61" t="s">
        <v>42</v>
      </c>
      <c r="AA43" s="32"/>
      <c r="AB43" s="32"/>
      <c r="AC43" s="32"/>
      <c r="AD43" s="32"/>
      <c r="AE43" s="28"/>
      <c r="AF43" s="28"/>
      <c r="AG43" s="28"/>
      <c r="AH43" s="28"/>
      <c r="AI43" s="31"/>
      <c r="AJ43" s="32"/>
      <c r="AK43" s="32"/>
      <c r="AL43" s="32"/>
      <c r="AM43" s="32"/>
      <c r="AN43" s="28"/>
      <c r="AO43" s="28"/>
      <c r="AP43" s="28"/>
      <c r="AQ43" s="28"/>
      <c r="AR43" s="32"/>
      <c r="AT43" s="32"/>
      <c r="AU43" s="32"/>
      <c r="AV43" s="32"/>
      <c r="AW43" s="28"/>
      <c r="AX43" s="28"/>
      <c r="AY43" s="28"/>
      <c r="AZ43" s="28"/>
      <c r="BA43" s="32"/>
      <c r="BB43" s="32"/>
      <c r="BC43" s="32"/>
      <c r="BD43" s="32"/>
    </row>
    <row r="44" spans="2:56" ht="13.5" hidden="1" customHeight="1" x14ac:dyDescent="0.25">
      <c r="B44" s="167"/>
      <c r="C44" s="160"/>
      <c r="D44" s="34" t="s">
        <v>52</v>
      </c>
      <c r="E44" s="28"/>
      <c r="F44" s="28"/>
      <c r="G44" s="28"/>
      <c r="H44" s="28"/>
      <c r="I44" s="31"/>
      <c r="J44" s="32"/>
      <c r="K44" s="32"/>
      <c r="L44" s="32"/>
      <c r="M44" s="32"/>
      <c r="N44" s="28"/>
      <c r="O44" s="28"/>
      <c r="P44" s="28"/>
      <c r="Q44" s="28"/>
      <c r="R44" s="32"/>
      <c r="S44" s="32"/>
      <c r="T44" s="32"/>
      <c r="U44" s="32"/>
      <c r="V44" s="28"/>
      <c r="W44" s="28"/>
      <c r="X44" s="28"/>
      <c r="Y44" s="28"/>
      <c r="Z44" s="27" t="s">
        <v>42</v>
      </c>
      <c r="AA44" s="32"/>
      <c r="AB44" s="32"/>
      <c r="AC44" s="32"/>
      <c r="AD44" s="32"/>
      <c r="AE44" s="28"/>
      <c r="AF44" s="28"/>
      <c r="AG44" s="28"/>
      <c r="AH44" s="28"/>
      <c r="AI44" s="31"/>
      <c r="AJ44" s="32"/>
      <c r="AK44" s="32"/>
      <c r="AL44" s="32"/>
      <c r="AM44" s="32"/>
      <c r="AN44" s="28"/>
      <c r="AO44" s="28"/>
      <c r="AP44" s="28"/>
      <c r="AQ44" s="28"/>
      <c r="AR44" s="32"/>
      <c r="AS44" s="32"/>
      <c r="AT44" s="32"/>
      <c r="AU44" s="32"/>
      <c r="AV44" s="32"/>
      <c r="AW44" s="28"/>
      <c r="AX44" s="28"/>
      <c r="AY44" s="28"/>
      <c r="AZ44" s="28"/>
      <c r="BA44" s="32"/>
      <c r="BB44" s="32"/>
      <c r="BC44" s="32"/>
      <c r="BD44" s="32"/>
    </row>
    <row r="45" spans="2:56" ht="13.5" hidden="1" customHeight="1" x14ac:dyDescent="0.25">
      <c r="B45" s="167"/>
      <c r="C45" s="160" t="s">
        <v>18</v>
      </c>
      <c r="D45" s="33" t="s">
        <v>51</v>
      </c>
      <c r="E45" s="28"/>
      <c r="F45" s="28"/>
      <c r="G45" s="28"/>
      <c r="H45" s="29" t="s">
        <v>42</v>
      </c>
      <c r="I45" s="31"/>
      <c r="J45" s="32"/>
      <c r="K45" s="32"/>
      <c r="L45" s="32"/>
      <c r="M45" s="32"/>
      <c r="N45" s="28"/>
      <c r="O45" s="28"/>
      <c r="P45" s="28"/>
      <c r="Q45" s="28"/>
      <c r="R45" s="32"/>
      <c r="S45" s="32"/>
      <c r="T45" s="32"/>
      <c r="U45" s="32"/>
      <c r="V45" s="28"/>
      <c r="W45" s="28"/>
      <c r="X45" s="28"/>
      <c r="Y45" s="28"/>
      <c r="Z45" s="28"/>
      <c r="AA45" s="32"/>
      <c r="AB45" s="32"/>
      <c r="AC45" s="32"/>
      <c r="AD45" s="32"/>
      <c r="AE45" s="28"/>
      <c r="AF45" s="28"/>
      <c r="AG45" s="28"/>
      <c r="AH45" s="28"/>
      <c r="AI45" s="31"/>
      <c r="AJ45" s="32"/>
      <c r="AK45" s="32"/>
      <c r="AL45" s="32"/>
      <c r="AM45" s="32"/>
      <c r="AN45" s="28"/>
      <c r="AO45" s="28"/>
      <c r="AP45" s="28"/>
      <c r="AQ45" s="28"/>
      <c r="AR45" s="32"/>
      <c r="AS45" s="32"/>
      <c r="AT45" s="32"/>
      <c r="AU45" s="32"/>
      <c r="AV45" s="32"/>
      <c r="AW45" s="28"/>
      <c r="AX45" s="28"/>
      <c r="AY45" s="28"/>
      <c r="AZ45" s="28"/>
      <c r="BA45" s="32"/>
      <c r="BB45" s="32"/>
      <c r="BC45" s="32"/>
      <c r="BD45" s="32"/>
    </row>
    <row r="46" spans="2:56" ht="13.5" hidden="1" customHeight="1" x14ac:dyDescent="0.25">
      <c r="B46" s="167"/>
      <c r="C46" s="160" t="s">
        <v>18</v>
      </c>
      <c r="D46" s="34" t="s">
        <v>52</v>
      </c>
      <c r="E46" s="28"/>
      <c r="F46" s="28"/>
      <c r="G46" s="28"/>
      <c r="H46" s="27" t="s">
        <v>42</v>
      </c>
      <c r="I46" s="31"/>
      <c r="J46" s="32"/>
      <c r="K46" s="32"/>
      <c r="L46" s="32"/>
      <c r="M46" s="32"/>
      <c r="N46" s="28"/>
      <c r="O46" s="28"/>
      <c r="P46" s="28"/>
      <c r="Q46" s="28"/>
      <c r="R46" s="32"/>
      <c r="S46" s="32"/>
      <c r="T46" s="32"/>
      <c r="U46" s="32"/>
      <c r="V46" s="28"/>
      <c r="W46" s="28"/>
      <c r="X46" s="28"/>
      <c r="Y46" s="28"/>
      <c r="Z46" s="28"/>
      <c r="AA46" s="32"/>
      <c r="AB46" s="32"/>
      <c r="AC46" s="32"/>
      <c r="AD46" s="32"/>
      <c r="AE46" s="28"/>
      <c r="AF46" s="28"/>
      <c r="AG46" s="28"/>
      <c r="AH46" s="28"/>
      <c r="AI46" s="31"/>
      <c r="AJ46" s="32"/>
      <c r="AK46" s="32"/>
      <c r="AL46" s="32"/>
      <c r="AM46" s="32"/>
      <c r="AN46" s="28"/>
      <c r="AO46" s="28"/>
      <c r="AP46" s="28"/>
      <c r="AQ46" s="28"/>
      <c r="AR46" s="32"/>
      <c r="AS46" s="32"/>
      <c r="AT46" s="32"/>
      <c r="AU46" s="32"/>
      <c r="AV46" s="32"/>
      <c r="AW46" s="28"/>
      <c r="AX46" s="28"/>
      <c r="AY46" s="28"/>
      <c r="AZ46" s="28"/>
      <c r="BA46" s="32"/>
      <c r="BB46" s="32"/>
      <c r="BC46" s="32"/>
      <c r="BD46" s="32"/>
    </row>
    <row r="47" spans="2:56" hidden="1" x14ac:dyDescent="0.25"/>
    <row r="48" spans="2:56" x14ac:dyDescent="0.25">
      <c r="B48" s="159" t="s">
        <v>20</v>
      </c>
      <c r="C48" s="159" t="s">
        <v>0</v>
      </c>
      <c r="D48" s="161" t="s">
        <v>53</v>
      </c>
      <c r="E48" s="159" t="s">
        <v>1</v>
      </c>
      <c r="F48" s="159"/>
      <c r="G48" s="159"/>
      <c r="H48" s="159"/>
      <c r="I48" s="159" t="s">
        <v>2</v>
      </c>
      <c r="J48" s="159"/>
      <c r="K48" s="159"/>
      <c r="L48" s="159"/>
      <c r="M48" s="159" t="s">
        <v>3</v>
      </c>
      <c r="N48" s="159"/>
      <c r="O48" s="159"/>
      <c r="P48" s="159"/>
      <c r="Q48" s="159"/>
      <c r="R48" s="156" t="s">
        <v>4</v>
      </c>
      <c r="S48" s="156"/>
      <c r="T48" s="156"/>
      <c r="U48" s="156"/>
      <c r="V48" s="156" t="s">
        <v>5</v>
      </c>
      <c r="W48" s="156"/>
      <c r="X48" s="156"/>
      <c r="Y48" s="156"/>
      <c r="Z48" s="156"/>
      <c r="AA48" s="156" t="s">
        <v>6</v>
      </c>
      <c r="AB48" s="156"/>
      <c r="AC48" s="156"/>
      <c r="AD48" s="156"/>
      <c r="AE48" s="159" t="s">
        <v>7</v>
      </c>
      <c r="AF48" s="159"/>
      <c r="AG48" s="159"/>
      <c r="AH48" s="159"/>
      <c r="AI48" s="159" t="s">
        <v>8</v>
      </c>
      <c r="AJ48" s="159"/>
      <c r="AK48" s="159"/>
      <c r="AL48" s="159"/>
      <c r="AM48" s="159"/>
      <c r="AN48" s="159" t="s">
        <v>9</v>
      </c>
      <c r="AO48" s="159"/>
      <c r="AP48" s="159"/>
      <c r="AQ48" s="159"/>
      <c r="AR48" s="156" t="s">
        <v>10</v>
      </c>
      <c r="AS48" s="156"/>
      <c r="AT48" s="156"/>
      <c r="AU48" s="156"/>
      <c r="AV48" s="156"/>
      <c r="AW48" s="156" t="s">
        <v>11</v>
      </c>
      <c r="AX48" s="156"/>
      <c r="AY48" s="156"/>
      <c r="AZ48" s="156"/>
      <c r="BA48" s="156" t="s">
        <v>12</v>
      </c>
      <c r="BB48" s="156"/>
      <c r="BC48" s="156"/>
      <c r="BD48" s="156"/>
    </row>
    <row r="49" spans="2:56" x14ac:dyDescent="0.25">
      <c r="B49" s="159"/>
      <c r="C49" s="159"/>
      <c r="D49" s="161"/>
      <c r="E49" s="98">
        <v>1</v>
      </c>
      <c r="F49" s="98">
        <v>2</v>
      </c>
      <c r="G49" s="98">
        <f>F49+1</f>
        <v>3</v>
      </c>
      <c r="H49" s="98">
        <f t="shared" ref="H49:AD49" si="6">G49+1</f>
        <v>4</v>
      </c>
      <c r="I49" s="98">
        <f t="shared" si="6"/>
        <v>5</v>
      </c>
      <c r="J49" s="98">
        <f t="shared" si="6"/>
        <v>6</v>
      </c>
      <c r="K49" s="98">
        <f t="shared" si="6"/>
        <v>7</v>
      </c>
      <c r="L49" s="98">
        <f t="shared" si="6"/>
        <v>8</v>
      </c>
      <c r="M49" s="98">
        <f t="shared" si="6"/>
        <v>9</v>
      </c>
      <c r="N49" s="98">
        <f t="shared" si="6"/>
        <v>10</v>
      </c>
      <c r="O49" s="98">
        <f t="shared" si="6"/>
        <v>11</v>
      </c>
      <c r="P49" s="98">
        <f t="shared" si="6"/>
        <v>12</v>
      </c>
      <c r="Q49" s="98">
        <f t="shared" si="6"/>
        <v>13</v>
      </c>
      <c r="R49" s="115">
        <f t="shared" si="6"/>
        <v>14</v>
      </c>
      <c r="S49" s="115">
        <f t="shared" si="6"/>
        <v>15</v>
      </c>
      <c r="T49" s="98">
        <f t="shared" si="6"/>
        <v>16</v>
      </c>
      <c r="U49" s="98">
        <f t="shared" si="6"/>
        <v>17</v>
      </c>
      <c r="V49" s="98">
        <f t="shared" si="6"/>
        <v>18</v>
      </c>
      <c r="W49" s="98">
        <f t="shared" si="6"/>
        <v>19</v>
      </c>
      <c r="X49" s="115">
        <f t="shared" si="6"/>
        <v>20</v>
      </c>
      <c r="Y49" s="98">
        <f t="shared" si="6"/>
        <v>21</v>
      </c>
      <c r="Z49" s="98">
        <f t="shared" si="6"/>
        <v>22</v>
      </c>
      <c r="AA49" s="98">
        <f t="shared" si="6"/>
        <v>23</v>
      </c>
      <c r="AB49" s="98">
        <f t="shared" si="6"/>
        <v>24</v>
      </c>
      <c r="AC49" s="115">
        <f t="shared" si="6"/>
        <v>25</v>
      </c>
      <c r="AD49" s="98">
        <f t="shared" si="6"/>
        <v>26</v>
      </c>
      <c r="AE49" s="98">
        <f>AD49+1</f>
        <v>27</v>
      </c>
      <c r="AF49" s="98">
        <f>AE49+1</f>
        <v>28</v>
      </c>
      <c r="AG49" s="98">
        <f>AF49+1</f>
        <v>29</v>
      </c>
      <c r="AH49" s="98">
        <f t="shared" ref="AH49:BD49" si="7">AG49+1</f>
        <v>30</v>
      </c>
      <c r="AI49" s="98">
        <f t="shared" si="7"/>
        <v>31</v>
      </c>
      <c r="AJ49" s="98">
        <f t="shared" si="7"/>
        <v>32</v>
      </c>
      <c r="AK49" s="98">
        <f t="shared" si="7"/>
        <v>33</v>
      </c>
      <c r="AL49" s="98">
        <f t="shared" si="7"/>
        <v>34</v>
      </c>
      <c r="AM49" s="98">
        <f t="shared" si="7"/>
        <v>35</v>
      </c>
      <c r="AN49" s="98">
        <f t="shared" si="7"/>
        <v>36</v>
      </c>
      <c r="AO49" s="98">
        <f t="shared" si="7"/>
        <v>37</v>
      </c>
      <c r="AP49" s="98">
        <f t="shared" si="7"/>
        <v>38</v>
      </c>
      <c r="AQ49" s="98">
        <f t="shared" si="7"/>
        <v>39</v>
      </c>
      <c r="AR49" s="98">
        <f t="shared" si="7"/>
        <v>40</v>
      </c>
      <c r="AS49" s="98">
        <f t="shared" si="7"/>
        <v>41</v>
      </c>
      <c r="AT49" s="98">
        <f t="shared" si="7"/>
        <v>42</v>
      </c>
      <c r="AU49" s="98">
        <f t="shared" si="7"/>
        <v>43</v>
      </c>
      <c r="AV49" s="98">
        <f t="shared" si="7"/>
        <v>44</v>
      </c>
      <c r="AW49" s="98">
        <f t="shared" si="7"/>
        <v>45</v>
      </c>
      <c r="AX49" s="98">
        <f t="shared" si="7"/>
        <v>46</v>
      </c>
      <c r="AY49" s="98">
        <f t="shared" si="7"/>
        <v>47</v>
      </c>
      <c r="AZ49" s="98">
        <f t="shared" si="7"/>
        <v>48</v>
      </c>
      <c r="BA49" s="98">
        <f t="shared" si="7"/>
        <v>49</v>
      </c>
      <c r="BB49" s="98">
        <f t="shared" si="7"/>
        <v>50</v>
      </c>
      <c r="BC49" s="98">
        <f t="shared" si="7"/>
        <v>51</v>
      </c>
      <c r="BD49" s="98">
        <f t="shared" si="7"/>
        <v>52</v>
      </c>
    </row>
    <row r="50" spans="2:56" ht="14.1" customHeight="1" x14ac:dyDescent="0.25">
      <c r="B50" s="162">
        <v>2026</v>
      </c>
      <c r="C50" s="158" t="s">
        <v>43</v>
      </c>
      <c r="D50" s="99" t="s">
        <v>51</v>
      </c>
      <c r="E50" s="100"/>
      <c r="F50" s="100"/>
      <c r="G50" s="100"/>
      <c r="H50" s="100"/>
      <c r="I50" s="180" t="s">
        <v>42</v>
      </c>
      <c r="J50" s="180" t="s">
        <v>42</v>
      </c>
      <c r="K50" s="180" t="s">
        <v>42</v>
      </c>
      <c r="L50" s="180" t="s">
        <v>42</v>
      </c>
      <c r="M50" s="100"/>
      <c r="N50" s="100"/>
      <c r="O50" s="100"/>
      <c r="P50" s="100"/>
      <c r="Q50" s="100"/>
      <c r="R50" s="102"/>
      <c r="S50" s="102"/>
      <c r="T50" s="102"/>
      <c r="U50" s="102"/>
      <c r="V50" s="100"/>
      <c r="W50" s="100"/>
      <c r="X50" s="100"/>
      <c r="Y50" s="100"/>
      <c r="Z50" s="100"/>
      <c r="AA50" s="102"/>
      <c r="AB50" s="102"/>
      <c r="AC50" s="102"/>
      <c r="AD50" s="102"/>
      <c r="AE50" s="100"/>
      <c r="AF50" s="100"/>
      <c r="AG50" s="100"/>
      <c r="AH50" s="100"/>
      <c r="AI50" s="101" t="s">
        <v>42</v>
      </c>
      <c r="AJ50" s="102"/>
      <c r="AK50" s="102"/>
      <c r="AL50" s="102"/>
      <c r="AM50" s="102"/>
      <c r="AN50" s="100"/>
      <c r="AO50" s="100"/>
      <c r="AP50" s="100"/>
      <c r="AQ50" s="100"/>
      <c r="AR50" s="102"/>
      <c r="AS50" s="102"/>
      <c r="AT50" s="102"/>
      <c r="AU50" s="102"/>
      <c r="AV50" s="102"/>
      <c r="AW50" s="100"/>
      <c r="AX50" s="100"/>
      <c r="AY50" s="100"/>
      <c r="AZ50" s="100"/>
      <c r="BA50" s="102"/>
      <c r="BB50" s="102"/>
      <c r="BC50" s="102"/>
      <c r="BD50" s="102"/>
    </row>
    <row r="51" spans="2:56" ht="14.1" customHeight="1" x14ac:dyDescent="0.25">
      <c r="B51" s="162"/>
      <c r="C51" s="158"/>
      <c r="D51" s="104" t="s">
        <v>52</v>
      </c>
      <c r="E51" s="100"/>
      <c r="F51" s="100"/>
      <c r="G51" s="100"/>
      <c r="H51" s="100"/>
      <c r="I51" s="102"/>
      <c r="J51" s="102"/>
      <c r="K51" s="102"/>
      <c r="L51" s="102"/>
      <c r="M51" s="100"/>
      <c r="N51" s="100"/>
      <c r="O51" s="100"/>
      <c r="P51" s="100"/>
      <c r="Q51" s="100"/>
      <c r="R51" s="102"/>
      <c r="S51" s="102"/>
      <c r="T51" s="102"/>
      <c r="U51" s="102"/>
      <c r="V51" s="100"/>
      <c r="W51" s="100"/>
      <c r="X51" s="100"/>
      <c r="Y51" s="100"/>
      <c r="Z51" s="100"/>
      <c r="AA51" s="102"/>
      <c r="AB51" s="102"/>
      <c r="AC51" s="102"/>
      <c r="AD51" s="102"/>
      <c r="AE51" s="100"/>
      <c r="AF51" s="100"/>
      <c r="AG51" s="100"/>
      <c r="AH51" s="100"/>
      <c r="AI51" s="102"/>
      <c r="AJ51" s="102"/>
      <c r="AK51" s="102"/>
      <c r="AL51" s="102"/>
      <c r="AM51" s="105"/>
      <c r="AN51" s="100"/>
      <c r="AO51" s="100"/>
      <c r="AP51" s="100"/>
      <c r="AQ51" s="100"/>
      <c r="AR51" s="102"/>
      <c r="AS51" s="102"/>
      <c r="AT51" s="102"/>
      <c r="AU51" s="102"/>
      <c r="AV51" s="102"/>
      <c r="AW51" s="100"/>
      <c r="AX51" s="100"/>
      <c r="AY51" s="100"/>
      <c r="AZ51" s="100"/>
      <c r="BA51" s="102"/>
      <c r="BB51" s="102"/>
      <c r="BC51" s="102"/>
      <c r="BD51" s="102"/>
    </row>
    <row r="52" spans="2:56" ht="14.1" customHeight="1" x14ac:dyDescent="0.25">
      <c r="B52" s="162"/>
      <c r="C52" s="158" t="s">
        <v>41</v>
      </c>
      <c r="D52" s="99" t="s">
        <v>51</v>
      </c>
      <c r="E52" s="100"/>
      <c r="F52" s="100"/>
      <c r="G52" s="100"/>
      <c r="H52" s="100"/>
      <c r="I52" s="102"/>
      <c r="J52" s="102"/>
      <c r="K52" s="102"/>
      <c r="L52" s="102"/>
      <c r="M52" s="100"/>
      <c r="N52" s="100"/>
      <c r="O52" s="144" t="s">
        <v>42</v>
      </c>
      <c r="P52" s="100"/>
      <c r="Q52" s="100"/>
      <c r="R52" s="102"/>
      <c r="S52" s="102"/>
      <c r="T52" s="102"/>
      <c r="U52" s="102"/>
      <c r="V52" s="100"/>
      <c r="W52" s="100"/>
      <c r="X52" s="100"/>
      <c r="Y52" s="100"/>
      <c r="Z52" s="100"/>
      <c r="AA52" s="102"/>
      <c r="AB52" s="102"/>
      <c r="AC52" s="102"/>
      <c r="AD52" s="102"/>
      <c r="AE52" s="100"/>
      <c r="AF52" s="100"/>
      <c r="AG52" s="100"/>
      <c r="AH52" s="100"/>
      <c r="AI52" s="102"/>
      <c r="AJ52" s="102"/>
      <c r="AK52" s="102"/>
      <c r="AL52" s="120" t="s">
        <v>42</v>
      </c>
      <c r="AM52" s="102"/>
      <c r="AN52" s="100"/>
      <c r="AO52" s="100"/>
      <c r="AP52" s="100"/>
      <c r="AQ52" s="100"/>
      <c r="AR52" s="102"/>
      <c r="AS52" s="102"/>
      <c r="AT52" s="102"/>
      <c r="AU52" s="102"/>
      <c r="AV52" s="102"/>
      <c r="AW52" s="100"/>
      <c r="AX52" s="100"/>
      <c r="AY52" s="100"/>
      <c r="AZ52" s="100"/>
      <c r="BA52" s="102"/>
      <c r="BB52" s="102"/>
      <c r="BC52" s="102"/>
      <c r="BD52" s="102"/>
    </row>
    <row r="53" spans="2:56" ht="14.1" customHeight="1" x14ac:dyDescent="0.25">
      <c r="B53" s="162"/>
      <c r="C53" s="158"/>
      <c r="D53" s="104" t="s">
        <v>52</v>
      </c>
      <c r="E53" s="100"/>
      <c r="F53" s="100"/>
      <c r="G53" s="100"/>
      <c r="H53" s="100"/>
      <c r="I53" s="102"/>
      <c r="J53" s="102"/>
      <c r="K53" s="102"/>
      <c r="L53" s="102"/>
      <c r="M53" s="100"/>
      <c r="N53" s="100"/>
      <c r="O53" s="100"/>
      <c r="P53" s="100"/>
      <c r="Q53" s="100"/>
      <c r="R53" s="102"/>
      <c r="S53" s="102"/>
      <c r="T53" s="102"/>
      <c r="U53" s="102"/>
      <c r="V53" s="100"/>
      <c r="W53" s="100"/>
      <c r="X53" s="100"/>
      <c r="Y53" s="100"/>
      <c r="Z53" s="100"/>
      <c r="AA53" s="102"/>
      <c r="AB53" s="102"/>
      <c r="AC53" s="102"/>
      <c r="AD53" s="102"/>
      <c r="AE53" s="100"/>
      <c r="AF53" s="100"/>
      <c r="AG53" s="100"/>
      <c r="AH53" s="100"/>
      <c r="AI53" s="102"/>
      <c r="AJ53" s="102"/>
      <c r="AK53" s="102"/>
      <c r="AL53" s="102"/>
      <c r="AM53" s="102"/>
      <c r="AN53" s="100"/>
      <c r="AO53" s="100"/>
      <c r="AP53" s="100"/>
      <c r="AQ53" s="100"/>
      <c r="AR53" s="102"/>
      <c r="AS53" s="102"/>
      <c r="AT53" s="102"/>
      <c r="AU53" s="102"/>
      <c r="AV53" s="102"/>
      <c r="AW53" s="100"/>
      <c r="AX53" s="100"/>
      <c r="AY53" s="100"/>
      <c r="AZ53" s="100"/>
      <c r="BA53" s="102"/>
      <c r="BB53" s="102"/>
      <c r="BC53" s="102"/>
      <c r="BD53" s="102"/>
    </row>
    <row r="54" spans="2:56" ht="14.1" customHeight="1" x14ac:dyDescent="0.25">
      <c r="B54" s="162"/>
      <c r="C54" s="158" t="s">
        <v>13</v>
      </c>
      <c r="D54" s="99" t="s">
        <v>51</v>
      </c>
      <c r="E54" s="100"/>
      <c r="F54" s="100"/>
      <c r="G54" s="100"/>
      <c r="H54" s="100"/>
      <c r="I54" s="106"/>
      <c r="J54" s="105"/>
      <c r="K54" s="105"/>
      <c r="L54" s="105"/>
      <c r="M54" s="100"/>
      <c r="N54" s="100"/>
      <c r="O54" s="100"/>
      <c r="P54" s="100"/>
      <c r="Q54" s="100"/>
      <c r="R54" s="107"/>
      <c r="S54" s="107"/>
      <c r="T54" s="107"/>
      <c r="U54" s="107"/>
      <c r="V54" s="100"/>
      <c r="W54" s="108"/>
      <c r="X54" s="108"/>
      <c r="Y54" s="108"/>
      <c r="Z54" s="101" t="s">
        <v>42</v>
      </c>
      <c r="AA54" s="107"/>
      <c r="AB54" s="107"/>
      <c r="AC54" s="107"/>
      <c r="AD54" s="107"/>
      <c r="AE54" s="100"/>
      <c r="AF54" s="100"/>
      <c r="AG54" s="100"/>
      <c r="AH54" s="100"/>
      <c r="AI54" s="106"/>
      <c r="AJ54" s="105"/>
      <c r="AK54" s="105"/>
      <c r="AL54" s="105"/>
      <c r="AM54" s="105"/>
      <c r="AN54" s="100"/>
      <c r="AO54" s="100"/>
      <c r="AP54" s="100"/>
      <c r="AQ54" s="100"/>
      <c r="AR54" s="107"/>
      <c r="AS54" s="107"/>
      <c r="AT54" s="107"/>
      <c r="AU54" s="107"/>
      <c r="AV54" s="107"/>
      <c r="AW54" s="108"/>
      <c r="AX54" s="108"/>
      <c r="AY54" s="108"/>
      <c r="AZ54" s="108"/>
      <c r="BA54" s="107"/>
      <c r="BB54" s="107"/>
      <c r="BC54" s="107"/>
      <c r="BD54" s="107"/>
    </row>
    <row r="55" spans="2:56" ht="14.1" customHeight="1" x14ac:dyDescent="0.25">
      <c r="B55" s="162"/>
      <c r="C55" s="158"/>
      <c r="D55" s="104" t="s">
        <v>52</v>
      </c>
      <c r="E55" s="100"/>
      <c r="F55" s="100"/>
      <c r="G55" s="100"/>
      <c r="H55" s="100"/>
      <c r="I55" s="106"/>
      <c r="J55" s="105"/>
      <c r="K55" s="105"/>
      <c r="L55" s="105"/>
      <c r="M55" s="100"/>
      <c r="N55" s="100"/>
      <c r="O55" s="100"/>
      <c r="P55" s="100"/>
      <c r="Q55" s="100"/>
      <c r="R55" s="107"/>
      <c r="S55" s="107"/>
      <c r="T55" s="107"/>
      <c r="U55" s="107"/>
      <c r="V55" s="108"/>
      <c r="W55" s="108"/>
      <c r="X55" s="108"/>
      <c r="Y55" s="108"/>
      <c r="Z55" s="108"/>
      <c r="AA55" s="107"/>
      <c r="AB55" s="107"/>
      <c r="AC55" s="107"/>
      <c r="AD55" s="107"/>
      <c r="AE55" s="100"/>
      <c r="AF55" s="100"/>
      <c r="AG55" s="100"/>
      <c r="AH55" s="100"/>
      <c r="AI55" s="106"/>
      <c r="AJ55" s="105"/>
      <c r="AK55" s="105"/>
      <c r="AL55" s="105"/>
      <c r="AM55" s="105"/>
      <c r="AN55" s="100"/>
      <c r="AO55" s="100"/>
      <c r="AP55" s="100"/>
      <c r="AQ55" s="100"/>
      <c r="AR55" s="107"/>
      <c r="AS55" s="107"/>
      <c r="AT55" s="107"/>
      <c r="AU55" s="107"/>
      <c r="AV55" s="107"/>
      <c r="AW55" s="108"/>
      <c r="AX55" s="108"/>
      <c r="AY55" s="108"/>
      <c r="AZ55" s="108"/>
      <c r="BA55" s="107"/>
      <c r="BB55" s="107"/>
      <c r="BC55" s="107"/>
      <c r="BD55" s="107"/>
    </row>
    <row r="56" spans="2:56" ht="14.1" customHeight="1" x14ac:dyDescent="0.25">
      <c r="B56" s="162"/>
      <c r="C56" s="158" t="s">
        <v>14</v>
      </c>
      <c r="D56" s="99" t="s">
        <v>51</v>
      </c>
      <c r="E56" s="100"/>
      <c r="F56" s="100"/>
      <c r="G56" s="100"/>
      <c r="H56" s="100"/>
      <c r="I56" s="106"/>
      <c r="J56" s="105"/>
      <c r="K56" s="105"/>
      <c r="L56" s="105"/>
      <c r="M56" s="100"/>
      <c r="N56" s="100"/>
      <c r="O56" s="100"/>
      <c r="P56" s="100"/>
      <c r="Q56" s="100"/>
      <c r="R56" s="107"/>
      <c r="S56" s="107"/>
      <c r="T56" s="107"/>
      <c r="U56" s="107"/>
      <c r="V56" s="108"/>
      <c r="W56" s="108"/>
      <c r="X56" s="108"/>
      <c r="Y56" s="108"/>
      <c r="Z56" s="108"/>
      <c r="AA56" s="107"/>
      <c r="AB56" s="107"/>
      <c r="AC56" s="107"/>
      <c r="AD56" s="107"/>
      <c r="AE56" s="100"/>
      <c r="AF56" s="100"/>
      <c r="AG56" s="100"/>
      <c r="AH56" s="100"/>
      <c r="AI56" s="106"/>
      <c r="AJ56" s="105"/>
      <c r="AK56" s="105"/>
      <c r="AL56" s="105"/>
      <c r="AM56" s="105"/>
      <c r="AN56" s="100"/>
      <c r="AO56" s="100"/>
      <c r="AP56" s="100"/>
      <c r="AQ56" s="100"/>
      <c r="AR56" s="107"/>
      <c r="AS56" s="107"/>
      <c r="AT56" s="107"/>
      <c r="AU56" s="107"/>
      <c r="AV56" s="107"/>
      <c r="AW56" s="101" t="s">
        <v>42</v>
      </c>
      <c r="AX56" s="108"/>
      <c r="AY56" s="108"/>
      <c r="AZ56" s="108"/>
      <c r="BA56" s="107"/>
      <c r="BB56" s="107"/>
      <c r="BC56" s="107"/>
      <c r="BD56" s="107"/>
    </row>
    <row r="57" spans="2:56" ht="14.1" customHeight="1" x14ac:dyDescent="0.25">
      <c r="B57" s="162"/>
      <c r="C57" s="158"/>
      <c r="D57" s="104" t="s">
        <v>52</v>
      </c>
      <c r="E57" s="100"/>
      <c r="F57" s="100"/>
      <c r="G57" s="100"/>
      <c r="H57" s="100"/>
      <c r="I57" s="106"/>
      <c r="J57" s="105"/>
      <c r="K57" s="105"/>
      <c r="L57" s="105"/>
      <c r="M57" s="100"/>
      <c r="N57" s="100"/>
      <c r="O57" s="100"/>
      <c r="P57" s="100"/>
      <c r="Q57" s="100"/>
      <c r="R57" s="107"/>
      <c r="S57" s="107"/>
      <c r="T57" s="107"/>
      <c r="U57" s="107"/>
      <c r="V57" s="108"/>
      <c r="W57" s="108"/>
      <c r="X57" s="108"/>
      <c r="Y57" s="108"/>
      <c r="Z57" s="108"/>
      <c r="AA57" s="107"/>
      <c r="AB57" s="107"/>
      <c r="AC57" s="107"/>
      <c r="AD57" s="107"/>
      <c r="AE57" s="100"/>
      <c r="AF57" s="100"/>
      <c r="AG57" s="100"/>
      <c r="AH57" s="100"/>
      <c r="AI57" s="106"/>
      <c r="AJ57" s="105"/>
      <c r="AK57" s="105"/>
      <c r="AL57" s="105"/>
      <c r="AM57" s="105"/>
      <c r="AN57" s="100"/>
      <c r="AO57" s="100"/>
      <c r="AP57" s="100"/>
      <c r="AQ57" s="100"/>
      <c r="AR57" s="107"/>
      <c r="AS57" s="107"/>
      <c r="AT57" s="107"/>
      <c r="AU57" s="107"/>
      <c r="AV57" s="107"/>
      <c r="AW57" s="108"/>
      <c r="AX57" s="108"/>
      <c r="AY57" s="108"/>
      <c r="AZ57" s="108"/>
      <c r="BA57" s="107"/>
      <c r="BB57" s="107"/>
      <c r="BC57" s="107"/>
      <c r="BD57" s="107"/>
    </row>
    <row r="58" spans="2:56" ht="14.1" customHeight="1" x14ac:dyDescent="0.25">
      <c r="B58" s="162"/>
      <c r="C58" s="158" t="s">
        <v>15</v>
      </c>
      <c r="D58" s="99" t="s">
        <v>51</v>
      </c>
      <c r="E58" s="100"/>
      <c r="F58" s="100"/>
      <c r="G58" s="100"/>
      <c r="H58" s="100"/>
      <c r="I58" s="106"/>
      <c r="J58" s="106"/>
      <c r="K58" s="105"/>
      <c r="L58" s="105"/>
      <c r="M58" s="100"/>
      <c r="N58" s="100"/>
      <c r="O58" s="100"/>
      <c r="P58" s="100"/>
      <c r="Q58" s="101" t="s">
        <v>115</v>
      </c>
      <c r="R58" s="107"/>
      <c r="S58" s="107"/>
      <c r="T58" s="107"/>
      <c r="U58" s="107"/>
      <c r="V58" s="108"/>
      <c r="W58" s="108"/>
      <c r="X58" s="108"/>
      <c r="Y58" s="108"/>
      <c r="Z58" s="108"/>
      <c r="AA58" s="107"/>
      <c r="AB58" s="107"/>
      <c r="AC58" s="107"/>
      <c r="AD58" s="107"/>
      <c r="AE58" s="100"/>
      <c r="AF58" s="100"/>
      <c r="AG58" s="100"/>
      <c r="AH58" s="100"/>
      <c r="AI58" s="106"/>
      <c r="AJ58" s="105"/>
      <c r="AK58" s="105"/>
      <c r="AL58" s="105"/>
      <c r="AM58" s="105"/>
      <c r="AN58" s="100"/>
      <c r="AO58" s="101" t="s">
        <v>42</v>
      </c>
      <c r="AP58" s="100"/>
      <c r="AQ58" s="100"/>
      <c r="AR58" s="107"/>
      <c r="AS58" s="120" t="s">
        <v>42</v>
      </c>
      <c r="AT58" s="107"/>
      <c r="AU58" s="107"/>
      <c r="AV58" s="107"/>
      <c r="AW58" s="108"/>
      <c r="AX58" s="108"/>
      <c r="AY58" s="108"/>
      <c r="AZ58" s="108"/>
      <c r="BA58" s="107"/>
      <c r="BB58" s="107"/>
      <c r="BC58" s="107"/>
      <c r="BD58" s="107"/>
    </row>
    <row r="59" spans="2:56" ht="14.1" customHeight="1" x14ac:dyDescent="0.25">
      <c r="B59" s="162"/>
      <c r="C59" s="158"/>
      <c r="D59" s="104" t="s">
        <v>52</v>
      </c>
      <c r="E59" s="100"/>
      <c r="F59" s="100"/>
      <c r="G59" s="100"/>
      <c r="H59" s="100"/>
      <c r="I59" s="106"/>
      <c r="J59" s="106"/>
      <c r="K59" s="105"/>
      <c r="L59" s="105"/>
      <c r="M59" s="100"/>
      <c r="N59" s="100"/>
      <c r="O59" s="100"/>
      <c r="P59" s="100"/>
      <c r="Q59" s="100"/>
      <c r="R59" s="107"/>
      <c r="S59" s="107"/>
      <c r="T59" s="107"/>
      <c r="U59" s="107"/>
      <c r="V59" s="108"/>
      <c r="W59" s="108"/>
      <c r="X59" s="108"/>
      <c r="Y59" s="108"/>
      <c r="Z59" s="108"/>
      <c r="AA59" s="107"/>
      <c r="AB59" s="107"/>
      <c r="AC59" s="107"/>
      <c r="AD59" s="107"/>
      <c r="AE59" s="100"/>
      <c r="AF59" s="100"/>
      <c r="AG59" s="100"/>
      <c r="AH59" s="100"/>
      <c r="AI59" s="106"/>
      <c r="AJ59" s="105"/>
      <c r="AK59" s="107"/>
      <c r="AL59" s="105"/>
      <c r="AM59" s="105"/>
      <c r="AN59" s="100"/>
      <c r="AO59" s="100"/>
      <c r="AP59" s="100"/>
      <c r="AQ59" s="100"/>
      <c r="AR59" s="107"/>
      <c r="AS59" s="107"/>
      <c r="AT59" s="107"/>
      <c r="AU59" s="107"/>
      <c r="AV59" s="107"/>
      <c r="AW59" s="108"/>
      <c r="AX59" s="108"/>
      <c r="AY59" s="108"/>
      <c r="AZ59" s="108"/>
      <c r="BA59" s="107"/>
      <c r="BB59" s="107"/>
      <c r="BC59" s="107"/>
      <c r="BD59" s="107"/>
    </row>
    <row r="60" spans="2:56" ht="14.1" customHeight="1" x14ac:dyDescent="0.25">
      <c r="B60" s="162"/>
      <c r="C60" s="158" t="s">
        <v>16</v>
      </c>
      <c r="D60" s="99" t="s">
        <v>51</v>
      </c>
      <c r="E60" s="100"/>
      <c r="F60" s="100"/>
      <c r="G60" s="100"/>
      <c r="H60" s="100"/>
      <c r="I60" s="106"/>
      <c r="J60" s="105"/>
      <c r="K60" s="105"/>
      <c r="L60" s="105"/>
      <c r="M60" s="100"/>
      <c r="N60" s="100"/>
      <c r="O60" s="100"/>
      <c r="P60" s="100"/>
      <c r="Q60" s="100"/>
      <c r="R60" s="107"/>
      <c r="S60" s="107"/>
      <c r="T60" s="107"/>
      <c r="U60" s="107"/>
      <c r="V60" s="108"/>
      <c r="W60" s="108"/>
      <c r="X60" s="108"/>
      <c r="Y60" s="108"/>
      <c r="Z60" s="108"/>
      <c r="AA60" s="107"/>
      <c r="AB60" s="101" t="s">
        <v>42</v>
      </c>
      <c r="AC60" s="107"/>
      <c r="AD60" s="107"/>
      <c r="AE60" s="100"/>
      <c r="AF60" s="100"/>
      <c r="AG60" s="100"/>
      <c r="AH60" s="100"/>
      <c r="AI60" s="106"/>
      <c r="AJ60" s="105"/>
      <c r="AK60" s="105"/>
      <c r="AL60" s="105"/>
      <c r="AM60" s="105"/>
      <c r="AN60" s="100"/>
      <c r="AO60" s="100"/>
      <c r="AP60" s="100"/>
      <c r="AQ60" s="100"/>
      <c r="AR60" s="107"/>
      <c r="AS60" s="107"/>
      <c r="AT60" s="107"/>
      <c r="AU60" s="107"/>
      <c r="AV60" s="107"/>
      <c r="AW60" s="108"/>
      <c r="AX60" s="108"/>
      <c r="AY60" s="108"/>
      <c r="AZ60" s="108"/>
      <c r="BA60" s="107"/>
      <c r="BB60" s="107"/>
      <c r="BC60" s="107"/>
      <c r="BD60" s="107"/>
    </row>
    <row r="61" spans="2:56" ht="14.1" customHeight="1" x14ac:dyDescent="0.25">
      <c r="B61" s="162"/>
      <c r="C61" s="158"/>
      <c r="D61" s="104" t="s">
        <v>52</v>
      </c>
      <c r="E61" s="100"/>
      <c r="F61" s="100"/>
      <c r="G61" s="100"/>
      <c r="H61" s="100"/>
      <c r="I61" s="106"/>
      <c r="J61" s="105"/>
      <c r="K61" s="105"/>
      <c r="L61" s="105"/>
      <c r="M61" s="100"/>
      <c r="N61" s="100"/>
      <c r="O61" s="100"/>
      <c r="P61" s="100"/>
      <c r="Q61" s="100"/>
      <c r="R61" s="107"/>
      <c r="S61" s="107"/>
      <c r="T61" s="107"/>
      <c r="U61" s="107"/>
      <c r="V61" s="108"/>
      <c r="W61" s="108"/>
      <c r="X61" s="108"/>
      <c r="Y61" s="108"/>
      <c r="Z61" s="108"/>
      <c r="AA61" s="107"/>
      <c r="AB61" s="107"/>
      <c r="AC61" s="107"/>
      <c r="AD61" s="107"/>
      <c r="AE61" s="100"/>
      <c r="AF61" s="100"/>
      <c r="AG61" s="100"/>
      <c r="AH61" s="100"/>
      <c r="AI61" s="106"/>
      <c r="AJ61" s="105"/>
      <c r="AK61" s="105"/>
      <c r="AL61" s="105"/>
      <c r="AM61" s="105"/>
      <c r="AN61" s="100"/>
      <c r="AO61" s="100"/>
      <c r="AP61" s="100"/>
      <c r="AQ61" s="100"/>
      <c r="AR61" s="107"/>
      <c r="AS61" s="105"/>
      <c r="AT61" s="107"/>
      <c r="AU61" s="107"/>
      <c r="AV61" s="107"/>
      <c r="AW61" s="108"/>
      <c r="AX61" s="108"/>
      <c r="AY61" s="108"/>
      <c r="AZ61" s="108"/>
      <c r="BA61" s="107"/>
      <c r="BB61" s="107"/>
      <c r="BC61" s="107"/>
      <c r="BD61" s="107"/>
    </row>
    <row r="62" spans="2:56" ht="14.1" customHeight="1" x14ac:dyDescent="0.25">
      <c r="B62" s="162"/>
      <c r="C62" s="158" t="s">
        <v>50</v>
      </c>
      <c r="D62" s="99" t="s">
        <v>51</v>
      </c>
      <c r="E62" s="109"/>
      <c r="F62" s="109"/>
      <c r="G62" s="109"/>
      <c r="H62" s="100"/>
      <c r="I62" s="110"/>
      <c r="J62" s="111"/>
      <c r="K62" s="111"/>
      <c r="L62" s="111"/>
      <c r="M62" s="109"/>
      <c r="N62" s="109"/>
      <c r="O62" s="109"/>
      <c r="P62" s="109"/>
      <c r="Q62" s="109"/>
      <c r="R62" s="112"/>
      <c r="S62" s="107"/>
      <c r="T62" s="101" t="s">
        <v>42</v>
      </c>
      <c r="U62" s="112"/>
      <c r="V62" s="113"/>
      <c r="W62" s="113"/>
      <c r="X62" s="113"/>
      <c r="Y62" s="113"/>
      <c r="Z62" s="113"/>
      <c r="AA62" s="112"/>
      <c r="AB62" s="112"/>
      <c r="AC62" s="112"/>
      <c r="AD62" s="112"/>
      <c r="AE62" s="109"/>
      <c r="AF62" s="109"/>
      <c r="AG62" s="109"/>
      <c r="AH62" s="109"/>
      <c r="AI62" s="110"/>
      <c r="AJ62" s="111"/>
      <c r="AK62" s="111"/>
      <c r="AL62" s="111"/>
      <c r="AM62" s="111"/>
      <c r="AN62" s="109"/>
      <c r="AO62" s="109"/>
      <c r="AP62" s="109"/>
      <c r="AQ62" s="109"/>
      <c r="AR62" s="112"/>
      <c r="AS62" s="107"/>
      <c r="AT62" s="112"/>
      <c r="AU62" s="112"/>
      <c r="AV62" s="112"/>
      <c r="AW62" s="113"/>
      <c r="AX62" s="113"/>
      <c r="AY62" s="113"/>
      <c r="AZ62" s="113"/>
      <c r="BA62" s="112"/>
      <c r="BB62" s="112"/>
      <c r="BC62" s="112"/>
      <c r="BD62" s="112"/>
    </row>
    <row r="63" spans="2:56" ht="14.1" customHeight="1" x14ac:dyDescent="0.25">
      <c r="B63" s="162"/>
      <c r="C63" s="158"/>
      <c r="D63" s="104" t="s">
        <v>52</v>
      </c>
      <c r="E63" s="100"/>
      <c r="F63" s="100"/>
      <c r="G63" s="100"/>
      <c r="H63" s="100"/>
      <c r="I63" s="106"/>
      <c r="J63" s="105"/>
      <c r="K63" s="105"/>
      <c r="L63" s="105"/>
      <c r="M63" s="100"/>
      <c r="N63" s="100"/>
      <c r="O63" s="100"/>
      <c r="P63" s="100"/>
      <c r="Q63" s="100"/>
      <c r="R63" s="107"/>
      <c r="S63" s="107"/>
      <c r="T63" s="107"/>
      <c r="U63" s="107"/>
      <c r="V63" s="108"/>
      <c r="W63" s="108"/>
      <c r="X63" s="108"/>
      <c r="Y63" s="108"/>
      <c r="Z63" s="108"/>
      <c r="AA63" s="107"/>
      <c r="AB63" s="107"/>
      <c r="AC63" s="107"/>
      <c r="AD63" s="107"/>
      <c r="AE63" s="100"/>
      <c r="AF63" s="100"/>
      <c r="AG63" s="100"/>
      <c r="AH63" s="100"/>
      <c r="AI63" s="106"/>
      <c r="AJ63" s="105"/>
      <c r="AK63" s="105"/>
      <c r="AL63" s="105"/>
      <c r="AM63" s="105"/>
      <c r="AN63" s="100"/>
      <c r="AO63" s="100"/>
      <c r="AP63" s="100"/>
      <c r="AQ63" s="100"/>
      <c r="AR63" s="107"/>
      <c r="AS63" s="107"/>
      <c r="AT63" s="107"/>
      <c r="AU63" s="107"/>
      <c r="AV63" s="107"/>
      <c r="AW63" s="108"/>
      <c r="AX63" s="108"/>
      <c r="AY63" s="108"/>
      <c r="AZ63" s="108"/>
      <c r="BA63" s="107"/>
      <c r="BB63" s="107"/>
      <c r="BC63" s="107"/>
      <c r="BD63" s="107"/>
    </row>
    <row r="64" spans="2:56" ht="14.1" customHeight="1" x14ac:dyDescent="0.25">
      <c r="B64" s="162"/>
      <c r="C64" s="158" t="s">
        <v>17</v>
      </c>
      <c r="D64" s="99" t="s">
        <v>51</v>
      </c>
      <c r="E64" s="100"/>
      <c r="F64" s="100"/>
      <c r="G64" s="100"/>
      <c r="H64" s="100"/>
      <c r="I64" s="105"/>
      <c r="J64" s="105"/>
      <c r="K64" s="105"/>
      <c r="L64" s="144" t="s">
        <v>42</v>
      </c>
      <c r="M64" s="100"/>
      <c r="N64" s="100"/>
      <c r="O64" s="100"/>
      <c r="P64" s="100"/>
      <c r="Q64" s="100"/>
      <c r="R64" s="107"/>
      <c r="S64" s="107"/>
      <c r="T64" s="107"/>
      <c r="U64" s="107"/>
      <c r="V64" s="108"/>
      <c r="W64" s="108"/>
      <c r="X64" s="108"/>
      <c r="Y64" s="108"/>
      <c r="Z64" s="108"/>
      <c r="AA64" s="107"/>
      <c r="AB64" s="107"/>
      <c r="AC64" s="107"/>
      <c r="AD64" s="107"/>
      <c r="AE64" s="100"/>
      <c r="AF64" s="101" t="s">
        <v>42</v>
      </c>
      <c r="AG64" s="100"/>
      <c r="AH64" s="100"/>
      <c r="AI64" s="105"/>
      <c r="AJ64" s="105"/>
      <c r="AK64" s="105"/>
      <c r="AL64" s="105"/>
      <c r="AM64" s="105"/>
      <c r="AN64" s="100"/>
      <c r="AO64" s="100"/>
      <c r="AP64" s="100"/>
      <c r="AQ64" s="100"/>
      <c r="AR64" s="114"/>
      <c r="AS64" s="107"/>
      <c r="AT64" s="107"/>
      <c r="AU64" s="107"/>
      <c r="AV64" s="107"/>
      <c r="AW64" s="108"/>
      <c r="AX64" s="108"/>
      <c r="AY64" s="108"/>
      <c r="AZ64" s="108"/>
      <c r="BA64" s="107"/>
      <c r="BB64" s="101" t="s">
        <v>42</v>
      </c>
      <c r="BC64" s="107"/>
      <c r="BD64" s="107"/>
    </row>
    <row r="65" spans="2:57" ht="14.1" customHeight="1" x14ac:dyDescent="0.25">
      <c r="B65" s="162"/>
      <c r="C65" s="158"/>
      <c r="D65" s="104" t="s">
        <v>52</v>
      </c>
      <c r="E65" s="100"/>
      <c r="F65" s="100"/>
      <c r="G65" s="100"/>
      <c r="H65" s="100"/>
      <c r="I65" s="105"/>
      <c r="J65" s="105"/>
      <c r="K65" s="105"/>
      <c r="L65" s="105"/>
      <c r="M65" s="100"/>
      <c r="N65" s="100"/>
      <c r="O65" s="100"/>
      <c r="P65" s="100"/>
      <c r="Q65" s="100"/>
      <c r="R65" s="107"/>
      <c r="S65" s="107"/>
      <c r="T65" s="107"/>
      <c r="U65" s="107"/>
      <c r="V65" s="108"/>
      <c r="W65" s="108"/>
      <c r="X65" s="108"/>
      <c r="Y65" s="108"/>
      <c r="Z65" s="108"/>
      <c r="AA65" s="107"/>
      <c r="AB65" s="107"/>
      <c r="AC65" s="107"/>
      <c r="AD65" s="107"/>
      <c r="AE65" s="100"/>
      <c r="AF65" s="100"/>
      <c r="AG65" s="100"/>
      <c r="AH65" s="100"/>
      <c r="AI65" s="106"/>
      <c r="AJ65" s="105"/>
      <c r="AK65" s="105"/>
      <c r="AL65" s="105"/>
      <c r="AM65" s="105"/>
      <c r="AN65" s="100"/>
      <c r="AO65" s="100"/>
      <c r="AP65" s="100"/>
      <c r="AQ65" s="100"/>
      <c r="AR65" s="107"/>
      <c r="AS65" s="107"/>
      <c r="AT65" s="107"/>
      <c r="AU65" s="107"/>
      <c r="AV65" s="107"/>
      <c r="AW65" s="108"/>
      <c r="AX65" s="108"/>
      <c r="AY65" s="108"/>
      <c r="AZ65" s="108"/>
      <c r="BA65" s="107"/>
      <c r="BB65" s="107"/>
      <c r="BC65" s="107"/>
      <c r="BD65" s="107"/>
    </row>
    <row r="66" spans="2:57" ht="14.1" customHeight="1" x14ac:dyDescent="0.25">
      <c r="B66" s="162"/>
      <c r="C66" s="158" t="s">
        <v>39</v>
      </c>
      <c r="D66" s="99" t="s">
        <v>51</v>
      </c>
      <c r="E66" s="100"/>
      <c r="F66" s="100"/>
      <c r="G66" s="100"/>
      <c r="H66" s="100"/>
      <c r="I66" s="106"/>
      <c r="J66" s="105"/>
      <c r="K66" s="105"/>
      <c r="L66" s="105"/>
      <c r="M66" s="100"/>
      <c r="N66" s="100"/>
      <c r="O66" s="100"/>
      <c r="P66" s="100"/>
      <c r="Q66" s="100"/>
      <c r="R66" s="107"/>
      <c r="S66" s="107"/>
      <c r="T66" s="107"/>
      <c r="U66" s="107"/>
      <c r="V66" s="108"/>
      <c r="W66" s="108"/>
      <c r="X66" s="108"/>
      <c r="Y66" s="108"/>
      <c r="Z66" s="108"/>
      <c r="AA66" s="107"/>
      <c r="AB66" s="107"/>
      <c r="AC66" s="107"/>
      <c r="AD66" s="107"/>
      <c r="AE66" s="100"/>
      <c r="AF66" s="100"/>
      <c r="AG66" s="100"/>
      <c r="AH66" s="100"/>
      <c r="AI66" s="106"/>
      <c r="AJ66" s="105"/>
      <c r="AK66" s="105"/>
      <c r="AL66" s="105"/>
      <c r="AM66" s="105"/>
      <c r="AN66" s="100"/>
      <c r="AO66" s="100"/>
      <c r="AP66" s="101" t="s">
        <v>42</v>
      </c>
      <c r="AQ66" s="100"/>
      <c r="AR66" s="107"/>
      <c r="AS66" s="107"/>
      <c r="AT66" s="107"/>
      <c r="AU66" s="107"/>
      <c r="AV66" s="107"/>
      <c r="AW66" s="108"/>
      <c r="AX66" s="108"/>
      <c r="AY66" s="108"/>
      <c r="AZ66" s="108"/>
      <c r="BA66" s="107"/>
      <c r="BB66" s="107"/>
      <c r="BC66" s="107"/>
      <c r="BD66" s="107"/>
    </row>
    <row r="67" spans="2:57" ht="14.1" customHeight="1" x14ac:dyDescent="0.25">
      <c r="B67" s="162"/>
      <c r="C67" s="158"/>
      <c r="D67" s="104" t="s">
        <v>52</v>
      </c>
      <c r="E67" s="100"/>
      <c r="F67" s="100"/>
      <c r="G67" s="100"/>
      <c r="H67" s="100"/>
      <c r="I67" s="106"/>
      <c r="J67" s="105"/>
      <c r="K67" s="105"/>
      <c r="L67" s="105"/>
      <c r="M67" s="100"/>
      <c r="N67" s="100"/>
      <c r="O67" s="100"/>
      <c r="P67" s="100"/>
      <c r="Q67" s="100"/>
      <c r="R67" s="107"/>
      <c r="S67" s="107"/>
      <c r="T67" s="107"/>
      <c r="U67" s="107"/>
      <c r="V67" s="108"/>
      <c r="W67" s="108"/>
      <c r="X67" s="108"/>
      <c r="Y67" s="108"/>
      <c r="Z67" s="108"/>
      <c r="AA67" s="107"/>
      <c r="AB67" s="107"/>
      <c r="AC67" s="107"/>
      <c r="AD67" s="107"/>
      <c r="AE67" s="100"/>
      <c r="AF67" s="100"/>
      <c r="AG67" s="100"/>
      <c r="AH67" s="100"/>
      <c r="AI67" s="106"/>
      <c r="AJ67" s="105"/>
      <c r="AK67" s="105"/>
      <c r="AL67" s="105"/>
      <c r="AM67" s="105"/>
      <c r="AN67" s="100"/>
      <c r="AO67" s="100"/>
      <c r="AP67" s="100"/>
      <c r="AQ67" s="100"/>
      <c r="AR67" s="107"/>
      <c r="AS67" s="107"/>
      <c r="AT67" s="107"/>
      <c r="AU67" s="107"/>
      <c r="AV67" s="107"/>
      <c r="AW67" s="108"/>
      <c r="AX67" s="108"/>
      <c r="AY67" s="108"/>
      <c r="AZ67" s="108"/>
      <c r="BA67" s="107"/>
      <c r="BB67" s="107"/>
      <c r="BC67" s="107"/>
      <c r="BD67" s="107"/>
    </row>
    <row r="68" spans="2:57" ht="14.1" customHeight="1" x14ac:dyDescent="0.25">
      <c r="B68" s="162"/>
      <c r="C68" s="158" t="s">
        <v>18</v>
      </c>
      <c r="D68" s="99" t="s">
        <v>51</v>
      </c>
      <c r="E68" s="100"/>
      <c r="F68" s="100"/>
      <c r="G68" s="100"/>
      <c r="H68" s="101" t="s">
        <v>42</v>
      </c>
      <c r="I68" s="106"/>
      <c r="J68" s="105"/>
      <c r="K68" s="105"/>
      <c r="L68" s="105"/>
      <c r="M68" s="100"/>
      <c r="N68" s="100"/>
      <c r="O68" s="100"/>
      <c r="P68" s="100"/>
      <c r="Q68" s="100"/>
      <c r="R68" s="107"/>
      <c r="S68" s="107"/>
      <c r="T68" s="107"/>
      <c r="U68" s="107"/>
      <c r="V68" s="108"/>
      <c r="W68" s="108"/>
      <c r="X68" s="108"/>
      <c r="Y68" s="108"/>
      <c r="Z68" s="108"/>
      <c r="AA68" s="107"/>
      <c r="AB68" s="107"/>
      <c r="AC68" s="107"/>
      <c r="AD68" s="107"/>
      <c r="AE68" s="100"/>
      <c r="AF68" s="100"/>
      <c r="AG68" s="100"/>
      <c r="AH68" s="100"/>
      <c r="AI68" s="106"/>
      <c r="AJ68" s="105"/>
      <c r="AK68" s="105"/>
      <c r="AL68" s="105"/>
      <c r="AM68" s="105"/>
      <c r="AN68" s="100"/>
      <c r="AO68" s="100"/>
      <c r="AP68" s="100"/>
      <c r="AQ68" s="100"/>
      <c r="AR68" s="107"/>
      <c r="AS68" s="107"/>
      <c r="AT68" s="107"/>
      <c r="AU68" s="107"/>
      <c r="AV68" s="107"/>
      <c r="AW68" s="108"/>
      <c r="AX68" s="108"/>
      <c r="AY68" s="108"/>
      <c r="AZ68" s="108"/>
      <c r="BA68" s="107"/>
      <c r="BB68" s="107"/>
      <c r="BC68" s="107"/>
      <c r="BD68" s="107"/>
    </row>
    <row r="69" spans="2:57" ht="14.1" customHeight="1" x14ac:dyDescent="0.25">
      <c r="B69" s="162"/>
      <c r="C69" s="158" t="s">
        <v>18</v>
      </c>
      <c r="D69" s="104" t="s">
        <v>52</v>
      </c>
      <c r="E69" s="100"/>
      <c r="F69" s="100"/>
      <c r="G69" s="100"/>
      <c r="H69" s="100"/>
      <c r="I69" s="106"/>
      <c r="J69" s="105"/>
      <c r="K69" s="143" t="s">
        <v>42</v>
      </c>
      <c r="L69" s="105"/>
      <c r="M69" s="100"/>
      <c r="N69" s="100"/>
      <c r="O69" s="100"/>
      <c r="P69" s="100"/>
      <c r="Q69" s="100"/>
      <c r="R69" s="107"/>
      <c r="S69" s="107"/>
      <c r="T69" s="107"/>
      <c r="U69" s="107"/>
      <c r="V69" s="108"/>
      <c r="W69" s="108"/>
      <c r="X69" s="108"/>
      <c r="Y69" s="108"/>
      <c r="Z69" s="108"/>
      <c r="AA69" s="107"/>
      <c r="AB69" s="107"/>
      <c r="AC69" s="107"/>
      <c r="AD69" s="107"/>
      <c r="AE69" s="100"/>
      <c r="AF69" s="100"/>
      <c r="AG69" s="100"/>
      <c r="AH69" s="100"/>
      <c r="AI69" s="106"/>
      <c r="AJ69" s="105"/>
      <c r="AK69" s="105"/>
      <c r="AL69" s="105"/>
      <c r="AM69" s="105"/>
      <c r="AN69" s="100"/>
      <c r="AO69" s="100"/>
      <c r="AP69" s="100"/>
      <c r="AQ69" s="100"/>
      <c r="AR69" s="107"/>
      <c r="AS69" s="107"/>
      <c r="AT69" s="107"/>
      <c r="AU69" s="107"/>
      <c r="AV69" s="107"/>
      <c r="AW69" s="108"/>
      <c r="AX69" s="108"/>
      <c r="AY69" s="108"/>
      <c r="AZ69" s="108"/>
      <c r="BA69" s="107"/>
      <c r="BB69" s="107"/>
      <c r="BC69" s="107"/>
      <c r="BD69" s="107"/>
    </row>
    <row r="71" spans="2:57" x14ac:dyDescent="0.25">
      <c r="B71" s="159" t="s">
        <v>20</v>
      </c>
      <c r="C71" s="159" t="s">
        <v>0</v>
      </c>
      <c r="D71" s="161" t="s">
        <v>53</v>
      </c>
      <c r="E71" s="159" t="s">
        <v>1</v>
      </c>
      <c r="F71" s="159"/>
      <c r="G71" s="159"/>
      <c r="H71" s="159"/>
      <c r="I71" s="159" t="s">
        <v>2</v>
      </c>
      <c r="J71" s="159"/>
      <c r="K71" s="159"/>
      <c r="L71" s="159"/>
      <c r="M71" s="159" t="s">
        <v>3</v>
      </c>
      <c r="N71" s="159"/>
      <c r="O71" s="159"/>
      <c r="P71" s="159"/>
      <c r="Q71" s="159"/>
      <c r="R71" s="156" t="s">
        <v>4</v>
      </c>
      <c r="S71" s="156"/>
      <c r="T71" s="156"/>
      <c r="U71" s="156"/>
      <c r="V71" s="156" t="s">
        <v>5</v>
      </c>
      <c r="W71" s="156"/>
      <c r="X71" s="156"/>
      <c r="Y71" s="156"/>
      <c r="Z71" s="156"/>
      <c r="AA71" s="156" t="s">
        <v>6</v>
      </c>
      <c r="AB71" s="156"/>
      <c r="AC71" s="156"/>
      <c r="AD71" s="156"/>
      <c r="AE71" s="159" t="s">
        <v>7</v>
      </c>
      <c r="AF71" s="159"/>
      <c r="AG71" s="159"/>
      <c r="AH71" s="159"/>
      <c r="AI71" s="159" t="s">
        <v>8</v>
      </c>
      <c r="AJ71" s="159"/>
      <c r="AK71" s="159"/>
      <c r="AL71" s="159"/>
      <c r="AM71" s="159"/>
      <c r="AN71" s="159" t="s">
        <v>9</v>
      </c>
      <c r="AO71" s="159"/>
      <c r="AP71" s="159"/>
      <c r="AQ71" s="159"/>
      <c r="AR71" s="156" t="s">
        <v>10</v>
      </c>
      <c r="AS71" s="156"/>
      <c r="AT71" s="156"/>
      <c r="AU71" s="156"/>
      <c r="AV71" s="156"/>
      <c r="AW71" s="156" t="s">
        <v>11</v>
      </c>
      <c r="AX71" s="156"/>
      <c r="AY71" s="156"/>
      <c r="AZ71" s="156"/>
      <c r="BA71" s="156" t="s">
        <v>12</v>
      </c>
      <c r="BB71" s="156"/>
      <c r="BC71" s="156"/>
      <c r="BD71" s="156"/>
      <c r="BE71" s="119"/>
    </row>
    <row r="72" spans="2:57" x14ac:dyDescent="0.25">
      <c r="B72" s="159"/>
      <c r="C72" s="159"/>
      <c r="D72" s="161"/>
      <c r="E72" s="98">
        <v>1</v>
      </c>
      <c r="F72" s="98">
        <v>2</v>
      </c>
      <c r="G72" s="98">
        <f>F72+1</f>
        <v>3</v>
      </c>
      <c r="H72" s="98">
        <f t="shared" ref="H72" si="8">G72+1</f>
        <v>4</v>
      </c>
      <c r="I72" s="98">
        <f t="shared" ref="I72" si="9">H72+1</f>
        <v>5</v>
      </c>
      <c r="J72" s="98">
        <f t="shared" ref="J72" si="10">I72+1</f>
        <v>6</v>
      </c>
      <c r="K72" s="98">
        <f t="shared" ref="K72" si="11">J72+1</f>
        <v>7</v>
      </c>
      <c r="L72" s="98">
        <f t="shared" ref="L72" si="12">K72+1</f>
        <v>8</v>
      </c>
      <c r="M72" s="98">
        <f t="shared" ref="M72" si="13">L72+1</f>
        <v>9</v>
      </c>
      <c r="N72" s="98">
        <f t="shared" ref="N72" si="14">M72+1</f>
        <v>10</v>
      </c>
      <c r="O72" s="98">
        <f t="shared" ref="O72" si="15">N72+1</f>
        <v>11</v>
      </c>
      <c r="P72" s="98">
        <f t="shared" ref="P72" si="16">O72+1</f>
        <v>12</v>
      </c>
      <c r="Q72" s="98">
        <f t="shared" ref="Q72" si="17">P72+1</f>
        <v>13</v>
      </c>
      <c r="R72" s="98">
        <f t="shared" ref="R72" si="18">Q72+1</f>
        <v>14</v>
      </c>
      <c r="S72" s="98">
        <f t="shared" ref="S72" si="19">R72+1</f>
        <v>15</v>
      </c>
      <c r="T72" s="98">
        <f t="shared" ref="T72" si="20">S72+1</f>
        <v>16</v>
      </c>
      <c r="U72" s="98">
        <f t="shared" ref="U72" si="21">T72+1</f>
        <v>17</v>
      </c>
      <c r="V72" s="98">
        <f t="shared" ref="V72" si="22">U72+1</f>
        <v>18</v>
      </c>
      <c r="W72" s="98">
        <f t="shared" ref="W72" si="23">V72+1</f>
        <v>19</v>
      </c>
      <c r="X72" s="98">
        <f t="shared" ref="X72" si="24">W72+1</f>
        <v>20</v>
      </c>
      <c r="Y72" s="98">
        <f t="shared" ref="Y72" si="25">X72+1</f>
        <v>21</v>
      </c>
      <c r="Z72" s="98">
        <f t="shared" ref="Z72" si="26">Y72+1</f>
        <v>22</v>
      </c>
      <c r="AA72" s="98">
        <f t="shared" ref="AA72" si="27">Z72+1</f>
        <v>23</v>
      </c>
      <c r="AB72" s="98">
        <f t="shared" ref="AB72" si="28">AA72+1</f>
        <v>24</v>
      </c>
      <c r="AC72" s="98">
        <f t="shared" ref="AC72" si="29">AB72+1</f>
        <v>25</v>
      </c>
      <c r="AD72" s="98">
        <f t="shared" ref="AD72" si="30">AC72+1</f>
        <v>26</v>
      </c>
      <c r="AE72" s="98">
        <f>AD72+1</f>
        <v>27</v>
      </c>
      <c r="AF72" s="98">
        <f>AE72+1</f>
        <v>28</v>
      </c>
      <c r="AG72" s="98">
        <f>AF72+1</f>
        <v>29</v>
      </c>
      <c r="AH72" s="98">
        <f t="shared" ref="AH72" si="31">AG72+1</f>
        <v>30</v>
      </c>
      <c r="AI72" s="98">
        <f t="shared" ref="AI72" si="32">AH72+1</f>
        <v>31</v>
      </c>
      <c r="AJ72" s="98">
        <f t="shared" ref="AJ72" si="33">AI72+1</f>
        <v>32</v>
      </c>
      <c r="AK72" s="98">
        <f t="shared" ref="AK72" si="34">AJ72+1</f>
        <v>33</v>
      </c>
      <c r="AL72" s="98">
        <f t="shared" ref="AL72" si="35">AK72+1</f>
        <v>34</v>
      </c>
      <c r="AM72" s="98">
        <f t="shared" ref="AM72" si="36">AL72+1</f>
        <v>35</v>
      </c>
      <c r="AN72" s="98">
        <f t="shared" ref="AN72" si="37">AM72+1</f>
        <v>36</v>
      </c>
      <c r="AO72" s="98">
        <f t="shared" ref="AO72" si="38">AN72+1</f>
        <v>37</v>
      </c>
      <c r="AP72" s="98">
        <f t="shared" ref="AP72" si="39">AO72+1</f>
        <v>38</v>
      </c>
      <c r="AQ72" s="98">
        <f t="shared" ref="AQ72" si="40">AP72+1</f>
        <v>39</v>
      </c>
      <c r="AR72" s="98">
        <f t="shared" ref="AR72" si="41">AQ72+1</f>
        <v>40</v>
      </c>
      <c r="AS72" s="98">
        <f t="shared" ref="AS72" si="42">AR72+1</f>
        <v>41</v>
      </c>
      <c r="AT72" s="98">
        <f t="shared" ref="AT72" si="43">AS72+1</f>
        <v>42</v>
      </c>
      <c r="AU72" s="98">
        <f t="shared" ref="AU72" si="44">AT72+1</f>
        <v>43</v>
      </c>
      <c r="AV72" s="98">
        <f t="shared" ref="AV72" si="45">AU72+1</f>
        <v>44</v>
      </c>
      <c r="AW72" s="98">
        <f t="shared" ref="AW72" si="46">AV72+1</f>
        <v>45</v>
      </c>
      <c r="AX72" s="98">
        <f t="shared" ref="AX72" si="47">AW72+1</f>
        <v>46</v>
      </c>
      <c r="AY72" s="98">
        <f t="shared" ref="AY72" si="48">AX72+1</f>
        <v>47</v>
      </c>
      <c r="AZ72" s="98">
        <f t="shared" ref="AZ72" si="49">AY72+1</f>
        <v>48</v>
      </c>
      <c r="BA72" s="98">
        <f t="shared" ref="BA72" si="50">AZ72+1</f>
        <v>49</v>
      </c>
      <c r="BB72" s="98">
        <f t="shared" ref="BB72" si="51">BA72+1</f>
        <v>50</v>
      </c>
      <c r="BC72" s="98">
        <f t="shared" ref="BC72" si="52">BB72+1</f>
        <v>51</v>
      </c>
      <c r="BD72" s="98">
        <f t="shared" ref="BD72" si="53">BC72+1</f>
        <v>52</v>
      </c>
      <c r="BE72" s="119"/>
    </row>
    <row r="73" spans="2:57" ht="14.1" customHeight="1" x14ac:dyDescent="0.25">
      <c r="B73" s="157">
        <v>2027</v>
      </c>
      <c r="C73" s="158" t="s">
        <v>43</v>
      </c>
      <c r="D73" s="99" t="s">
        <v>51</v>
      </c>
      <c r="E73" s="100"/>
      <c r="F73" s="100"/>
      <c r="G73" s="100"/>
      <c r="H73" s="100"/>
      <c r="I73" s="101" t="s">
        <v>42</v>
      </c>
      <c r="J73" s="102"/>
      <c r="K73" s="102"/>
      <c r="L73" s="102"/>
      <c r="M73" s="100"/>
      <c r="N73" s="100"/>
      <c r="O73" s="100"/>
      <c r="P73" s="100"/>
      <c r="Q73" s="100"/>
      <c r="R73" s="102"/>
      <c r="S73" s="102"/>
      <c r="T73" s="102"/>
      <c r="U73" s="102"/>
      <c r="V73" s="100"/>
      <c r="W73" s="100"/>
      <c r="X73" s="100"/>
      <c r="Y73" s="100"/>
      <c r="Z73" s="100"/>
      <c r="AA73" s="102"/>
      <c r="AB73" s="102"/>
      <c r="AC73" s="102"/>
      <c r="AD73" s="102"/>
      <c r="AE73" s="100"/>
      <c r="AF73" s="100"/>
      <c r="AG73" s="100"/>
      <c r="AH73" s="100"/>
      <c r="AI73" s="102"/>
      <c r="AJ73" s="102"/>
      <c r="AK73" s="102"/>
      <c r="AL73" s="103"/>
      <c r="AM73" s="101" t="s">
        <v>42</v>
      </c>
      <c r="AN73" s="100"/>
      <c r="AO73" s="100"/>
      <c r="AP73" s="100"/>
      <c r="AQ73" s="100"/>
      <c r="AR73" s="102"/>
      <c r="AS73" s="102"/>
      <c r="AT73" s="102"/>
      <c r="AU73" s="102"/>
      <c r="AV73" s="102"/>
      <c r="AW73" s="100"/>
      <c r="AX73" s="100"/>
      <c r="AY73" s="100"/>
      <c r="AZ73" s="100"/>
      <c r="BA73" s="102"/>
      <c r="BB73" s="102"/>
      <c r="BC73" s="102"/>
      <c r="BD73" s="102"/>
      <c r="BE73" s="119"/>
    </row>
    <row r="74" spans="2:57" ht="14.1" customHeight="1" x14ac:dyDescent="0.25">
      <c r="B74" s="157"/>
      <c r="C74" s="158"/>
      <c r="D74" s="104" t="s">
        <v>52</v>
      </c>
      <c r="E74" s="100"/>
      <c r="F74" s="100"/>
      <c r="G74" s="100"/>
      <c r="H74" s="100"/>
      <c r="I74" s="102"/>
      <c r="J74" s="102"/>
      <c r="K74" s="102"/>
      <c r="L74" s="102"/>
      <c r="M74" s="100"/>
      <c r="N74" s="100"/>
      <c r="O74" s="100"/>
      <c r="P74" s="100"/>
      <c r="Q74" s="100"/>
      <c r="R74" s="102"/>
      <c r="S74" s="102"/>
      <c r="T74" s="102"/>
      <c r="U74" s="102"/>
      <c r="V74" s="100"/>
      <c r="W74" s="100"/>
      <c r="X74" s="100"/>
      <c r="Y74" s="100"/>
      <c r="Z74" s="100"/>
      <c r="AA74" s="102"/>
      <c r="AB74" s="102"/>
      <c r="AC74" s="102"/>
      <c r="AD74" s="102"/>
      <c r="AE74" s="100"/>
      <c r="AF74" s="100"/>
      <c r="AG74" s="100"/>
      <c r="AH74" s="100"/>
      <c r="AI74" s="102"/>
      <c r="AJ74" s="102"/>
      <c r="AK74" s="102"/>
      <c r="AL74" s="102"/>
      <c r="AM74" s="105"/>
      <c r="AN74" s="100"/>
      <c r="AO74" s="100"/>
      <c r="AP74" s="100"/>
      <c r="AQ74" s="100"/>
      <c r="AR74" s="102"/>
      <c r="AS74" s="102"/>
      <c r="AT74" s="102"/>
      <c r="AU74" s="102"/>
      <c r="AV74" s="102"/>
      <c r="AW74" s="100"/>
      <c r="AX74" s="100"/>
      <c r="AY74" s="100"/>
      <c r="AZ74" s="100"/>
      <c r="BA74" s="102"/>
      <c r="BB74" s="102"/>
      <c r="BC74" s="102"/>
      <c r="BD74" s="102"/>
      <c r="BE74" s="119"/>
    </row>
    <row r="75" spans="2:57" ht="14.1" customHeight="1" x14ac:dyDescent="0.25">
      <c r="B75" s="157"/>
      <c r="C75" s="158" t="s">
        <v>41</v>
      </c>
      <c r="D75" s="99" t="s">
        <v>51</v>
      </c>
      <c r="E75" s="100"/>
      <c r="F75" s="100"/>
      <c r="G75" s="100"/>
      <c r="H75" s="100"/>
      <c r="I75" s="102"/>
      <c r="J75" s="102"/>
      <c r="K75" s="102"/>
      <c r="L75" s="102"/>
      <c r="M75" s="100"/>
      <c r="N75" s="100"/>
      <c r="O75" s="101" t="s">
        <v>42</v>
      </c>
      <c r="P75" s="100"/>
      <c r="Q75" s="100"/>
      <c r="R75" s="102"/>
      <c r="S75" s="102"/>
      <c r="T75" s="102"/>
      <c r="U75" s="102"/>
      <c r="V75" s="100"/>
      <c r="W75" s="100"/>
      <c r="X75" s="100"/>
      <c r="Y75" s="100"/>
      <c r="Z75" s="100"/>
      <c r="AA75" s="102"/>
      <c r="AB75" s="102"/>
      <c r="AC75" s="102"/>
      <c r="AD75" s="102"/>
      <c r="AE75" s="100"/>
      <c r="AF75" s="100"/>
      <c r="AG75" s="100"/>
      <c r="AH75" s="100"/>
      <c r="AI75" s="102"/>
      <c r="AJ75" s="102"/>
      <c r="AK75" s="102"/>
      <c r="AL75" s="102"/>
      <c r="AM75" s="102"/>
      <c r="AN75" s="100"/>
      <c r="AO75" s="100"/>
      <c r="AP75" s="100"/>
      <c r="AQ75" s="100"/>
      <c r="AR75" s="102"/>
      <c r="AS75" s="102"/>
      <c r="AT75" s="102"/>
      <c r="AU75" s="102"/>
      <c r="AV75" s="102"/>
      <c r="AW75" s="100"/>
      <c r="AX75" s="100"/>
      <c r="AY75" s="100"/>
      <c r="AZ75" s="100"/>
      <c r="BA75" s="102"/>
      <c r="BB75" s="102"/>
      <c r="BC75" s="102"/>
      <c r="BD75" s="102"/>
      <c r="BE75" s="119"/>
    </row>
    <row r="76" spans="2:57" ht="14.1" customHeight="1" x14ac:dyDescent="0.25">
      <c r="B76" s="157"/>
      <c r="C76" s="158"/>
      <c r="D76" s="104" t="s">
        <v>52</v>
      </c>
      <c r="E76" s="100"/>
      <c r="F76" s="100"/>
      <c r="G76" s="100"/>
      <c r="H76" s="100"/>
      <c r="I76" s="102"/>
      <c r="J76" s="102"/>
      <c r="K76" s="102"/>
      <c r="L76" s="102"/>
      <c r="M76" s="100"/>
      <c r="N76" s="100"/>
      <c r="O76" s="100"/>
      <c r="P76" s="100"/>
      <c r="Q76" s="100"/>
      <c r="R76" s="102"/>
      <c r="S76" s="102"/>
      <c r="T76" s="102"/>
      <c r="U76" s="102"/>
      <c r="V76" s="100"/>
      <c r="W76" s="100"/>
      <c r="X76" s="100"/>
      <c r="Y76" s="100"/>
      <c r="Z76" s="100"/>
      <c r="AA76" s="102"/>
      <c r="AB76" s="102"/>
      <c r="AC76" s="102"/>
      <c r="AD76" s="102"/>
      <c r="AE76" s="100"/>
      <c r="AF76" s="100"/>
      <c r="AG76" s="100"/>
      <c r="AH76" s="100"/>
      <c r="AI76" s="102"/>
      <c r="AJ76" s="102"/>
      <c r="AK76" s="102"/>
      <c r="AL76" s="102"/>
      <c r="AM76" s="102"/>
      <c r="AN76" s="100"/>
      <c r="AO76" s="100"/>
      <c r="AP76" s="100"/>
      <c r="AQ76" s="100"/>
      <c r="AR76" s="102"/>
      <c r="AS76" s="102"/>
      <c r="AT76" s="102"/>
      <c r="AU76" s="102"/>
      <c r="AV76" s="102"/>
      <c r="AW76" s="100"/>
      <c r="AX76" s="100"/>
      <c r="AY76" s="100"/>
      <c r="AZ76" s="100"/>
      <c r="BA76" s="102"/>
      <c r="BB76" s="102"/>
      <c r="BC76" s="102"/>
      <c r="BD76" s="102"/>
      <c r="BE76" s="119"/>
    </row>
    <row r="77" spans="2:57" ht="14.1" customHeight="1" x14ac:dyDescent="0.25">
      <c r="B77" s="157"/>
      <c r="C77" s="158" t="s">
        <v>13</v>
      </c>
      <c r="D77" s="99" t="s">
        <v>51</v>
      </c>
      <c r="E77" s="100"/>
      <c r="F77" s="100"/>
      <c r="G77" s="100"/>
      <c r="H77" s="100"/>
      <c r="I77" s="106"/>
      <c r="J77" s="105"/>
      <c r="K77" s="105"/>
      <c r="L77" s="105"/>
      <c r="M77" s="100"/>
      <c r="N77" s="101" t="s">
        <v>42</v>
      </c>
      <c r="O77" s="100"/>
      <c r="P77" s="100"/>
      <c r="Q77" s="100"/>
      <c r="R77" s="107"/>
      <c r="S77" s="107"/>
      <c r="T77" s="107"/>
      <c r="U77" s="107"/>
      <c r="V77" s="108"/>
      <c r="W77" s="108"/>
      <c r="X77" s="108"/>
      <c r="Y77" s="108"/>
      <c r="Z77" s="108"/>
      <c r="AA77" s="107"/>
      <c r="AB77" s="107"/>
      <c r="AC77" s="107"/>
      <c r="AD77" s="107"/>
      <c r="AE77" s="100"/>
      <c r="AF77" s="100"/>
      <c r="AG77" s="100"/>
      <c r="AH77" s="100"/>
      <c r="AI77" s="106"/>
      <c r="AJ77" s="105"/>
      <c r="AK77" s="105"/>
      <c r="AL77" s="105"/>
      <c r="AM77" s="105"/>
      <c r="AN77" s="100"/>
      <c r="AO77" s="100"/>
      <c r="AP77" s="100"/>
      <c r="AQ77" s="100"/>
      <c r="AR77" s="107"/>
      <c r="AS77" s="107"/>
      <c r="AT77" s="107"/>
      <c r="AU77" s="107"/>
      <c r="AV77" s="107"/>
      <c r="AW77" s="108"/>
      <c r="AX77" s="108"/>
      <c r="AY77" s="108"/>
      <c r="AZ77" s="108"/>
      <c r="BA77" s="107"/>
      <c r="BB77" s="107"/>
      <c r="BC77" s="107"/>
      <c r="BD77" s="107"/>
      <c r="BE77" s="119"/>
    </row>
    <row r="78" spans="2:57" ht="14.1" customHeight="1" x14ac:dyDescent="0.25">
      <c r="B78" s="157"/>
      <c r="C78" s="158"/>
      <c r="D78" s="104" t="s">
        <v>52</v>
      </c>
      <c r="E78" s="100"/>
      <c r="F78" s="100"/>
      <c r="G78" s="100"/>
      <c r="H78" s="100"/>
      <c r="I78" s="106"/>
      <c r="J78" s="105"/>
      <c r="K78" s="105"/>
      <c r="L78" s="105"/>
      <c r="M78" s="100"/>
      <c r="N78" s="100"/>
      <c r="O78" s="100"/>
      <c r="P78" s="100"/>
      <c r="Q78" s="100"/>
      <c r="R78" s="107"/>
      <c r="S78" s="107"/>
      <c r="T78" s="107"/>
      <c r="U78" s="107"/>
      <c r="V78" s="108"/>
      <c r="W78" s="108"/>
      <c r="X78" s="108"/>
      <c r="Y78" s="108"/>
      <c r="Z78" s="108"/>
      <c r="AA78" s="107"/>
      <c r="AB78" s="107"/>
      <c r="AC78" s="107"/>
      <c r="AD78" s="107"/>
      <c r="AE78" s="100"/>
      <c r="AF78" s="100"/>
      <c r="AG78" s="100"/>
      <c r="AH78" s="100"/>
      <c r="AI78" s="106"/>
      <c r="AJ78" s="105"/>
      <c r="AK78" s="105"/>
      <c r="AL78" s="105"/>
      <c r="AM78" s="105"/>
      <c r="AN78" s="100"/>
      <c r="AO78" s="100"/>
      <c r="AP78" s="100"/>
      <c r="AQ78" s="100"/>
      <c r="AR78" s="107"/>
      <c r="AS78" s="107"/>
      <c r="AT78" s="107"/>
      <c r="AU78" s="107"/>
      <c r="AV78" s="107"/>
      <c r="AW78" s="108"/>
      <c r="AX78" s="108"/>
      <c r="AY78" s="108"/>
      <c r="AZ78" s="108"/>
      <c r="BA78" s="107"/>
      <c r="BB78" s="107"/>
      <c r="BC78" s="107"/>
      <c r="BD78" s="107"/>
      <c r="BE78" s="119"/>
    </row>
    <row r="79" spans="2:57" ht="14.1" customHeight="1" x14ac:dyDescent="0.25">
      <c r="B79" s="157"/>
      <c r="C79" s="158" t="s">
        <v>14</v>
      </c>
      <c r="D79" s="99" t="s">
        <v>51</v>
      </c>
      <c r="E79" s="100"/>
      <c r="F79" s="100"/>
      <c r="G79" s="100"/>
      <c r="H79" s="100"/>
      <c r="I79" s="106"/>
      <c r="J79" s="105"/>
      <c r="K79" s="105"/>
      <c r="L79" s="105"/>
      <c r="M79" s="100"/>
      <c r="N79" s="100"/>
      <c r="O79" s="100"/>
      <c r="P79" s="100"/>
      <c r="Q79" s="100"/>
      <c r="R79" s="107"/>
      <c r="S79" s="107"/>
      <c r="T79" s="101" t="s">
        <v>42</v>
      </c>
      <c r="U79" s="107"/>
      <c r="V79" s="108"/>
      <c r="W79" s="108"/>
      <c r="X79" s="108"/>
      <c r="Y79" s="108"/>
      <c r="Z79" s="108"/>
      <c r="AA79" s="107"/>
      <c r="AB79" s="107"/>
      <c r="AC79" s="107"/>
      <c r="AD79" s="107"/>
      <c r="AE79" s="100"/>
      <c r="AF79" s="100"/>
      <c r="AG79" s="100"/>
      <c r="AH79" s="100"/>
      <c r="AI79" s="106"/>
      <c r="AJ79" s="105"/>
      <c r="AK79" s="105"/>
      <c r="AL79" s="105"/>
      <c r="AM79" s="105"/>
      <c r="AN79" s="100"/>
      <c r="AO79" s="100"/>
      <c r="AP79" s="100"/>
      <c r="AQ79" s="100"/>
      <c r="AR79" s="107"/>
      <c r="AS79" s="107"/>
      <c r="AT79" s="107"/>
      <c r="AU79" s="107"/>
      <c r="AV79" s="107"/>
      <c r="AW79" s="108"/>
      <c r="AX79" s="108"/>
      <c r="AY79" s="108"/>
      <c r="AZ79" s="108"/>
      <c r="BA79" s="107"/>
      <c r="BB79" s="107"/>
      <c r="BC79" s="107"/>
      <c r="BD79" s="107"/>
      <c r="BE79" s="119"/>
    </row>
    <row r="80" spans="2:57" ht="14.1" customHeight="1" x14ac:dyDescent="0.25">
      <c r="B80" s="157"/>
      <c r="C80" s="158"/>
      <c r="D80" s="104" t="s">
        <v>52</v>
      </c>
      <c r="E80" s="100"/>
      <c r="F80" s="100"/>
      <c r="G80" s="100"/>
      <c r="H80" s="100"/>
      <c r="I80" s="106"/>
      <c r="J80" s="105"/>
      <c r="K80" s="105"/>
      <c r="L80" s="105"/>
      <c r="M80" s="100"/>
      <c r="N80" s="100"/>
      <c r="O80" s="100"/>
      <c r="P80" s="100"/>
      <c r="Q80" s="100"/>
      <c r="R80" s="107"/>
      <c r="S80" s="107"/>
      <c r="T80" s="107"/>
      <c r="U80" s="107"/>
      <c r="V80" s="108"/>
      <c r="W80" s="108"/>
      <c r="X80" s="108"/>
      <c r="Y80" s="108"/>
      <c r="Z80" s="108"/>
      <c r="AA80" s="107"/>
      <c r="AB80" s="107"/>
      <c r="AC80" s="107"/>
      <c r="AD80" s="107"/>
      <c r="AE80" s="100"/>
      <c r="AF80" s="100"/>
      <c r="AG80" s="100"/>
      <c r="AH80" s="100"/>
      <c r="AI80" s="106"/>
      <c r="AJ80" s="105"/>
      <c r="AK80" s="105"/>
      <c r="AL80" s="105"/>
      <c r="AM80" s="105"/>
      <c r="AN80" s="100"/>
      <c r="AO80" s="100"/>
      <c r="AP80" s="100"/>
      <c r="AQ80" s="100"/>
      <c r="AR80" s="107"/>
      <c r="AS80" s="107"/>
      <c r="AT80" s="107"/>
      <c r="AU80" s="107"/>
      <c r="AV80" s="107"/>
      <c r="AW80" s="108"/>
      <c r="AX80" s="108"/>
      <c r="AY80" s="108"/>
      <c r="AZ80" s="108"/>
      <c r="BA80" s="107"/>
      <c r="BB80" s="107"/>
      <c r="BC80" s="107"/>
      <c r="BD80" s="107"/>
      <c r="BE80" s="119"/>
    </row>
    <row r="81" spans="2:57" ht="14.1" customHeight="1" x14ac:dyDescent="0.25">
      <c r="B81" s="157"/>
      <c r="C81" s="158" t="s">
        <v>15</v>
      </c>
      <c r="D81" s="99" t="s">
        <v>51</v>
      </c>
      <c r="E81" s="100"/>
      <c r="F81" s="100"/>
      <c r="G81" s="100"/>
      <c r="H81" s="100"/>
      <c r="I81" s="106"/>
      <c r="J81" s="106"/>
      <c r="K81" s="105"/>
      <c r="L81" s="105"/>
      <c r="M81" s="100"/>
      <c r="N81" s="100"/>
      <c r="O81" s="100"/>
      <c r="P81" s="100"/>
      <c r="Q81" s="100"/>
      <c r="R81" s="107"/>
      <c r="S81" s="107"/>
      <c r="T81" s="107"/>
      <c r="U81" s="107"/>
      <c r="V81" s="108"/>
      <c r="W81" s="108"/>
      <c r="X81" s="108"/>
      <c r="Y81" s="108"/>
      <c r="Z81" s="108"/>
      <c r="AA81" s="107"/>
      <c r="AB81" s="107"/>
      <c r="AC81" s="107"/>
      <c r="AD81" s="107"/>
      <c r="AE81" s="100"/>
      <c r="AF81" s="100"/>
      <c r="AG81" s="100"/>
      <c r="AH81" s="100"/>
      <c r="AI81" s="106"/>
      <c r="AJ81" s="105"/>
      <c r="AK81" s="105"/>
      <c r="AL81" s="101" t="s">
        <v>42</v>
      </c>
      <c r="AM81" s="105"/>
      <c r="AN81" s="100"/>
      <c r="AO81" s="100"/>
      <c r="AP81" s="100"/>
      <c r="AQ81" s="100"/>
      <c r="AR81" s="107"/>
      <c r="AS81" s="107"/>
      <c r="AT81" s="107"/>
      <c r="AU81" s="107"/>
      <c r="AV81" s="107"/>
      <c r="AW81" s="108"/>
      <c r="AX81" s="108"/>
      <c r="AY81" s="108"/>
      <c r="AZ81" s="108"/>
      <c r="BA81" s="107"/>
      <c r="BB81" s="107"/>
      <c r="BC81" s="107"/>
      <c r="BD81" s="107"/>
      <c r="BE81" s="119"/>
    </row>
    <row r="82" spans="2:57" ht="14.1" customHeight="1" x14ac:dyDescent="0.25">
      <c r="B82" s="157"/>
      <c r="C82" s="158"/>
      <c r="D82" s="104" t="s">
        <v>52</v>
      </c>
      <c r="E82" s="100"/>
      <c r="F82" s="100"/>
      <c r="G82" s="100"/>
      <c r="H82" s="100"/>
      <c r="I82" s="106"/>
      <c r="J82" s="106"/>
      <c r="K82" s="105"/>
      <c r="L82" s="105"/>
      <c r="M82" s="100"/>
      <c r="N82" s="100"/>
      <c r="O82" s="100"/>
      <c r="P82" s="100"/>
      <c r="Q82" s="100"/>
      <c r="R82" s="107"/>
      <c r="S82" s="107"/>
      <c r="T82" s="107"/>
      <c r="U82" s="107"/>
      <c r="V82" s="108"/>
      <c r="W82" s="108"/>
      <c r="X82" s="108"/>
      <c r="Y82" s="108"/>
      <c r="Z82" s="108"/>
      <c r="AA82" s="107"/>
      <c r="AB82" s="107"/>
      <c r="AC82" s="107"/>
      <c r="AD82" s="107"/>
      <c r="AE82" s="100"/>
      <c r="AF82" s="100"/>
      <c r="AG82" s="100"/>
      <c r="AH82" s="100"/>
      <c r="AI82" s="106"/>
      <c r="AJ82" s="105"/>
      <c r="AK82" s="107"/>
      <c r="AL82" s="105"/>
      <c r="AM82" s="105"/>
      <c r="AN82" s="100"/>
      <c r="AO82" s="100"/>
      <c r="AP82" s="100"/>
      <c r="AQ82" s="100"/>
      <c r="AR82" s="107"/>
      <c r="AS82" s="107"/>
      <c r="AT82" s="107"/>
      <c r="AU82" s="107"/>
      <c r="AV82" s="107"/>
      <c r="AW82" s="108"/>
      <c r="AX82" s="108"/>
      <c r="AY82" s="108"/>
      <c r="AZ82" s="108"/>
      <c r="BA82" s="107"/>
      <c r="BB82" s="107"/>
      <c r="BC82" s="107"/>
      <c r="BD82" s="107"/>
      <c r="BE82" s="119"/>
    </row>
    <row r="83" spans="2:57" ht="14.1" customHeight="1" x14ac:dyDescent="0.25">
      <c r="B83" s="157"/>
      <c r="C83" s="158" t="s">
        <v>16</v>
      </c>
      <c r="D83" s="99" t="s">
        <v>51</v>
      </c>
      <c r="E83" s="100"/>
      <c r="F83" s="100"/>
      <c r="G83" s="100"/>
      <c r="H83" s="100"/>
      <c r="I83" s="106"/>
      <c r="J83" s="105"/>
      <c r="K83" s="105"/>
      <c r="L83" s="105"/>
      <c r="M83" s="100"/>
      <c r="N83" s="100"/>
      <c r="O83" s="100"/>
      <c r="P83" s="100"/>
      <c r="Q83" s="100"/>
      <c r="R83" s="107"/>
      <c r="S83" s="107"/>
      <c r="T83" s="107"/>
      <c r="U83" s="107"/>
      <c r="V83" s="108"/>
      <c r="W83" s="108"/>
      <c r="X83" s="108"/>
      <c r="Y83" s="108"/>
      <c r="Z83" s="108"/>
      <c r="AA83" s="101" t="s">
        <v>42</v>
      </c>
      <c r="AB83" s="107"/>
      <c r="AC83" s="107"/>
      <c r="AD83" s="107"/>
      <c r="AE83" s="100"/>
      <c r="AF83" s="100"/>
      <c r="AG83" s="100"/>
      <c r="AH83" s="100"/>
      <c r="AI83" s="106"/>
      <c r="AJ83" s="105"/>
      <c r="AK83" s="105"/>
      <c r="AL83" s="105"/>
      <c r="AM83" s="105"/>
      <c r="AN83" s="100"/>
      <c r="AO83" s="100"/>
      <c r="AP83" s="100"/>
      <c r="AQ83" s="100"/>
      <c r="AR83" s="107"/>
      <c r="AS83" s="101" t="s">
        <v>42</v>
      </c>
      <c r="AT83" s="107"/>
      <c r="AU83" s="107"/>
      <c r="AV83" s="107"/>
      <c r="AW83" s="108"/>
      <c r="AX83" s="108"/>
      <c r="AY83" s="108"/>
      <c r="AZ83" s="108"/>
      <c r="BA83" s="107"/>
      <c r="BB83" s="107"/>
      <c r="BC83" s="107"/>
      <c r="BD83" s="107"/>
      <c r="BE83" s="119"/>
    </row>
    <row r="84" spans="2:57" ht="14.1" customHeight="1" x14ac:dyDescent="0.25">
      <c r="B84" s="157"/>
      <c r="C84" s="158"/>
      <c r="D84" s="104" t="s">
        <v>52</v>
      </c>
      <c r="E84" s="100"/>
      <c r="F84" s="100"/>
      <c r="G84" s="100"/>
      <c r="H84" s="100"/>
      <c r="I84" s="106"/>
      <c r="J84" s="105"/>
      <c r="K84" s="105"/>
      <c r="L84" s="105"/>
      <c r="M84" s="100"/>
      <c r="N84" s="100"/>
      <c r="O84" s="100"/>
      <c r="P84" s="100"/>
      <c r="Q84" s="100"/>
      <c r="R84" s="107"/>
      <c r="S84" s="107"/>
      <c r="T84" s="107"/>
      <c r="U84" s="107"/>
      <c r="V84" s="108"/>
      <c r="W84" s="108"/>
      <c r="X84" s="108"/>
      <c r="Y84" s="108"/>
      <c r="Z84" s="108"/>
      <c r="AA84" s="107"/>
      <c r="AB84" s="107"/>
      <c r="AC84" s="107"/>
      <c r="AD84" s="107"/>
      <c r="AE84" s="100"/>
      <c r="AF84" s="100"/>
      <c r="AG84" s="100"/>
      <c r="AH84" s="100"/>
      <c r="AI84" s="106"/>
      <c r="AJ84" s="105"/>
      <c r="AK84" s="105"/>
      <c r="AL84" s="105"/>
      <c r="AM84" s="105"/>
      <c r="AN84" s="100"/>
      <c r="AO84" s="100"/>
      <c r="AP84" s="100"/>
      <c r="AQ84" s="100"/>
      <c r="AR84" s="107"/>
      <c r="AS84" s="105"/>
      <c r="AT84" s="107"/>
      <c r="AU84" s="107"/>
      <c r="AV84" s="107"/>
      <c r="AW84" s="108"/>
      <c r="AX84" s="108"/>
      <c r="AY84" s="108"/>
      <c r="AZ84" s="108"/>
      <c r="BA84" s="107"/>
      <c r="BB84" s="107"/>
      <c r="BC84" s="107"/>
      <c r="BD84" s="107"/>
      <c r="BE84" s="119"/>
    </row>
    <row r="85" spans="2:57" ht="14.1" customHeight="1" x14ac:dyDescent="0.25">
      <c r="B85" s="157"/>
      <c r="C85" s="158" t="s">
        <v>50</v>
      </c>
      <c r="D85" s="99" t="s">
        <v>51</v>
      </c>
      <c r="E85" s="109"/>
      <c r="F85" s="109"/>
      <c r="G85" s="109"/>
      <c r="H85" s="100"/>
      <c r="I85" s="110"/>
      <c r="J85" s="111"/>
      <c r="K85" s="111"/>
      <c r="L85" s="111"/>
      <c r="M85" s="109"/>
      <c r="N85" s="109"/>
      <c r="O85" s="109"/>
      <c r="P85" s="109"/>
      <c r="Q85" s="109"/>
      <c r="R85" s="112"/>
      <c r="S85" s="99" t="s">
        <v>21</v>
      </c>
      <c r="T85" s="112"/>
      <c r="U85" s="112"/>
      <c r="V85" s="113"/>
      <c r="W85" s="113"/>
      <c r="X85" s="113"/>
      <c r="Y85" s="113"/>
      <c r="Z85" s="113"/>
      <c r="AA85" s="112"/>
      <c r="AB85" s="112"/>
      <c r="AC85" s="112"/>
      <c r="AD85" s="112"/>
      <c r="AE85" s="109"/>
      <c r="AF85" s="109"/>
      <c r="AG85" s="109"/>
      <c r="AH85" s="109"/>
      <c r="AI85" s="110"/>
      <c r="AJ85" s="111"/>
      <c r="AK85" s="111"/>
      <c r="AL85" s="111"/>
      <c r="AM85" s="111"/>
      <c r="AN85" s="109"/>
      <c r="AO85" s="109"/>
      <c r="AP85" s="109"/>
      <c r="AQ85" s="109"/>
      <c r="AR85" s="112"/>
      <c r="AS85" s="107"/>
      <c r="AT85" s="112"/>
      <c r="AU85" s="112"/>
      <c r="AV85" s="112"/>
      <c r="AW85" s="113"/>
      <c r="AX85" s="113"/>
      <c r="AY85" s="113"/>
      <c r="AZ85" s="113"/>
      <c r="BA85" s="112"/>
      <c r="BB85" s="112"/>
      <c r="BC85" s="112"/>
      <c r="BD85" s="112"/>
      <c r="BE85" s="119"/>
    </row>
    <row r="86" spans="2:57" ht="14.1" customHeight="1" x14ac:dyDescent="0.25">
      <c r="B86" s="157"/>
      <c r="C86" s="158"/>
      <c r="D86" s="104" t="s">
        <v>52</v>
      </c>
      <c r="E86" s="100"/>
      <c r="F86" s="100"/>
      <c r="G86" s="100"/>
      <c r="H86" s="100"/>
      <c r="I86" s="106"/>
      <c r="J86" s="105"/>
      <c r="K86" s="105"/>
      <c r="L86" s="105"/>
      <c r="M86" s="100"/>
      <c r="N86" s="100"/>
      <c r="O86" s="100"/>
      <c r="P86" s="100"/>
      <c r="Q86" s="100"/>
      <c r="R86" s="107"/>
      <c r="S86" s="107"/>
      <c r="T86" s="107"/>
      <c r="U86" s="107"/>
      <c r="V86" s="108"/>
      <c r="W86" s="108"/>
      <c r="X86" s="108"/>
      <c r="Y86" s="108"/>
      <c r="Z86" s="108"/>
      <c r="AA86" s="107"/>
      <c r="AB86" s="107"/>
      <c r="AC86" s="107"/>
      <c r="AD86" s="107"/>
      <c r="AE86" s="100"/>
      <c r="AF86" s="100"/>
      <c r="AG86" s="100"/>
      <c r="AH86" s="100"/>
      <c r="AI86" s="106"/>
      <c r="AJ86" s="105"/>
      <c r="AK86" s="105"/>
      <c r="AL86" s="105"/>
      <c r="AM86" s="105"/>
      <c r="AN86" s="100"/>
      <c r="AO86" s="100"/>
      <c r="AP86" s="100"/>
      <c r="AQ86" s="100"/>
      <c r="AR86" s="107"/>
      <c r="AS86" s="107"/>
      <c r="AT86" s="107"/>
      <c r="AU86" s="107"/>
      <c r="AV86" s="107"/>
      <c r="AW86" s="108"/>
      <c r="AX86" s="108"/>
      <c r="AY86" s="108"/>
      <c r="AZ86" s="108"/>
      <c r="BA86" s="107"/>
      <c r="BB86" s="107"/>
      <c r="BC86" s="107"/>
      <c r="BD86" s="107"/>
      <c r="BE86" s="119"/>
    </row>
    <row r="87" spans="2:57" ht="14.1" customHeight="1" x14ac:dyDescent="0.25">
      <c r="B87" s="157"/>
      <c r="C87" s="158" t="s">
        <v>17</v>
      </c>
      <c r="D87" s="99" t="s">
        <v>51</v>
      </c>
      <c r="E87" s="100"/>
      <c r="F87" s="100"/>
      <c r="G87" s="100"/>
      <c r="H87" s="100"/>
      <c r="I87" s="105"/>
      <c r="J87" s="105"/>
      <c r="K87" s="101" t="s">
        <v>42</v>
      </c>
      <c r="L87" s="105"/>
      <c r="M87" s="100"/>
      <c r="N87" s="100"/>
      <c r="O87" s="100"/>
      <c r="P87" s="100"/>
      <c r="Q87" s="100"/>
      <c r="R87" s="107"/>
      <c r="S87" s="107"/>
      <c r="T87" s="101" t="s">
        <v>42</v>
      </c>
      <c r="U87" s="107"/>
      <c r="V87" s="108"/>
      <c r="W87" s="108"/>
      <c r="X87" s="108"/>
      <c r="Y87" s="108"/>
      <c r="Z87" s="108"/>
      <c r="AA87" s="107"/>
      <c r="AB87" s="101" t="s">
        <v>42</v>
      </c>
      <c r="AC87" s="107"/>
      <c r="AD87" s="107"/>
      <c r="AE87" s="100"/>
      <c r="AF87" s="100"/>
      <c r="AG87" s="100"/>
      <c r="AH87" s="100"/>
      <c r="AI87" s="105"/>
      <c r="AJ87" s="105"/>
      <c r="AK87" s="105"/>
      <c r="AL87" s="105"/>
      <c r="AM87" s="105"/>
      <c r="AN87" s="100"/>
      <c r="AO87" s="100"/>
      <c r="AP87" s="100"/>
      <c r="AQ87" s="100"/>
      <c r="AR87" s="114"/>
      <c r="AS87" s="107"/>
      <c r="AT87" s="107"/>
      <c r="AU87" s="107"/>
      <c r="AV87" s="107"/>
      <c r="AW87" s="108"/>
      <c r="AX87" s="108"/>
      <c r="AY87" s="108"/>
      <c r="AZ87" s="108"/>
      <c r="BA87" s="107"/>
      <c r="BB87" s="101" t="s">
        <v>42</v>
      </c>
      <c r="BC87" s="107"/>
      <c r="BD87" s="107"/>
      <c r="BE87" s="119"/>
    </row>
    <row r="88" spans="2:57" ht="14.1" customHeight="1" x14ac:dyDescent="0.25">
      <c r="B88" s="157"/>
      <c r="C88" s="158"/>
      <c r="D88" s="104" t="s">
        <v>52</v>
      </c>
      <c r="E88" s="100"/>
      <c r="F88" s="100"/>
      <c r="G88" s="100"/>
      <c r="H88" s="100"/>
      <c r="I88" s="105"/>
      <c r="J88" s="105"/>
      <c r="K88" s="105"/>
      <c r="L88" s="105"/>
      <c r="M88" s="100"/>
      <c r="N88" s="100"/>
      <c r="O88" s="100"/>
      <c r="P88" s="100"/>
      <c r="Q88" s="100"/>
      <c r="R88" s="107"/>
      <c r="S88" s="107"/>
      <c r="T88" s="107"/>
      <c r="U88" s="107"/>
      <c r="V88" s="108"/>
      <c r="W88" s="108"/>
      <c r="X88" s="108"/>
      <c r="Y88" s="108"/>
      <c r="Z88" s="108"/>
      <c r="AA88" s="107"/>
      <c r="AB88" s="107"/>
      <c r="AC88" s="107"/>
      <c r="AD88" s="107"/>
      <c r="AE88" s="100"/>
      <c r="AF88" s="100"/>
      <c r="AG88" s="100"/>
      <c r="AH88" s="100"/>
      <c r="AI88" s="106"/>
      <c r="AJ88" s="105"/>
      <c r="AK88" s="105"/>
      <c r="AL88" s="105"/>
      <c r="AM88" s="105"/>
      <c r="AN88" s="100"/>
      <c r="AO88" s="100"/>
      <c r="AP88" s="100"/>
      <c r="AQ88" s="100"/>
      <c r="AR88" s="107"/>
      <c r="AS88" s="107"/>
      <c r="AT88" s="107"/>
      <c r="AU88" s="107"/>
      <c r="AV88" s="107"/>
      <c r="AW88" s="108"/>
      <c r="AX88" s="108"/>
      <c r="AY88" s="108"/>
      <c r="AZ88" s="108"/>
      <c r="BA88" s="107"/>
      <c r="BB88" s="107"/>
      <c r="BC88" s="107"/>
      <c r="BD88" s="107"/>
      <c r="BE88" s="119"/>
    </row>
    <row r="89" spans="2:57" ht="14.1" customHeight="1" x14ac:dyDescent="0.25">
      <c r="B89" s="157"/>
      <c r="C89" s="158" t="s">
        <v>39</v>
      </c>
      <c r="D89" s="99" t="s">
        <v>51</v>
      </c>
      <c r="E89" s="100"/>
      <c r="F89" s="100"/>
      <c r="G89" s="100"/>
      <c r="H89" s="100"/>
      <c r="I89" s="106"/>
      <c r="J89" s="105"/>
      <c r="K89" s="105"/>
      <c r="L89" s="105"/>
      <c r="M89" s="100"/>
      <c r="N89" s="100"/>
      <c r="O89" s="100"/>
      <c r="P89" s="100"/>
      <c r="Q89" s="100"/>
      <c r="R89" s="107"/>
      <c r="S89" s="107"/>
      <c r="T89" s="107"/>
      <c r="U89" s="107"/>
      <c r="V89" s="101" t="s">
        <v>42</v>
      </c>
      <c r="W89" s="108"/>
      <c r="X89" s="108"/>
      <c r="Y89" s="108"/>
      <c r="Z89" s="108"/>
      <c r="AA89" s="107"/>
      <c r="AB89" s="107"/>
      <c r="AC89" s="107"/>
      <c r="AD89" s="107"/>
      <c r="AE89" s="100"/>
      <c r="AF89" s="100"/>
      <c r="AG89" s="100"/>
      <c r="AH89" s="100"/>
      <c r="AI89" s="106"/>
      <c r="AJ89" s="105"/>
      <c r="AK89" s="105"/>
      <c r="AL89" s="105"/>
      <c r="AM89" s="105"/>
      <c r="AN89" s="100"/>
      <c r="AO89" s="100"/>
      <c r="AP89" s="100"/>
      <c r="AQ89" s="100"/>
      <c r="AR89" s="107"/>
      <c r="AS89" s="107"/>
      <c r="AT89" s="107"/>
      <c r="AU89" s="107"/>
      <c r="AV89" s="107"/>
      <c r="AW89" s="108"/>
      <c r="AX89" s="108"/>
      <c r="AY89" s="108"/>
      <c r="AZ89" s="108"/>
      <c r="BA89" s="107"/>
      <c r="BB89" s="107"/>
      <c r="BC89" s="107"/>
      <c r="BD89" s="107"/>
      <c r="BE89" s="119"/>
    </row>
    <row r="90" spans="2:57" ht="14.1" customHeight="1" x14ac:dyDescent="0.25">
      <c r="B90" s="157"/>
      <c r="C90" s="158"/>
      <c r="D90" s="104" t="s">
        <v>52</v>
      </c>
      <c r="E90" s="100"/>
      <c r="F90" s="100"/>
      <c r="G90" s="100"/>
      <c r="H90" s="100"/>
      <c r="I90" s="106"/>
      <c r="J90" s="105"/>
      <c r="K90" s="105"/>
      <c r="L90" s="105"/>
      <c r="M90" s="100"/>
      <c r="N90" s="100"/>
      <c r="O90" s="100"/>
      <c r="P90" s="100"/>
      <c r="Q90" s="100"/>
      <c r="R90" s="107"/>
      <c r="S90" s="107"/>
      <c r="T90" s="107"/>
      <c r="U90" s="107"/>
      <c r="V90" s="108"/>
      <c r="W90" s="108"/>
      <c r="X90" s="108"/>
      <c r="Y90" s="108"/>
      <c r="Z90" s="108"/>
      <c r="AA90" s="107"/>
      <c r="AB90" s="107"/>
      <c r="AC90" s="107"/>
      <c r="AD90" s="107"/>
      <c r="AE90" s="100"/>
      <c r="AF90" s="100"/>
      <c r="AG90" s="100"/>
      <c r="AH90" s="100"/>
      <c r="AI90" s="106"/>
      <c r="AJ90" s="105"/>
      <c r="AK90" s="105"/>
      <c r="AL90" s="105"/>
      <c r="AM90" s="105"/>
      <c r="AN90" s="100"/>
      <c r="AO90" s="100"/>
      <c r="AP90" s="100"/>
      <c r="AQ90" s="100"/>
      <c r="AR90" s="107"/>
      <c r="AS90" s="107"/>
      <c r="AT90" s="107"/>
      <c r="AU90" s="107"/>
      <c r="AV90" s="107"/>
      <c r="AW90" s="108"/>
      <c r="AX90" s="108"/>
      <c r="AY90" s="108"/>
      <c r="AZ90" s="108"/>
      <c r="BA90" s="107"/>
      <c r="BB90" s="107"/>
      <c r="BC90" s="107"/>
      <c r="BD90" s="107"/>
      <c r="BE90" s="119"/>
    </row>
    <row r="91" spans="2:57" ht="14.1" customHeight="1" x14ac:dyDescent="0.25">
      <c r="B91" s="157"/>
      <c r="C91" s="158" t="s">
        <v>18</v>
      </c>
      <c r="D91" s="99" t="s">
        <v>51</v>
      </c>
      <c r="E91" s="100"/>
      <c r="F91" s="100"/>
      <c r="G91" s="100"/>
      <c r="H91" s="101" t="s">
        <v>42</v>
      </c>
      <c r="I91" s="106"/>
      <c r="J91" s="105"/>
      <c r="K91" s="105"/>
      <c r="L91" s="105"/>
      <c r="M91" s="100"/>
      <c r="N91" s="100"/>
      <c r="O91" s="100"/>
      <c r="P91" s="100"/>
      <c r="Q91" s="100"/>
      <c r="R91" s="107"/>
      <c r="S91" s="107"/>
      <c r="T91" s="107"/>
      <c r="U91" s="107"/>
      <c r="V91" s="108"/>
      <c r="W91" s="108"/>
      <c r="X91" s="108"/>
      <c r="Y91" s="108"/>
      <c r="Z91" s="108"/>
      <c r="AA91" s="107"/>
      <c r="AB91" s="107"/>
      <c r="AC91" s="107"/>
      <c r="AD91" s="107"/>
      <c r="AE91" s="100"/>
      <c r="AF91" s="100"/>
      <c r="AG91" s="100"/>
      <c r="AH91" s="100"/>
      <c r="AI91" s="106"/>
      <c r="AJ91" s="105"/>
      <c r="AK91" s="105"/>
      <c r="AL91" s="105"/>
      <c r="AM91" s="105"/>
      <c r="AN91" s="100"/>
      <c r="AO91" s="100"/>
      <c r="AP91" s="100"/>
      <c r="AQ91" s="100"/>
      <c r="AR91" s="107"/>
      <c r="AS91" s="107"/>
      <c r="AT91" s="107"/>
      <c r="AU91" s="107"/>
      <c r="AV91" s="107"/>
      <c r="AW91" s="108"/>
      <c r="AX91" s="108"/>
      <c r="AY91" s="108"/>
      <c r="AZ91" s="108"/>
      <c r="BA91" s="107"/>
      <c r="BB91" s="107"/>
      <c r="BC91" s="107"/>
      <c r="BD91" s="107"/>
      <c r="BE91" s="119"/>
    </row>
    <row r="92" spans="2:57" ht="14.1" customHeight="1" x14ac:dyDescent="0.25">
      <c r="B92" s="157"/>
      <c r="C92" s="158" t="s">
        <v>18</v>
      </c>
      <c r="D92" s="104" t="s">
        <v>52</v>
      </c>
      <c r="E92" s="100"/>
      <c r="F92" s="100"/>
      <c r="G92" s="100"/>
      <c r="H92" s="100"/>
      <c r="I92" s="106"/>
      <c r="J92" s="105"/>
      <c r="K92" s="105"/>
      <c r="L92" s="105"/>
      <c r="M92" s="100"/>
      <c r="N92" s="100"/>
      <c r="O92" s="100"/>
      <c r="P92" s="100"/>
      <c r="Q92" s="100"/>
      <c r="R92" s="107"/>
      <c r="S92" s="107"/>
      <c r="T92" s="107"/>
      <c r="U92" s="107"/>
      <c r="V92" s="108"/>
      <c r="W92" s="108"/>
      <c r="X92" s="108"/>
      <c r="Y92" s="108"/>
      <c r="Z92" s="108"/>
      <c r="AA92" s="107"/>
      <c r="AB92" s="107"/>
      <c r="AC92" s="107"/>
      <c r="AD92" s="107"/>
      <c r="AE92" s="100"/>
      <c r="AF92" s="100"/>
      <c r="AG92" s="100"/>
      <c r="AH92" s="100"/>
      <c r="AI92" s="106"/>
      <c r="AJ92" s="105"/>
      <c r="AK92" s="105"/>
      <c r="AL92" s="105"/>
      <c r="AM92" s="105"/>
      <c r="AN92" s="100"/>
      <c r="AO92" s="100"/>
      <c r="AP92" s="100"/>
      <c r="AQ92" s="100"/>
      <c r="AR92" s="107"/>
      <c r="AS92" s="107"/>
      <c r="AT92" s="107"/>
      <c r="AU92" s="107"/>
      <c r="AV92" s="107"/>
      <c r="AW92" s="108"/>
      <c r="AX92" s="108"/>
      <c r="AY92" s="108"/>
      <c r="AZ92" s="108"/>
      <c r="BA92" s="107"/>
      <c r="BB92" s="107"/>
      <c r="BC92" s="107"/>
      <c r="BD92" s="107"/>
      <c r="BE92" s="119"/>
    </row>
  </sheetData>
  <mergeCells count="108">
    <mergeCell ref="AW25:AZ25"/>
    <mergeCell ref="BA25:BD25"/>
    <mergeCell ref="AE5:AH5"/>
    <mergeCell ref="AR5:AV5"/>
    <mergeCell ref="AR15:AV15"/>
    <mergeCell ref="R15:U15"/>
    <mergeCell ref="V15:Z15"/>
    <mergeCell ref="AA15:AD15"/>
    <mergeCell ref="AE15:AH15"/>
    <mergeCell ref="AI15:AM15"/>
    <mergeCell ref="AN15:AQ15"/>
    <mergeCell ref="BA5:BD5"/>
    <mergeCell ref="AI5:AM5"/>
    <mergeCell ref="AN5:AQ5"/>
    <mergeCell ref="R5:U5"/>
    <mergeCell ref="AW5:AZ5"/>
    <mergeCell ref="AW15:AZ15"/>
    <mergeCell ref="BA15:BD15"/>
    <mergeCell ref="B7:B13"/>
    <mergeCell ref="B15:B16"/>
    <mergeCell ref="C15:C16"/>
    <mergeCell ref="E15:H15"/>
    <mergeCell ref="I15:L15"/>
    <mergeCell ref="B5:B6"/>
    <mergeCell ref="C5:C6"/>
    <mergeCell ref="V5:Z5"/>
    <mergeCell ref="AA5:AD5"/>
    <mergeCell ref="E5:H5"/>
    <mergeCell ref="I5:L5"/>
    <mergeCell ref="M5:Q5"/>
    <mergeCell ref="M15:Q15"/>
    <mergeCell ref="BA48:BD48"/>
    <mergeCell ref="AR48:AV48"/>
    <mergeCell ref="AW48:AZ48"/>
    <mergeCell ref="V25:Z25"/>
    <mergeCell ref="AA25:AD25"/>
    <mergeCell ref="V48:Z48"/>
    <mergeCell ref="B17:B23"/>
    <mergeCell ref="B25:B26"/>
    <mergeCell ref="C25:C26"/>
    <mergeCell ref="E25:H25"/>
    <mergeCell ref="R25:U25"/>
    <mergeCell ref="D25:D26"/>
    <mergeCell ref="N25:Q25"/>
    <mergeCell ref="I25:M25"/>
    <mergeCell ref="AE25:AH25"/>
    <mergeCell ref="AI25:AM25"/>
    <mergeCell ref="AN25:AQ25"/>
    <mergeCell ref="AR25:AV25"/>
    <mergeCell ref="B48:B49"/>
    <mergeCell ref="C48:C49"/>
    <mergeCell ref="E48:H48"/>
    <mergeCell ref="I48:L48"/>
    <mergeCell ref="B27:B46"/>
    <mergeCell ref="AA48:AD48"/>
    <mergeCell ref="AE48:AH48"/>
    <mergeCell ref="AI48:AM48"/>
    <mergeCell ref="AN48:AQ48"/>
    <mergeCell ref="M48:Q48"/>
    <mergeCell ref="R48:U48"/>
    <mergeCell ref="C37:C38"/>
    <mergeCell ref="C39:C40"/>
    <mergeCell ref="C41:C42"/>
    <mergeCell ref="C43:C44"/>
    <mergeCell ref="C45:C46"/>
    <mergeCell ref="C27:C28"/>
    <mergeCell ref="C29:C30"/>
    <mergeCell ref="C31:C32"/>
    <mergeCell ref="C33:C34"/>
    <mergeCell ref="C35:C36"/>
    <mergeCell ref="D48:D49"/>
    <mergeCell ref="B71:B72"/>
    <mergeCell ref="C71:C72"/>
    <mergeCell ref="D71:D72"/>
    <mergeCell ref="B50:B69"/>
    <mergeCell ref="C60:C61"/>
    <mergeCell ref="C62:C63"/>
    <mergeCell ref="C64:C65"/>
    <mergeCell ref="C66:C67"/>
    <mergeCell ref="C68:C69"/>
    <mergeCell ref="C50:C51"/>
    <mergeCell ref="C52:C53"/>
    <mergeCell ref="C54:C55"/>
    <mergeCell ref="C56:C57"/>
    <mergeCell ref="C58:C59"/>
    <mergeCell ref="BA71:BD71"/>
    <mergeCell ref="B73:B9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AE71:AH71"/>
    <mergeCell ref="AI71:AM71"/>
    <mergeCell ref="AN71:AQ71"/>
    <mergeCell ref="AR71:AV71"/>
    <mergeCell ref="AW71:AZ71"/>
    <mergeCell ref="I71:L71"/>
    <mergeCell ref="M71:Q71"/>
    <mergeCell ref="R71:U71"/>
    <mergeCell ref="V71:Z71"/>
    <mergeCell ref="AA71:AD71"/>
    <mergeCell ref="E71:H71"/>
  </mergeCells>
  <hyperlinks>
    <hyperlink ref="Q10" r:id="rId1" xr:uid="{9BA96BA0-B34C-419C-9395-5B7B34C80279}"/>
    <hyperlink ref="AP10" r:id="rId2" xr:uid="{27062D5E-4EB9-46C0-BEB0-95000C47A11F}"/>
    <hyperlink ref="N11" r:id="rId3" xr:uid="{A3F9F630-5F9B-4CFE-9CE4-479FD89C00CF}"/>
    <hyperlink ref="AQ11" r:id="rId4" xr:uid="{A6C4C0DD-E07F-409E-98E0-1F732825DAA5}"/>
    <hyperlink ref="AB11" r:id="rId5" xr:uid="{D158D8F3-A41C-4EB2-AE93-01004566B745}"/>
    <hyperlink ref="AC11" r:id="rId6" xr:uid="{A5DF77AC-369F-425B-BBE7-DDD1119DE4F6}"/>
    <hyperlink ref="BC11" r:id="rId7" xr:uid="{3FECF9CF-DB40-4798-9661-68D4C1D93D25}"/>
    <hyperlink ref="L11" r:id="rId8" xr:uid="{59084D3C-9D5F-42FF-804C-5A36E80C66D4}"/>
    <hyperlink ref="T11" r:id="rId9" xr:uid="{A0302A90-2F94-4589-8D4C-BAE120E207C1}"/>
    <hyperlink ref="L21" r:id="rId10" xr:uid="{510ED381-7F5C-4DE2-9BE2-EBD224AB0234}"/>
    <hyperlink ref="Q17" r:id="rId11" xr:uid="{E5F33688-E921-45EE-92E0-E600AE408DB9}"/>
    <hyperlink ref="Q13" r:id="rId12" xr:uid="{585EF1EF-CE4D-46C1-AEC2-572C3D4A8D3E}"/>
    <hyperlink ref="X9" r:id="rId13" xr:uid="{3408DE6A-8AF2-40B8-809D-6C83E6BD576B}"/>
    <hyperlink ref="AO9" r:id="rId14" xr:uid="{14B87C77-EF10-4A9A-A553-501C47DC60A5}"/>
    <hyperlink ref="AO7" r:id="rId15" xr:uid="{F461B77F-2B73-40CF-8D04-C22403E9B5C9}"/>
    <hyperlink ref="W21" r:id="rId16" xr:uid="{DF01562E-0733-4389-A4E9-8127DB62A5D2}"/>
    <hyperlink ref="AS12" r:id="rId17" xr:uid="{1491F473-BC95-48D0-B21B-13597334F459}"/>
    <hyperlink ref="AR12" r:id="rId18" xr:uid="{A2634935-19D4-47DA-BD3E-1EAC549BAEE4}"/>
    <hyperlink ref="AP19" r:id="rId19" xr:uid="{F5D8FEBB-11F4-4751-95C6-4EC743058E89}"/>
    <hyperlink ref="S21" r:id="rId20" xr:uid="{9ED43399-D1BA-4812-8A41-8E15A75213F3}"/>
    <hyperlink ref="K20" r:id="rId21" xr:uid="{89199672-889C-427D-8D2D-28C72EC948E4}"/>
    <hyperlink ref="V20" r:id="rId22" xr:uid="{13CA5156-DE15-4C8D-9FF7-94824733655B}"/>
    <hyperlink ref="T23" r:id="rId23" xr:uid="{09DE51A2-7575-445C-8C80-7E5192FD76A4}"/>
    <hyperlink ref="V21" r:id="rId24" xr:uid="{A8D46728-5E9B-4407-B0F0-1A18A8C5B0B9}"/>
    <hyperlink ref="X21" r:id="rId25" xr:uid="{54D21DD3-F419-4AF4-A848-E6FDED523EBA}"/>
    <hyperlink ref="BB20" r:id="rId26" xr:uid="{36E460AF-F1BC-4343-87FD-94A907683C49}"/>
    <hyperlink ref="P42" r:id="rId27" xr:uid="{FB43ECE5-3708-40BC-80CB-37C148074D24}"/>
    <hyperlink ref="N42" r:id="rId28" xr:uid="{7AD6D7B9-8F19-4578-B5D9-94DE340B2EAE}"/>
    <hyperlink ref="J28:K28" r:id="rId29" location="/" display="x" xr:uid="{2585929B-9973-4230-A7B9-B87DE7F2A79F}"/>
    <hyperlink ref="AA42" r:id="rId30" xr:uid="{CFE03666-D349-4202-ACE1-0020C6A0A572}"/>
    <hyperlink ref="X34" r:id="rId31" xr:uid="{F47927FF-C6A1-4773-920D-970661705BD5}"/>
    <hyperlink ref="N38" r:id="rId32" xr:uid="{7D6FBC00-7715-4B74-AEBE-3413CD040A24}"/>
    <hyperlink ref="P38" r:id="rId33" xr:uid="{8376BBDC-78AE-4D52-A392-E02FA375360D}"/>
    <hyperlink ref="U42" r:id="rId34" xr:uid="{91DE2A33-FC3B-4819-94EB-F7537A83E845}"/>
    <hyperlink ref="AK32" r:id="rId35" xr:uid="{063551C1-446D-4169-B024-DF378CEAF9CD}"/>
    <hyperlink ref="AK36" r:id="rId36" xr:uid="{65ADB9FA-CD8A-47FE-BF3D-801DAF4D5814}"/>
    <hyperlink ref="Z44" r:id="rId37" xr:uid="{E9F87AD9-D159-4D90-8BD2-E4866191A126}"/>
    <hyperlink ref="M40" r:id="rId38" xr:uid="{5C26F0C2-159E-4A7E-B995-D5175C6A88BA}"/>
    <hyperlink ref="H46" r:id="rId39" xr:uid="{F378D466-A434-4E46-AE50-0B70F2F67D91}"/>
    <hyperlink ref="AR36" r:id="rId40" xr:uid="{3DE8EE2C-F62D-4281-9B32-6015964B66B1}"/>
    <hyperlink ref="BB42" r:id="rId41" xr:uid="{7FACE970-4F49-4A14-AB60-6158CDF2C613}"/>
    <hyperlink ref="L64" r:id="rId42" xr:uid="{A09535CE-4F94-4D0B-8D58-DDD7C1B3E77D}"/>
    <hyperlink ref="K69" r:id="rId43" xr:uid="{7BC467CB-DCA2-42C4-8B55-7992D2E8F58F}"/>
    <hyperlink ref="O52" r:id="rId44" xr:uid="{2E25E00D-98F9-462B-9374-FE7CDF3D5625}"/>
  </hyperlinks>
  <pageMargins left="0.70866141732283472" right="0.70866141732283472" top="0.74803149606299213" bottom="0.74803149606299213" header="0.31496062992125984" footer="0.31496062992125984"/>
  <pageSetup paperSize="8" scale="62" orientation="landscape" r:id="rId45"/>
  <drawing r:id="rId46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DF78-BA47-4528-9417-385616140EFB}">
  <sheetPr>
    <tabColor rgb="FFFF0000"/>
  </sheetPr>
  <dimension ref="B1:E33"/>
  <sheetViews>
    <sheetView showGridLines="0" zoomScale="140" zoomScaleNormal="140" workbookViewId="0">
      <selection activeCell="D15" sqref="D15"/>
    </sheetView>
  </sheetViews>
  <sheetFormatPr defaultRowHeight="15" x14ac:dyDescent="0.25"/>
  <cols>
    <col min="1" max="1" width="3.7109375" customWidth="1"/>
    <col min="2" max="2" width="6.5703125" customWidth="1"/>
    <col min="4" max="4" width="14.42578125" style="15" customWidth="1"/>
    <col min="5" max="5" width="10.28515625" customWidth="1"/>
  </cols>
  <sheetData>
    <row r="1" spans="2:5" x14ac:dyDescent="0.25">
      <c r="E1" s="1"/>
    </row>
    <row r="2" spans="2:5" x14ac:dyDescent="0.25">
      <c r="C2" t="s">
        <v>22</v>
      </c>
    </row>
    <row r="5" spans="2:5" x14ac:dyDescent="0.25">
      <c r="B5" t="s">
        <v>25</v>
      </c>
      <c r="C5" t="s">
        <v>23</v>
      </c>
      <c r="D5" s="15" t="s">
        <v>33</v>
      </c>
      <c r="E5" t="s">
        <v>24</v>
      </c>
    </row>
    <row r="6" spans="2:5" x14ac:dyDescent="0.25">
      <c r="B6" t="s">
        <v>26</v>
      </c>
      <c r="C6" t="s">
        <v>28</v>
      </c>
      <c r="D6" s="15">
        <v>402295</v>
      </c>
      <c r="E6" s="16">
        <v>0.99</v>
      </c>
    </row>
    <row r="7" spans="2:5" x14ac:dyDescent="0.25">
      <c r="B7" t="s">
        <v>26</v>
      </c>
      <c r="C7" t="s">
        <v>29</v>
      </c>
      <c r="D7" s="15">
        <v>404095</v>
      </c>
      <c r="E7" s="16">
        <v>0.99</v>
      </c>
    </row>
    <row r="11" spans="2:5" x14ac:dyDescent="0.25">
      <c r="B11" t="s">
        <v>25</v>
      </c>
    </row>
    <row r="12" spans="2:5" x14ac:dyDescent="0.25">
      <c r="B12" t="s">
        <v>27</v>
      </c>
      <c r="C12" t="s">
        <v>30</v>
      </c>
      <c r="E12" s="1">
        <v>0</v>
      </c>
    </row>
    <row r="13" spans="2:5" x14ac:dyDescent="0.25">
      <c r="B13" t="s">
        <v>27</v>
      </c>
      <c r="C13" t="s">
        <v>31</v>
      </c>
      <c r="D13" s="15">
        <v>404095</v>
      </c>
      <c r="E13" s="1">
        <v>0</v>
      </c>
    </row>
    <row r="14" spans="2:5" x14ac:dyDescent="0.25">
      <c r="B14" t="s">
        <v>27</v>
      </c>
      <c r="C14" t="s">
        <v>32</v>
      </c>
      <c r="D14" s="15">
        <v>405107</v>
      </c>
      <c r="E14" s="1">
        <v>100</v>
      </c>
    </row>
    <row r="15" spans="2:5" x14ac:dyDescent="0.25">
      <c r="B15" t="s">
        <v>27</v>
      </c>
      <c r="C15" t="s">
        <v>32</v>
      </c>
      <c r="D15" s="15">
        <v>405102</v>
      </c>
      <c r="E15" s="1">
        <v>10</v>
      </c>
    </row>
    <row r="16" spans="2:5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  <row r="21" spans="5:5" x14ac:dyDescent="0.25">
      <c r="E21" s="1"/>
    </row>
    <row r="22" spans="5:5" x14ac:dyDescent="0.25">
      <c r="E22" s="1"/>
    </row>
    <row r="23" spans="5:5" x14ac:dyDescent="0.25">
      <c r="E23" s="1"/>
    </row>
    <row r="24" spans="5:5" x14ac:dyDescent="0.25">
      <c r="E24" s="1"/>
    </row>
    <row r="25" spans="5:5" x14ac:dyDescent="0.25">
      <c r="E25" s="1"/>
    </row>
    <row r="26" spans="5:5" x14ac:dyDescent="0.25">
      <c r="E26" s="1"/>
    </row>
    <row r="27" spans="5:5" x14ac:dyDescent="0.25">
      <c r="E27" s="1"/>
    </row>
    <row r="28" spans="5:5" x14ac:dyDescent="0.25">
      <c r="E28" s="1"/>
    </row>
    <row r="29" spans="5:5" x14ac:dyDescent="0.25">
      <c r="E29" s="1"/>
    </row>
    <row r="30" spans="5:5" x14ac:dyDescent="0.25">
      <c r="E30" s="1"/>
    </row>
    <row r="31" spans="5:5" x14ac:dyDescent="0.25">
      <c r="E31" s="1"/>
    </row>
    <row r="32" spans="5:5" x14ac:dyDescent="0.25">
      <c r="E32" s="1"/>
    </row>
    <row r="33" spans="5:5" x14ac:dyDescent="0.25">
      <c r="E3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71C-F46C-48E1-B76E-585C25AA76D6}">
  <dimension ref="A2:W34"/>
  <sheetViews>
    <sheetView showGridLines="0" topLeftCell="A3" zoomScale="80" zoomScaleNormal="80" workbookViewId="0">
      <selection activeCell="G13" sqref="G13"/>
    </sheetView>
  </sheetViews>
  <sheetFormatPr defaultRowHeight="15" x14ac:dyDescent="0.25"/>
  <cols>
    <col min="1" max="1" width="2.28515625" customWidth="1"/>
    <col min="2" max="2" width="14.28515625" hidden="1" customWidth="1"/>
    <col min="3" max="3" width="11.85546875" style="15" customWidth="1"/>
    <col min="4" max="4" width="12.85546875" style="15" customWidth="1"/>
    <col min="5" max="9" width="11.85546875" style="15" customWidth="1"/>
    <col min="10" max="10" width="12.140625" style="15" customWidth="1"/>
    <col min="11" max="14" width="11.85546875" style="15" customWidth="1"/>
    <col min="15" max="15" width="2.7109375" customWidth="1"/>
    <col min="16" max="16" width="26.140625" customWidth="1"/>
    <col min="17" max="18" width="10.7109375" customWidth="1"/>
    <col min="20" max="20" width="19.7109375" bestFit="1" customWidth="1"/>
    <col min="22" max="22" width="10.5703125" customWidth="1"/>
  </cols>
  <sheetData>
    <row r="2" spans="1:23" ht="21" x14ac:dyDescent="0.35">
      <c r="C2" s="22" t="s">
        <v>113</v>
      </c>
    </row>
    <row r="3" spans="1:23" ht="18.399999999999999" customHeight="1" x14ac:dyDescent="0.25">
      <c r="A3" s="73"/>
      <c r="B3" s="73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169" t="s">
        <v>111</v>
      </c>
      <c r="Q3" s="170"/>
      <c r="R3" s="171"/>
    </row>
    <row r="4" spans="1:23" ht="34.700000000000003" customHeight="1" x14ac:dyDescent="0.25">
      <c r="A4" s="73"/>
      <c r="B4" s="96" t="s">
        <v>44</v>
      </c>
      <c r="C4" s="74" t="s">
        <v>99</v>
      </c>
      <c r="D4" s="75" t="s">
        <v>100</v>
      </c>
      <c r="E4" s="75" t="s">
        <v>101</v>
      </c>
      <c r="F4" s="75" t="s">
        <v>102</v>
      </c>
      <c r="G4" s="75" t="s">
        <v>103</v>
      </c>
      <c r="H4" s="75" t="s">
        <v>104</v>
      </c>
      <c r="I4" s="75" t="s">
        <v>105</v>
      </c>
      <c r="J4" s="75" t="s">
        <v>106</v>
      </c>
      <c r="K4" s="75" t="s">
        <v>107</v>
      </c>
      <c r="L4" s="75" t="s">
        <v>108</v>
      </c>
      <c r="M4" s="75" t="s">
        <v>109</v>
      </c>
      <c r="N4" s="76" t="s">
        <v>110</v>
      </c>
      <c r="O4" s="73"/>
      <c r="P4" s="77" t="s">
        <v>114</v>
      </c>
      <c r="Q4" s="78" t="s">
        <v>46</v>
      </c>
      <c r="R4" s="79" t="s">
        <v>47</v>
      </c>
      <c r="W4" s="15"/>
    </row>
    <row r="5" spans="1:23" s="24" customFormat="1" ht="30.6" customHeight="1" x14ac:dyDescent="0.25">
      <c r="A5" s="73"/>
      <c r="B5" s="80" t="s">
        <v>43</v>
      </c>
      <c r="C5" s="81" t="str">
        <f>IF(COUNTA(Calendar!E50:H50)=0,"",$B$5)</f>
        <v/>
      </c>
      <c r="D5" s="82" t="str">
        <f>IF(COUNTA(Calendar!I50:L50)=0,"",$B$5)</f>
        <v>EcoVadis Assessment</v>
      </c>
      <c r="E5" s="82" t="str">
        <f>IF(COUNTA(Calendar!M50:Q50)=0,"",$B$5)</f>
        <v/>
      </c>
      <c r="F5" s="82" t="str">
        <f>IF(COUNTA(Calendar!R50:U50)=0,"",$B$5)</f>
        <v/>
      </c>
      <c r="G5" s="82" t="str">
        <f>IF(COUNTA(Calendar!V50:Z50)=0,"",$B$5)</f>
        <v/>
      </c>
      <c r="H5" s="82" t="str">
        <f>IF(COUNTA(Calendar!AA50:AD50)=0,"",$B$5)</f>
        <v/>
      </c>
      <c r="I5" s="82" t="str">
        <f>IF(COUNTA(Calendar!AE50:AH50)=0,"",$B$5)</f>
        <v/>
      </c>
      <c r="J5" s="82" t="str">
        <f>IF(COUNTA(Calendar!AI50:AM50)=0,"",$B$5)</f>
        <v>EcoVadis Assessment</v>
      </c>
      <c r="K5" s="82" t="str">
        <f>IF(COUNTA(Calendar!AN50:AQ50)=0,"",$B$5)</f>
        <v/>
      </c>
      <c r="L5" s="82" t="str">
        <f>IF(COUNTA(Calendar!AR50:AV50)=0,"",$B$5)</f>
        <v/>
      </c>
      <c r="M5" s="82" t="str">
        <f>IF(COUNTA(Calendar!AW50:AZ50)=0,"",$B$5)</f>
        <v/>
      </c>
      <c r="N5" s="82" t="str">
        <f>IF(COUNTA(Calendar!BA50:BD50)=0,"",$B$5)</f>
        <v/>
      </c>
      <c r="O5" s="73"/>
      <c r="P5" s="83" t="s">
        <v>43</v>
      </c>
      <c r="Q5" s="84">
        <f t="shared" ref="Q5:R14" si="0">IF(Q21="","",Q21)</f>
        <v>5</v>
      </c>
      <c r="R5" s="85" t="str">
        <f t="shared" si="0"/>
        <v/>
      </c>
      <c r="W5" s="25"/>
    </row>
    <row r="6" spans="1:23" s="24" customFormat="1" ht="30.6" customHeight="1" x14ac:dyDescent="0.25">
      <c r="A6" s="73"/>
      <c r="B6" s="86" t="s">
        <v>41</v>
      </c>
      <c r="C6" s="87" t="str">
        <f>IF(COUNTA(Calendar!E52:H52)=0,"",$B$6)</f>
        <v/>
      </c>
      <c r="D6" s="88" t="str">
        <f>IF(COUNTA(Calendar!I52:L52)=0,"",$B$6)</f>
        <v/>
      </c>
      <c r="E6" s="88" t="str">
        <f>IF(COUNTA(Calendar!M52:Q52)=0,"",$B$6)</f>
        <v>ASI</v>
      </c>
      <c r="F6" s="88" t="str">
        <f>IF(COUNTA(Calendar!R52:U52)=0,"",$B$6)</f>
        <v/>
      </c>
      <c r="G6" s="88" t="str">
        <f>IF(COUNTA(Calendar!V52:Z52)=0,"",$B$6)</f>
        <v/>
      </c>
      <c r="H6" s="88" t="str">
        <f>IF(COUNTA(Calendar!AA52:AD52)=0,"",$B$6)</f>
        <v/>
      </c>
      <c r="I6" s="88" t="str">
        <f>IF(COUNTA(Calendar!AE52:AH52)=0,"",$B$6)</f>
        <v/>
      </c>
      <c r="J6" s="88" t="str">
        <f>IF(COUNTA(Calendar!AI52:AM52)=0,"",$B$6)</f>
        <v>ASI</v>
      </c>
      <c r="K6" s="88" t="str">
        <f>IF(COUNTA(Calendar!AN52:AQ52)=0,"",$B$6)</f>
        <v/>
      </c>
      <c r="L6" s="88" t="str">
        <f>IF(COUNTA(Calendar!AR52:AV52)=0,"",$B$6)</f>
        <v/>
      </c>
      <c r="M6" s="88" t="str">
        <f>IF(COUNTA(Calendar!AW52:AZ52)=0,"",$B$6)</f>
        <v/>
      </c>
      <c r="N6" s="88" t="str">
        <f>IF(COUNTA(Calendar!BA52:BD52)=0,"",$B$6)</f>
        <v/>
      </c>
      <c r="O6" s="73"/>
      <c r="P6" s="89" t="s">
        <v>41</v>
      </c>
      <c r="Q6" s="84">
        <f t="shared" si="0"/>
        <v>2</v>
      </c>
      <c r="R6" s="85">
        <f t="shared" si="0"/>
        <v>1</v>
      </c>
      <c r="W6" s="25"/>
    </row>
    <row r="7" spans="1:23" s="24" customFormat="1" ht="30.6" customHeight="1" x14ac:dyDescent="0.25">
      <c r="A7" s="73"/>
      <c r="B7" s="86" t="s">
        <v>13</v>
      </c>
      <c r="C7" s="87" t="str">
        <f>IF(COUNTA(Calendar!E54:H54)=0,"",$B$7)</f>
        <v/>
      </c>
      <c r="D7" s="88" t="str">
        <f>IF(COUNTA(Calendar!I54:L54)=0,"",$B$7)</f>
        <v/>
      </c>
      <c r="E7" s="88" t="str">
        <f>IF(COUNTA(Calendar!M54:Q54)=0,"",$B$7)</f>
        <v/>
      </c>
      <c r="F7" s="88" t="str">
        <f>IF(COUNTA(Calendar!R54:U54)=0,"",$B$7)</f>
        <v/>
      </c>
      <c r="G7" s="88" t="str">
        <f>IF(COUNTA(Calendar!W54:Z54)=0,"",$B$7)</f>
        <v>ISO 9001</v>
      </c>
      <c r="H7" s="88" t="str">
        <f>IF(COUNTA(Calendar!AA54:AD54)=0,"",$B$7)</f>
        <v/>
      </c>
      <c r="I7" s="88" t="str">
        <f>IF(COUNTA(Calendar!AE54:AH54)=0,"",$B$7)</f>
        <v/>
      </c>
      <c r="J7" s="88" t="str">
        <f>IF(COUNTA(Calendar!AI54:AM54)=0,"",$B$7)</f>
        <v/>
      </c>
      <c r="K7" s="88" t="str">
        <f>IF(COUNTA(Calendar!AN54:AQ54)=0,"",$B$7)</f>
        <v/>
      </c>
      <c r="L7" s="88" t="str">
        <f>IF(COUNTA(Calendar!AR54:AV54)=0,"",$B$7)</f>
        <v/>
      </c>
      <c r="M7" s="88" t="str">
        <f>IF(COUNTA(Calendar!AW54:AZ54)=0,"",$B$7)</f>
        <v/>
      </c>
      <c r="N7" s="88" t="str">
        <f>IF(COUNTA(Calendar!BA54:BD54)=0,"",$B$7)</f>
        <v/>
      </c>
      <c r="O7" s="73"/>
      <c r="P7" s="89" t="s">
        <v>13</v>
      </c>
      <c r="Q7" s="84">
        <f t="shared" si="0"/>
        <v>1</v>
      </c>
      <c r="R7" s="85" t="str">
        <f t="shared" si="0"/>
        <v/>
      </c>
      <c r="W7" s="25"/>
    </row>
    <row r="8" spans="1:23" s="24" customFormat="1" ht="30.6" customHeight="1" x14ac:dyDescent="0.25">
      <c r="A8" s="73"/>
      <c r="B8" s="86" t="s">
        <v>14</v>
      </c>
      <c r="C8" s="87" t="str">
        <f>IF(COUNTA(Calendar!E56:H56)=0,"",$B$8)</f>
        <v/>
      </c>
      <c r="D8" s="88" t="str">
        <f>IF(COUNTA(Calendar!I56:L56)=0,"",$B$8)</f>
        <v/>
      </c>
      <c r="E8" s="88" t="str">
        <f>IF(COUNTA(Calendar!M56:Q56)=0,"",$B$8)</f>
        <v/>
      </c>
      <c r="F8" s="88" t="str">
        <f>IF(COUNTA(Calendar!R56:U56)=0,"",$B$8)</f>
        <v/>
      </c>
      <c r="G8" s="88" t="str">
        <f>IF(COUNTA(Calendar!V56:Z56)=0,"",$B$8)</f>
        <v/>
      </c>
      <c r="H8" s="88" t="str">
        <f>IF(COUNTA(Calendar!AA56:AD56)=0,"",$B$8)</f>
        <v/>
      </c>
      <c r="I8" s="88" t="str">
        <f>IF(COUNTA(Calendar!AE56:AH56)=0,"",$B$8)</f>
        <v/>
      </c>
      <c r="J8" s="88" t="str">
        <f>IF(COUNTA(Calendar!AI56:AM56)=0,"",$B$8)</f>
        <v/>
      </c>
      <c r="K8" s="88" t="str">
        <f>IF(COUNTA(Calendar!AN56:AQ56)=0,"",$B$8)</f>
        <v/>
      </c>
      <c r="L8" s="88" t="str">
        <f>IF(COUNTA(Calendar!AR56:AV56)=0,"",$B$8)</f>
        <v/>
      </c>
      <c r="M8" s="88" t="str">
        <f>IF(COUNTA(Calendar!AW56:AZ56)=0,"",$B$8)</f>
        <v>ISO 14001</v>
      </c>
      <c r="N8" s="88" t="str">
        <f>IF(COUNTA(Calendar!BA56:BD56)=0,"",$B$8)</f>
        <v/>
      </c>
      <c r="O8" s="73"/>
      <c r="P8" s="89" t="s">
        <v>14</v>
      </c>
      <c r="Q8" s="84">
        <f t="shared" si="0"/>
        <v>1</v>
      </c>
      <c r="R8" s="85" t="str">
        <f t="shared" si="0"/>
        <v/>
      </c>
      <c r="W8" s="25"/>
    </row>
    <row r="9" spans="1:23" s="24" customFormat="1" ht="30.6" customHeight="1" x14ac:dyDescent="0.25">
      <c r="A9" s="73"/>
      <c r="B9" s="86" t="s">
        <v>15</v>
      </c>
      <c r="C9" s="87" t="str">
        <f>IF(COUNTA(Calendar!E58:H58)=0,"",$B$9)</f>
        <v/>
      </c>
      <c r="D9" s="88" t="str">
        <f>IF(COUNTA(Calendar!I58:L58)=0,"",$B$9)</f>
        <v/>
      </c>
      <c r="E9" s="88" t="str">
        <f>IF(COUNTA(Calendar!M58:Q58)=0,"",$B$9)</f>
        <v>IATF 16949</v>
      </c>
      <c r="F9" s="88" t="str">
        <f>IF(COUNTA(Calendar!R58:U58)=0,"",$B$9)</f>
        <v/>
      </c>
      <c r="G9" s="88" t="str">
        <f>IF(COUNTA(Calendar!V58:Z58)=0,"",$B$9)</f>
        <v/>
      </c>
      <c r="H9" s="88" t="str">
        <f>IF(COUNTA(Calendar!AA58:AD58)=0,"",$B$9)</f>
        <v/>
      </c>
      <c r="I9" s="88" t="str">
        <f>IF(COUNTA(Calendar!AE58:AH58)=0,"",$B$9)</f>
        <v/>
      </c>
      <c r="J9" s="88" t="str">
        <f>IF(COUNTA(Calendar!AI58:AM58)=0,"",$B$9)</f>
        <v/>
      </c>
      <c r="K9" s="88" t="str">
        <f>IF(COUNTA(Calendar!AN58:AQ58)=0,"",$B$9)</f>
        <v>IATF 16949</v>
      </c>
      <c r="L9" s="88" t="str">
        <f>IF(COUNTA(Calendar!AR58:AV58)=0,"",$B$9)</f>
        <v>IATF 16949</v>
      </c>
      <c r="M9" s="88" t="str">
        <f>IF(COUNTA(Calendar!AW58:AZ58)=0,"",$B$9)</f>
        <v/>
      </c>
      <c r="N9" s="88" t="str">
        <f>IF(COUNTA(Calendar!BA58:BD58)=0,"",$B$9)</f>
        <v/>
      </c>
      <c r="O9" s="73"/>
      <c r="P9" s="89" t="s">
        <v>15</v>
      </c>
      <c r="Q9" s="84">
        <f t="shared" si="0"/>
        <v>3</v>
      </c>
      <c r="R9" s="85">
        <f t="shared" si="0"/>
        <v>1</v>
      </c>
      <c r="W9" s="25"/>
    </row>
    <row r="10" spans="1:23" s="24" customFormat="1" ht="30.6" customHeight="1" x14ac:dyDescent="0.25">
      <c r="A10" s="73"/>
      <c r="B10" s="86" t="s">
        <v>16</v>
      </c>
      <c r="C10" s="87" t="str">
        <f>IF(COUNTA(Calendar!E60:H60)=0,"",$B$10)</f>
        <v/>
      </c>
      <c r="D10" s="88" t="str">
        <f>IF(COUNTA(Calendar!I60:L60)=0,"",$B$10)</f>
        <v/>
      </c>
      <c r="E10" s="88" t="str">
        <f>IF(COUNTA(Calendar!M60:Q60)=0,"",$B$10)</f>
        <v/>
      </c>
      <c r="F10" s="88" t="str">
        <f>IF(COUNTA(Calendar!R60:U60)=0,"",$B$10)</f>
        <v/>
      </c>
      <c r="G10" s="88" t="str">
        <f>IF(COUNTA(Calendar!V60:Z60)=0,"",$B$10)</f>
        <v/>
      </c>
      <c r="H10" s="88" t="str">
        <f>IF(COUNTA(Calendar!AA60:AD60)=0,"",$B$10)</f>
        <v>VDA 6.3 Process</v>
      </c>
      <c r="I10" s="88" t="str">
        <f>IF(COUNTA(Calendar!AE60:AH60)=0,"",$B$10)</f>
        <v/>
      </c>
      <c r="J10" s="88" t="str">
        <f>IF(COUNTA(Calendar!AI60:AM60)=0,"",$B$10)</f>
        <v/>
      </c>
      <c r="K10" s="88" t="str">
        <f>IF(COUNTA(Calendar!AN60:AQ60)=0,"",$B$10)</f>
        <v/>
      </c>
      <c r="L10" s="88" t="str">
        <f>IF(COUNTA(Calendar!AR60:AV60)=0,"",$B$10)</f>
        <v/>
      </c>
      <c r="M10" s="88" t="str">
        <f>IF(COUNTA(Calendar!AW60:AZ60)=0,"",$B$10)</f>
        <v/>
      </c>
      <c r="N10" s="88" t="str">
        <f>IF(COUNTA(Calendar!BA60:BD60)=0,"",$B$10)</f>
        <v/>
      </c>
      <c r="O10" s="73"/>
      <c r="P10" s="89" t="s">
        <v>16</v>
      </c>
      <c r="Q10" s="84">
        <f t="shared" si="0"/>
        <v>1</v>
      </c>
      <c r="R10" s="85" t="str">
        <f t="shared" si="0"/>
        <v/>
      </c>
      <c r="W10" s="25"/>
    </row>
    <row r="11" spans="1:23" s="24" customFormat="1" ht="32.1" customHeight="1" x14ac:dyDescent="0.25">
      <c r="A11" s="73"/>
      <c r="B11" s="90" t="s">
        <v>81</v>
      </c>
      <c r="C11" s="87" t="str">
        <f>IF(COUNTA(Calendar!E62:H62)=0,"",$B$11)</f>
        <v/>
      </c>
      <c r="D11" s="88" t="str">
        <f>IF(COUNTA(Calendar!I62:L62)=0,"",$B$11)</f>
        <v/>
      </c>
      <c r="E11" s="88" t="str">
        <f>IF(COUNTA(Calendar!M62:Q62)=0,"",$B$11)</f>
        <v/>
      </c>
      <c r="F11" s="88" t="str">
        <f>IF(COUNTA(Calendar!R62:U62)=0,"",$B$11)</f>
        <v>VDA 6.3  (Moldshop)</v>
      </c>
      <c r="G11" s="88" t="str">
        <f>IF(COUNTA(Calendar!V62:Z62)=0,"",$B$11)</f>
        <v/>
      </c>
      <c r="H11" s="88" t="str">
        <f>IF(COUNTA(Calendar!AA62:AD62)=0,"",$B$11)</f>
        <v/>
      </c>
      <c r="I11" s="88" t="str">
        <f>IF(COUNTA(Calendar!AE62:AH62)=0,"",$B$11)</f>
        <v/>
      </c>
      <c r="J11" s="88" t="str">
        <f>IF(COUNTA(Calendar!AI62:AM62)=0,"",$B$11)</f>
        <v/>
      </c>
      <c r="K11" s="88" t="str">
        <f>IF(COUNTA(Calendar!AN62:AQ62)=0,"",$B$11)</f>
        <v/>
      </c>
      <c r="L11" s="88" t="str">
        <f>IF(COUNTA(Calendar!AR62:AV62)=0,"",$B$11)</f>
        <v/>
      </c>
      <c r="M11" s="88" t="str">
        <f>IF(COUNTA(Calendar!AW62:AZ62)=0,"",$B$11)</f>
        <v/>
      </c>
      <c r="N11" s="88" t="str">
        <f>IF(COUNTA(Calendar!BA62:BD62)=0,"",$B$11)</f>
        <v/>
      </c>
      <c r="O11" s="73"/>
      <c r="P11" s="89" t="s">
        <v>81</v>
      </c>
      <c r="Q11" s="84">
        <f t="shared" si="0"/>
        <v>1</v>
      </c>
      <c r="R11" s="85" t="str">
        <f t="shared" si="0"/>
        <v/>
      </c>
      <c r="W11" s="25"/>
    </row>
    <row r="12" spans="1:23" s="24" customFormat="1" ht="30.6" customHeight="1" x14ac:dyDescent="0.25">
      <c r="A12" s="73"/>
      <c r="B12" s="86" t="s">
        <v>17</v>
      </c>
      <c r="C12" s="87" t="str">
        <f>IF(COUNTA(Calendar!E64:H64)=0,"",$B$12)</f>
        <v/>
      </c>
      <c r="D12" s="88" t="str">
        <f>IF(COUNTA(Calendar!I64:M64)=0,"",$B$12)</f>
        <v>VDA 6.5 Product</v>
      </c>
      <c r="E12" s="88" t="str">
        <f>IF(COUNTA(Calendar!M64:Q64)=0,"",$B$12)</f>
        <v/>
      </c>
      <c r="F12" s="88" t="str">
        <f>IF(COUNTA(Calendar!R64:U64)=0,"",$B$12)</f>
        <v/>
      </c>
      <c r="G12" s="88" t="str">
        <f>IF(COUNTA(Calendar!V64:Z64)=0,"",$B$12)</f>
        <v/>
      </c>
      <c r="H12" s="88" t="str">
        <f>IF(COUNTA(Calendar!AA64:AD64)=0,"",$B$12)</f>
        <v/>
      </c>
      <c r="I12" s="88" t="str">
        <f>IF(COUNTA(Calendar!AE64:AH64)=0,"",$B$12)</f>
        <v>VDA 6.5 Product</v>
      </c>
      <c r="J12" s="88" t="str">
        <f>IF(COUNTA(Calendar!AI64:AM64)=0,"",$B$12)</f>
        <v/>
      </c>
      <c r="K12" s="88" t="str">
        <f>IF(COUNTA(Calendar!AN64:AQ64)=0,"",$B$12)</f>
        <v/>
      </c>
      <c r="L12" s="88" t="str">
        <f>IF(COUNTA(Calendar!AR64:AV64)=0,"",$B$12)</f>
        <v/>
      </c>
      <c r="M12" s="88" t="str">
        <f>IF(COUNTA(Calendar!AW64:AZ64)=0,"",$B$12)</f>
        <v/>
      </c>
      <c r="N12" s="88" t="str">
        <f>IF(COUNTA(Calendar!BA64:BD64)=0,"",$B$12)</f>
        <v>VDA 6.5 Product</v>
      </c>
      <c r="O12" s="73"/>
      <c r="P12" s="89" t="s">
        <v>17</v>
      </c>
      <c r="Q12" s="84">
        <f t="shared" si="0"/>
        <v>3</v>
      </c>
      <c r="R12" s="85" t="str">
        <f t="shared" si="0"/>
        <v/>
      </c>
      <c r="W12" s="25"/>
    </row>
    <row r="13" spans="1:23" s="24" customFormat="1" ht="30.6" customHeight="1" x14ac:dyDescent="0.25">
      <c r="A13" s="73"/>
      <c r="B13" s="86" t="s">
        <v>40</v>
      </c>
      <c r="C13" s="87" t="str">
        <f>IF(COUNTA(Calendar!E66:H66)=0,"",$B$13)</f>
        <v/>
      </c>
      <c r="D13" s="88" t="str">
        <f>IF(COUNTA(Calendar!I66:L66)=0,"",$B$13)</f>
        <v/>
      </c>
      <c r="E13" s="88" t="str">
        <f>IF(COUNTA(Calendar!M66:Q66)=0,"",$B$13)</f>
        <v/>
      </c>
      <c r="F13" s="88" t="str">
        <f>IF(COUNTA(Calendar!R66:U66)=0,"",$B$13)</f>
        <v/>
      </c>
      <c r="G13" s="88" t="str">
        <f>IF(COUNTA(Calendar!V66:Z66)=0,"",$B$13)</f>
        <v/>
      </c>
      <c r="H13" s="88" t="str">
        <f>IF(COUNTA(Calendar!AA66:AD66)=0,"",$B$13)</f>
        <v/>
      </c>
      <c r="I13" s="88" t="str">
        <f>IF(COUNTA(Calendar!AE66:AH66)=0,"",$B$13)</f>
        <v/>
      </c>
      <c r="J13" s="88" t="str">
        <f>IF(COUNTA(Calendar!AI66:AM66)=0,"",$B$13)</f>
        <v/>
      </c>
      <c r="K13" s="88" t="str">
        <f>IF(COUNTA(Calendar!AN66:AQ66)=0,"",$B$13)</f>
        <v>Supplier</v>
      </c>
      <c r="L13" s="88" t="str">
        <f>IF(COUNTA(Calendar!AR66:AV66)=0,"",$B$13)</f>
        <v/>
      </c>
      <c r="M13" s="88" t="str">
        <f>IF(COUNTA(Calendar!AW66:AZ66)=0,"",$B$13)</f>
        <v/>
      </c>
      <c r="N13" s="88" t="str">
        <f>IF(COUNTA(Calendar!BA66:BD66)=0,"",$B$13)</f>
        <v/>
      </c>
      <c r="O13" s="73"/>
      <c r="P13" s="89" t="s">
        <v>40</v>
      </c>
      <c r="Q13" s="84">
        <f t="shared" si="0"/>
        <v>1</v>
      </c>
      <c r="R13" s="85" t="str">
        <f t="shared" si="0"/>
        <v/>
      </c>
      <c r="W13" s="25"/>
    </row>
    <row r="14" spans="1:23" s="24" customFormat="1" ht="30.6" customHeight="1" x14ac:dyDescent="0.25">
      <c r="A14" s="73"/>
      <c r="B14" s="91" t="s">
        <v>49</v>
      </c>
      <c r="C14" s="92" t="str">
        <f>IF(COUNTA(Calendar!E68:H68)=0,"",$B$14)</f>
        <v>CO2 Emissions</v>
      </c>
      <c r="D14" s="93" t="str">
        <f>IF(COUNTA(Calendar!I68:L68)=0,"",$B$14)</f>
        <v/>
      </c>
      <c r="E14" s="93" t="str">
        <f>IF(COUNTA(Calendar!M68:Q68)=0,"",$B$14)</f>
        <v/>
      </c>
      <c r="F14" s="93" t="str">
        <f>IF(COUNTA(Calendar!R68:U68)=0,"",$B$14)</f>
        <v/>
      </c>
      <c r="G14" s="93" t="str">
        <f>IF(COUNTA(Calendar!V68:Z68)=0,"",$B$14)</f>
        <v/>
      </c>
      <c r="H14" s="93" t="str">
        <f>IF(COUNTA(Calendar!AA68:AD68)=0,"",$B$14)</f>
        <v/>
      </c>
      <c r="I14" s="93" t="str">
        <f>IF(COUNTA(Calendar!AE68:AH68)=0,"",$B$14)</f>
        <v/>
      </c>
      <c r="J14" s="93" t="str">
        <f>IF(COUNTA(Calendar!AI68:AM68)=0,"",$B$14)</f>
        <v/>
      </c>
      <c r="K14" s="93" t="str">
        <f>IF(COUNTA(Calendar!AN68:AQ68)=0,"",$B$14)</f>
        <v/>
      </c>
      <c r="L14" s="93" t="str">
        <f>IF(COUNTA(Calendar!AR68:AV68)=0,"",$B$14)</f>
        <v/>
      </c>
      <c r="M14" s="93" t="str">
        <f>IF(COUNTA(Calendar!AW68:AZ68)=0,"",$B$14)</f>
        <v/>
      </c>
      <c r="N14" s="93" t="str">
        <f>IF(COUNTA(Calendar!BA68:BD68)=0,"",$B$14)</f>
        <v/>
      </c>
      <c r="O14" s="73"/>
      <c r="P14" s="94" t="s">
        <v>49</v>
      </c>
      <c r="Q14" s="84">
        <f t="shared" si="0"/>
        <v>1</v>
      </c>
      <c r="R14" s="85" t="str">
        <f t="shared" si="0"/>
        <v/>
      </c>
      <c r="W14" s="25"/>
    </row>
    <row r="15" spans="1:23" s="24" customFormat="1" ht="30.6" customHeight="1" x14ac:dyDescent="0.25">
      <c r="A15" s="73"/>
      <c r="B15" s="73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73"/>
      <c r="P15" s="77" t="s">
        <v>48</v>
      </c>
      <c r="Q15" s="78">
        <f>SUM(Q5:Q14)</f>
        <v>19</v>
      </c>
      <c r="R15" s="79">
        <f>SUM(R5:R14)</f>
        <v>2</v>
      </c>
      <c r="W15" s="25"/>
    </row>
    <row r="16" spans="1:23" ht="21" x14ac:dyDescent="0.35">
      <c r="B16" s="22"/>
      <c r="F16"/>
      <c r="G16"/>
      <c r="I16"/>
    </row>
    <row r="17" spans="3:22" x14ac:dyDescent="0.25">
      <c r="C17"/>
      <c r="F17"/>
      <c r="G17"/>
      <c r="I17"/>
    </row>
    <row r="18" spans="3:22" x14ac:dyDescent="0.25">
      <c r="C18"/>
      <c r="F18"/>
      <c r="G18"/>
      <c r="I18"/>
    </row>
    <row r="19" spans="3:22" ht="18.95" customHeight="1" x14ac:dyDescent="0.25">
      <c r="K19" s="55"/>
      <c r="L19" s="55"/>
      <c r="M19" s="55"/>
      <c r="P19" s="172" t="s">
        <v>112</v>
      </c>
      <c r="Q19" s="173"/>
      <c r="R19" s="174"/>
      <c r="T19" s="172" t="s">
        <v>76</v>
      </c>
      <c r="U19" s="173"/>
      <c r="V19" s="174"/>
    </row>
    <row r="20" spans="3:22" ht="30.4" customHeight="1" x14ac:dyDescent="0.25">
      <c r="K20" s="56"/>
      <c r="L20" s="57"/>
      <c r="M20" s="57"/>
      <c r="P20" s="18" t="s">
        <v>37</v>
      </c>
      <c r="Q20" s="19" t="s">
        <v>36</v>
      </c>
      <c r="R20" s="19" t="s">
        <v>38</v>
      </c>
      <c r="T20" s="17" t="s">
        <v>34</v>
      </c>
      <c r="U20" s="19" t="s">
        <v>36</v>
      </c>
      <c r="V20" s="19" t="s">
        <v>38</v>
      </c>
    </row>
    <row r="21" spans="3:22" ht="18" customHeight="1" x14ac:dyDescent="0.25">
      <c r="K21" s="58"/>
      <c r="L21" s="59"/>
      <c r="M21" s="59"/>
      <c r="P21" s="7" t="s">
        <v>43</v>
      </c>
      <c r="Q21" s="4">
        <f>COUNTA(Calendar!E50:BD50)</f>
        <v>5</v>
      </c>
      <c r="R21" s="4"/>
      <c r="T21" s="7" t="s">
        <v>1</v>
      </c>
      <c r="U21" s="4">
        <v>1</v>
      </c>
      <c r="V21" s="4"/>
    </row>
    <row r="22" spans="3:22" ht="18" customHeight="1" x14ac:dyDescent="0.25">
      <c r="K22" s="58"/>
      <c r="L22" s="59"/>
      <c r="M22" s="59"/>
      <c r="P22" s="7" t="s">
        <v>41</v>
      </c>
      <c r="Q22" s="4">
        <f>COUNTA(Calendar!E52:BD52)</f>
        <v>2</v>
      </c>
      <c r="R22" s="97">
        <v>1</v>
      </c>
      <c r="T22" s="7" t="s">
        <v>2</v>
      </c>
      <c r="U22" s="4">
        <v>4</v>
      </c>
      <c r="V22" s="4"/>
    </row>
    <row r="23" spans="3:22" ht="18" customHeight="1" x14ac:dyDescent="0.25">
      <c r="K23" s="58"/>
      <c r="L23" s="59"/>
      <c r="M23" s="59"/>
      <c r="P23" s="7" t="s">
        <v>13</v>
      </c>
      <c r="Q23" s="4">
        <f>COUNTA(Calendar!E54:BD54)</f>
        <v>1</v>
      </c>
      <c r="R23" s="4"/>
      <c r="T23" s="7" t="s">
        <v>3</v>
      </c>
      <c r="U23" s="4">
        <v>4</v>
      </c>
      <c r="V23" s="4"/>
    </row>
    <row r="24" spans="3:22" ht="18" customHeight="1" x14ac:dyDescent="0.25">
      <c r="K24" s="58"/>
      <c r="L24" s="59"/>
      <c r="M24" s="59"/>
      <c r="P24" s="7" t="s">
        <v>14</v>
      </c>
      <c r="Q24" s="4">
        <f>COUNTA(Calendar!E56:BD56)</f>
        <v>1</v>
      </c>
      <c r="R24" s="4"/>
      <c r="T24" s="7" t="s">
        <v>4</v>
      </c>
      <c r="U24" s="4">
        <v>1</v>
      </c>
      <c r="V24" s="4"/>
    </row>
    <row r="25" spans="3:22" ht="18" customHeight="1" x14ac:dyDescent="0.25">
      <c r="K25" s="58"/>
      <c r="L25" s="59"/>
      <c r="M25" s="59"/>
      <c r="P25" s="7" t="s">
        <v>15</v>
      </c>
      <c r="Q25" s="4">
        <f>COUNTA(Calendar!E58:BD58)</f>
        <v>3</v>
      </c>
      <c r="R25" s="97">
        <v>1</v>
      </c>
      <c r="T25" s="7" t="s">
        <v>5</v>
      </c>
      <c r="U25" s="4">
        <v>1</v>
      </c>
      <c r="V25" s="4">
        <v>1</v>
      </c>
    </row>
    <row r="26" spans="3:22" ht="18" customHeight="1" x14ac:dyDescent="0.25">
      <c r="K26" s="58"/>
      <c r="L26" s="59"/>
      <c r="M26" s="59"/>
      <c r="P26" s="7" t="s">
        <v>16</v>
      </c>
      <c r="Q26" s="4">
        <f>COUNTA(Calendar!E60:BD60)</f>
        <v>1</v>
      </c>
      <c r="R26" s="4"/>
      <c r="T26" s="7" t="s">
        <v>6</v>
      </c>
      <c r="U26" s="4">
        <v>1</v>
      </c>
      <c r="V26" s="4"/>
    </row>
    <row r="27" spans="3:22" ht="18" customHeight="1" x14ac:dyDescent="0.25">
      <c r="K27" s="58"/>
      <c r="L27" s="59"/>
      <c r="M27" s="59"/>
      <c r="P27" s="54" t="s">
        <v>80</v>
      </c>
      <c r="Q27" s="4">
        <f>COUNTA(Calendar!E62:BD62)</f>
        <v>1</v>
      </c>
      <c r="R27" s="4"/>
      <c r="T27" s="7" t="s">
        <v>7</v>
      </c>
      <c r="U27" s="4">
        <f>COUNTA(Calendar!AE27:AH46)</f>
        <v>0</v>
      </c>
      <c r="V27" s="4"/>
    </row>
    <row r="28" spans="3:22" ht="18" customHeight="1" x14ac:dyDescent="0.25">
      <c r="K28" s="58"/>
      <c r="L28" s="59"/>
      <c r="M28" s="59"/>
      <c r="P28" s="7" t="s">
        <v>17</v>
      </c>
      <c r="Q28" s="4">
        <f>COUNTA(Calendar!E64:BD64)</f>
        <v>3</v>
      </c>
      <c r="R28" s="4"/>
      <c r="T28" s="7" t="s">
        <v>8</v>
      </c>
      <c r="U28" s="4">
        <f>COUNTA(Calendar!AI27:AM46)</f>
        <v>4</v>
      </c>
      <c r="V28" s="4"/>
    </row>
    <row r="29" spans="3:22" ht="18" customHeight="1" x14ac:dyDescent="0.25">
      <c r="K29" s="58"/>
      <c r="L29" s="59"/>
      <c r="M29" s="59"/>
      <c r="P29" s="7" t="s">
        <v>40</v>
      </c>
      <c r="Q29" s="4">
        <f>COUNTA(Calendar!E66:BD66)</f>
        <v>1</v>
      </c>
      <c r="R29" s="4"/>
      <c r="T29" s="7" t="s">
        <v>9</v>
      </c>
      <c r="U29" s="4">
        <f>COUNTA(Calendar!AN27:AQ46)</f>
        <v>0</v>
      </c>
      <c r="V29" s="4"/>
    </row>
    <row r="30" spans="3:22" ht="18" customHeight="1" x14ac:dyDescent="0.25">
      <c r="K30" s="56"/>
      <c r="L30" s="60"/>
      <c r="M30" s="60"/>
      <c r="P30" s="7" t="s">
        <v>18</v>
      </c>
      <c r="Q30" s="4">
        <f>COUNTA(Calendar!E68:BD68)</f>
        <v>1</v>
      </c>
      <c r="R30" s="4"/>
      <c r="T30" s="7" t="s">
        <v>10</v>
      </c>
      <c r="U30" s="4">
        <f>COUNTA(Calendar!AR27:AV46)</f>
        <v>2</v>
      </c>
      <c r="V30" s="4">
        <v>1</v>
      </c>
    </row>
    <row r="31" spans="3:22" ht="18" customHeight="1" x14ac:dyDescent="0.25">
      <c r="P31" s="18" t="s">
        <v>35</v>
      </c>
      <c r="Q31" s="17">
        <f>SUM(Q21:Q30)</f>
        <v>19</v>
      </c>
      <c r="R31" s="17">
        <f>SUM(R21:R30)</f>
        <v>2</v>
      </c>
      <c r="T31" s="7" t="s">
        <v>11</v>
      </c>
      <c r="U31" s="4">
        <f>COUNTA(Calendar!AW27:AZ46)</f>
        <v>2</v>
      </c>
      <c r="V31" s="4"/>
    </row>
    <row r="32" spans="3:22" ht="18" customHeight="1" x14ac:dyDescent="0.25">
      <c r="Q32" s="15"/>
      <c r="R32" s="23" t="s">
        <v>45</v>
      </c>
      <c r="T32" s="7" t="s">
        <v>12</v>
      </c>
      <c r="U32" s="4">
        <f>COUNTA(Calendar!BA27:BD46)</f>
        <v>2</v>
      </c>
      <c r="V32" s="4"/>
    </row>
    <row r="33" spans="20:22" ht="18" customHeight="1" x14ac:dyDescent="0.25">
      <c r="T33" s="18" t="s">
        <v>35</v>
      </c>
      <c r="U33" s="17">
        <f>SUM(U21:U32)</f>
        <v>22</v>
      </c>
      <c r="V33" s="17">
        <f>SUM(V21:V32)</f>
        <v>2</v>
      </c>
    </row>
    <row r="34" spans="20:22" ht="18" customHeight="1" x14ac:dyDescent="0.25">
      <c r="T34" s="15"/>
      <c r="U34" s="15"/>
      <c r="V34" s="23" t="s">
        <v>45</v>
      </c>
    </row>
  </sheetData>
  <mergeCells count="3">
    <mergeCell ref="P3:R3"/>
    <mergeCell ref="T19:V19"/>
    <mergeCell ref="P19:R19"/>
  </mergeCells>
  <conditionalFormatting sqref="B5:N14">
    <cfRule type="cellIs" dxfId="19" priority="84" operator="equal">
      <formula>$B$14</formula>
    </cfRule>
    <cfRule type="cellIs" dxfId="18" priority="85" operator="equal">
      <formula>$B$13</formula>
    </cfRule>
    <cfRule type="cellIs" dxfId="17" priority="86" operator="equal">
      <formula>$B$12</formula>
    </cfRule>
    <cfRule type="cellIs" dxfId="16" priority="87" operator="equal">
      <formula>$B$10</formula>
    </cfRule>
    <cfRule type="cellIs" dxfId="15" priority="88" operator="equal">
      <formula>$B$9</formula>
    </cfRule>
    <cfRule type="cellIs" dxfId="14" priority="89" operator="equal">
      <formula>$B$8</formula>
    </cfRule>
    <cfRule type="cellIs" dxfId="13" priority="90" operator="equal">
      <formula>$B$7</formula>
    </cfRule>
    <cfRule type="cellIs" dxfId="12" priority="91" operator="equal">
      <formula>$B$6</formula>
    </cfRule>
    <cfRule type="cellIs" dxfId="11" priority="92" operator="equal">
      <formula>$B$5</formula>
    </cfRule>
  </conditionalFormatting>
  <conditionalFormatting sqref="C11:N11 G12:H12">
    <cfRule type="cellIs" dxfId="10" priority="1" operator="equal">
      <formula>"VDA 6.3  (Moldshop)"</formula>
    </cfRule>
  </conditionalFormatting>
  <conditionalFormatting sqref="P5:P14">
    <cfRule type="cellIs" dxfId="9" priority="3" operator="equal">
      <formula>$B$14</formula>
    </cfRule>
    <cfRule type="cellIs" dxfId="8" priority="4" operator="equal">
      <formula>$B$13</formula>
    </cfRule>
    <cfRule type="cellIs" dxfId="7" priority="5" operator="equal">
      <formula>$B$12</formula>
    </cfRule>
    <cfRule type="cellIs" dxfId="6" priority="6" operator="equal">
      <formula>$B$10</formula>
    </cfRule>
    <cfRule type="cellIs" dxfId="5" priority="7" operator="equal">
      <formula>$B$9</formula>
    </cfRule>
    <cfRule type="cellIs" dxfId="4" priority="8" operator="equal">
      <formula>$B$8</formula>
    </cfRule>
    <cfRule type="cellIs" dxfId="3" priority="9" operator="equal">
      <formula>$B$7</formula>
    </cfRule>
    <cfRule type="cellIs" dxfId="2" priority="10" operator="equal">
      <formula>$B$6</formula>
    </cfRule>
    <cfRule type="cellIs" dxfId="1" priority="11" operator="equal">
      <formula>$B$5</formula>
    </cfRule>
  </conditionalFormatting>
  <conditionalFormatting sqref="P11">
    <cfRule type="cellIs" dxfId="0" priority="2" operator="equal">
      <formula>"VDA 6.3  (Moldshop)"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8D18-E2A1-4F9B-AF93-D40DB70A9B4A}">
  <dimension ref="B3:J14"/>
  <sheetViews>
    <sheetView showGridLines="0" zoomScaleNormal="100" workbookViewId="0">
      <selection activeCell="C14" sqref="C14"/>
    </sheetView>
  </sheetViews>
  <sheetFormatPr defaultRowHeight="15" x14ac:dyDescent="0.25"/>
  <cols>
    <col min="1" max="1" width="4.7109375" customWidth="1"/>
    <col min="2" max="2" width="21.5703125" customWidth="1"/>
    <col min="3" max="3" width="50.7109375" bestFit="1" customWidth="1"/>
    <col min="4" max="4" width="11" customWidth="1"/>
    <col min="5" max="5" width="10.7109375" customWidth="1"/>
    <col min="6" max="9" width="12.42578125" customWidth="1"/>
  </cols>
  <sheetData>
    <row r="3" spans="2:10" ht="24.75" customHeight="1" x14ac:dyDescent="0.25">
      <c r="B3" s="175" t="s">
        <v>82</v>
      </c>
      <c r="C3" s="175"/>
      <c r="D3" s="175"/>
      <c r="E3" s="175"/>
      <c r="F3" s="175"/>
      <c r="G3" s="175"/>
      <c r="H3" s="175"/>
      <c r="I3" s="175"/>
      <c r="J3" s="51"/>
    </row>
    <row r="4" spans="2:10" ht="9.75" customHeight="1" x14ac:dyDescent="0.25">
      <c r="C4" s="51"/>
      <c r="D4" s="51"/>
      <c r="E4" s="51"/>
      <c r="F4" s="51"/>
      <c r="G4" s="51"/>
      <c r="H4" s="51"/>
      <c r="I4" s="51"/>
      <c r="J4" s="51"/>
    </row>
    <row r="5" spans="2:10" ht="19.5" customHeight="1" x14ac:dyDescent="0.25">
      <c r="C5" s="51"/>
      <c r="D5" s="176">
        <v>2025</v>
      </c>
      <c r="E5" s="177"/>
      <c r="F5" s="176">
        <v>2026</v>
      </c>
      <c r="G5" s="177"/>
      <c r="H5" s="176">
        <v>2027</v>
      </c>
      <c r="I5" s="177"/>
      <c r="J5" s="51"/>
    </row>
    <row r="6" spans="2:10" ht="20.25" customHeight="1" x14ac:dyDescent="0.25">
      <c r="B6" s="176" t="s">
        <v>83</v>
      </c>
      <c r="C6" s="177"/>
      <c r="D6" s="66" t="s">
        <v>84</v>
      </c>
      <c r="E6" s="66" t="s">
        <v>53</v>
      </c>
      <c r="F6" s="66" t="s">
        <v>84</v>
      </c>
      <c r="G6" s="66" t="s">
        <v>53</v>
      </c>
      <c r="H6" s="66" t="s">
        <v>84</v>
      </c>
      <c r="I6" s="65" t="s">
        <v>53</v>
      </c>
      <c r="J6" s="1"/>
    </row>
    <row r="7" spans="2:10" ht="26.25" customHeight="1" x14ac:dyDescent="0.25">
      <c r="B7" s="178" t="s">
        <v>95</v>
      </c>
      <c r="C7" s="67" t="s">
        <v>98</v>
      </c>
      <c r="D7" s="68">
        <v>45698</v>
      </c>
      <c r="E7" s="69" t="s">
        <v>85</v>
      </c>
      <c r="F7" s="70">
        <v>45671</v>
      </c>
      <c r="G7" s="69" t="s">
        <v>85</v>
      </c>
      <c r="H7" s="70"/>
      <c r="I7" s="68"/>
    </row>
    <row r="8" spans="2:10" ht="26.25" customHeight="1" x14ac:dyDescent="0.25">
      <c r="B8" s="179"/>
      <c r="C8" s="67" t="s">
        <v>86</v>
      </c>
      <c r="D8" s="68">
        <v>45698</v>
      </c>
      <c r="E8" s="69" t="s">
        <v>85</v>
      </c>
      <c r="F8" s="70">
        <v>45671</v>
      </c>
      <c r="G8" s="69" t="s">
        <v>85</v>
      </c>
      <c r="H8" s="70"/>
      <c r="I8" s="68"/>
    </row>
    <row r="9" spans="2:10" ht="26.25" customHeight="1" x14ac:dyDescent="0.25">
      <c r="B9" s="179"/>
      <c r="C9" s="67" t="s">
        <v>87</v>
      </c>
      <c r="D9" s="68">
        <v>45698</v>
      </c>
      <c r="E9" s="69" t="s">
        <v>85</v>
      </c>
      <c r="F9" s="70">
        <v>45671</v>
      </c>
      <c r="G9" s="69" t="s">
        <v>85</v>
      </c>
      <c r="H9" s="70"/>
      <c r="I9" s="68"/>
    </row>
    <row r="10" spans="2:10" ht="26.25" customHeight="1" x14ac:dyDescent="0.25">
      <c r="B10" s="179"/>
      <c r="C10" s="67" t="s">
        <v>88</v>
      </c>
      <c r="D10" s="68">
        <v>45698</v>
      </c>
      <c r="E10" s="69" t="s">
        <v>85</v>
      </c>
      <c r="F10" s="70">
        <v>45671</v>
      </c>
      <c r="G10" s="69" t="s">
        <v>85</v>
      </c>
      <c r="H10" s="70"/>
      <c r="I10" s="68"/>
    </row>
    <row r="11" spans="2:10" ht="26.25" customHeight="1" x14ac:dyDescent="0.25">
      <c r="B11" s="179"/>
      <c r="C11" s="67" t="s">
        <v>86</v>
      </c>
      <c r="D11" s="68">
        <v>45698</v>
      </c>
      <c r="E11" s="69" t="s">
        <v>85</v>
      </c>
      <c r="F11" s="70">
        <v>45671</v>
      </c>
      <c r="G11" s="69" t="s">
        <v>85</v>
      </c>
      <c r="H11" s="70"/>
      <c r="I11" s="68"/>
    </row>
    <row r="12" spans="2:10" ht="26.25" customHeight="1" x14ac:dyDescent="0.25">
      <c r="B12" s="67" t="s">
        <v>89</v>
      </c>
      <c r="C12" s="67" t="s">
        <v>90</v>
      </c>
      <c r="D12" s="68">
        <v>45903</v>
      </c>
      <c r="E12" s="69" t="s">
        <v>85</v>
      </c>
      <c r="F12" s="70">
        <v>45671</v>
      </c>
      <c r="G12" s="69" t="s">
        <v>85</v>
      </c>
      <c r="H12" s="70"/>
      <c r="I12" s="68"/>
    </row>
    <row r="13" spans="2:10" ht="33" customHeight="1" x14ac:dyDescent="0.25">
      <c r="B13" s="71" t="s">
        <v>94</v>
      </c>
      <c r="C13" s="67" t="s">
        <v>91</v>
      </c>
      <c r="D13" s="68">
        <v>45698</v>
      </c>
      <c r="E13" s="69" t="s">
        <v>85</v>
      </c>
      <c r="F13" s="70">
        <v>45671</v>
      </c>
      <c r="G13" s="69" t="s">
        <v>85</v>
      </c>
      <c r="H13" s="70"/>
      <c r="I13" s="68"/>
    </row>
    <row r="14" spans="2:10" ht="33" customHeight="1" x14ac:dyDescent="0.25">
      <c r="B14" s="71" t="s">
        <v>92</v>
      </c>
      <c r="C14" s="67" t="s">
        <v>93</v>
      </c>
      <c r="D14" s="68">
        <v>45698</v>
      </c>
      <c r="E14" s="69" t="s">
        <v>85</v>
      </c>
      <c r="F14" s="70">
        <v>45671</v>
      </c>
      <c r="G14" s="69" t="s">
        <v>85</v>
      </c>
      <c r="H14" s="70"/>
      <c r="I14" s="68"/>
    </row>
  </sheetData>
  <mergeCells count="6">
    <mergeCell ref="B3:I3"/>
    <mergeCell ref="D5:E5"/>
    <mergeCell ref="F5:G5"/>
    <mergeCell ref="H5:I5"/>
    <mergeCell ref="B7:B11"/>
    <mergeCell ref="B6:C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Revision History</vt:lpstr>
      <vt:lpstr>Calendar</vt:lpstr>
      <vt:lpstr>IATF 16949</vt:lpstr>
      <vt:lpstr>Data</vt:lpstr>
      <vt:lpstr>Yearly update check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De Paula</dc:creator>
  <cp:lastModifiedBy>Mehdi Hosseinpour</cp:lastModifiedBy>
  <cp:lastPrinted>2024-08-19T10:43:15Z</cp:lastPrinted>
  <dcterms:created xsi:type="dcterms:W3CDTF">2024-05-15T05:37:09Z</dcterms:created>
  <dcterms:modified xsi:type="dcterms:W3CDTF">2026-03-24T14:24:55Z</dcterms:modified>
</cp:coreProperties>
</file>