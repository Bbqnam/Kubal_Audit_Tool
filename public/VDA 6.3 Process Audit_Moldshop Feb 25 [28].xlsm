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aveExternalLinkValues="0" codeName="DieseArbeitsmappe"/>
  <mc:AlternateContent xmlns:mc="http://schemas.openxmlformats.org/markup-compatibility/2006">
    <mc:Choice Requires="x15">
      <x15ac:absPath xmlns:x15ac="http://schemas.microsoft.com/office/spreadsheetml/2010/11/ac" url="\\kubal\dfs\Grupp\ISO\Revisions (Audits)\Revision Interna\2025\VDA 6.3 Process\REPORT Kubal Audit (VDA 6.3) Feb 25 2025 Moldshop\"/>
    </mc:Choice>
  </mc:AlternateContent>
  <xr:revisionPtr revIDLastSave="0" documentId="13_ncr:1_{F281F754-410A-4BB4-AB44-023F51A6C7D9}" xr6:coauthVersionLast="47" xr6:coauthVersionMax="47" xr10:uidLastSave="{00000000-0000-0000-0000-000000000000}"/>
  <bookViews>
    <workbookView xWindow="28680" yWindow="-120" windowWidth="29040" windowHeight="17520" tabRatio="36" firstSheet="2" activeTab="9" xr2:uid="{00000000-000D-0000-FFFF-FFFF00000000}"/>
  </bookViews>
  <sheets>
    <sheet name="Disclaimer" sheetId="48" state="hidden" r:id="rId1"/>
    <sheet name="First Sheet - Deckblatt" sheetId="57" state="hidden" r:id="rId2"/>
    <sheet name="Input Form - EingabeMaske" sheetId="8" r:id="rId3"/>
    <sheet name="Questions - Fragen" sheetId="24" r:id="rId4"/>
    <sheet name="Evaluation-Bewertung" sheetId="41" r:id="rId5"/>
    <sheet name="PrGr1" sheetId="64" r:id="rId6"/>
    <sheet name="PrGr2" sheetId="66" state="hidden" r:id="rId7"/>
    <sheet name="PrGr3" sheetId="67" state="hidden" r:id="rId8"/>
    <sheet name="PrGr4" sheetId="68" state="hidden" r:id="rId9"/>
    <sheet name="Report-Bericht" sheetId="18" r:id="rId10"/>
    <sheet name="Actionplan-Maßnahmenplan" sheetId="20" r:id="rId11"/>
    <sheet name="History" sheetId="49" state="hidden" r:id="rId12"/>
    <sheet name="Language-Sprachen" sheetId="55" state="hidden" r:id="rId13"/>
    <sheet name="CSV" sheetId="69" state="hidden" r:id="rId14"/>
  </sheets>
  <functionGroups builtInGroupCount="19"/>
  <definedNames>
    <definedName name="_e1" localSheetId="4">'Evaluation-Bewertung'!$AS$36</definedName>
    <definedName name="_e1" localSheetId="5">PrGr1!$AS$36</definedName>
    <definedName name="_e1" localSheetId="6">PrGr2!$AS$36</definedName>
    <definedName name="_e1" localSheetId="7">PrGr3!$AS$36</definedName>
    <definedName name="_e1" localSheetId="8">PrGr4!$AS$36</definedName>
    <definedName name="_e2" localSheetId="4">'Evaluation-Bewertung'!$AS$38</definedName>
    <definedName name="_e2" localSheetId="5">PrGr1!$AS$38</definedName>
    <definedName name="_e2" localSheetId="6">PrGr2!$AS$38</definedName>
    <definedName name="_e2" localSheetId="7">PrGr3!$AS$38</definedName>
    <definedName name="_e2" localSheetId="8">PrGr4!$AS$38</definedName>
    <definedName name="_e3" localSheetId="4">'Evaluation-Bewertung'!$AS$40</definedName>
    <definedName name="_e3" localSheetId="5">PrGr1!$AS$40</definedName>
    <definedName name="_e3" localSheetId="6">PrGr2!$AS$40</definedName>
    <definedName name="_e3" localSheetId="7">PrGr3!$AS$40</definedName>
    <definedName name="_e3" localSheetId="8">PrGr4!$AS$40</definedName>
    <definedName name="_Ep1" localSheetId="4">'Evaluation-Bewertung'!$AI$208</definedName>
    <definedName name="_Ep1" localSheetId="5">PrGr1!$AI$208</definedName>
    <definedName name="_Ep1" localSheetId="6">PrGr2!$AI$194</definedName>
    <definedName name="_Ep1" localSheetId="7">PrGr3!$AI$194</definedName>
    <definedName name="_Ep1" localSheetId="8">PrGr4!$AI$194</definedName>
    <definedName name="_Ep2" localSheetId="4">'Evaluation-Bewertung'!$AI$209</definedName>
    <definedName name="_Ep2" localSheetId="5">PrGr1!$AI$209</definedName>
    <definedName name="_Ep2" localSheetId="6">PrGr2!$AI$195</definedName>
    <definedName name="_Ep2" localSheetId="7">PrGr3!$AI$195</definedName>
    <definedName name="_Ep2" localSheetId="8">PrGr4!$AI$195</definedName>
    <definedName name="_Ep3" localSheetId="4">'Evaluation-Bewertung'!$AI$210</definedName>
    <definedName name="_Ep3" localSheetId="5">PrGr1!$AI$210</definedName>
    <definedName name="_Ep3" localSheetId="6">PrGr2!$AI$196</definedName>
    <definedName name="_Ep3" localSheetId="7">PrGr3!$AI$196</definedName>
    <definedName name="_Ep3" localSheetId="8">PrGr4!$AI$196</definedName>
    <definedName name="_Ep4" localSheetId="4">'Evaluation-Bewertung'!$AI$211</definedName>
    <definedName name="_Ep4" localSheetId="5">PrGr1!$AI$211</definedName>
    <definedName name="_Ep4" localSheetId="6">PrGr2!$AI$197</definedName>
    <definedName name="_Ep4" localSheetId="7">PrGr3!$AI$197</definedName>
    <definedName name="_Ep4" localSheetId="8">PrGr4!$AI$197</definedName>
    <definedName name="_epg1" localSheetId="4">'Evaluation-Bewertung'!$J$205</definedName>
    <definedName name="_epg1" localSheetId="5">PrGr1!$J$205</definedName>
    <definedName name="_epg1" localSheetId="6">PrGr2!$J$191</definedName>
    <definedName name="_epg1" localSheetId="7">PrGr3!$J$191</definedName>
    <definedName name="_epg1" localSheetId="8">PrGr4!$J$191</definedName>
    <definedName name="_epg2" localSheetId="4">'Evaluation-Bewertung'!$N$205</definedName>
    <definedName name="_epg2" localSheetId="5">PrGr1!$N$205</definedName>
    <definedName name="_epg2" localSheetId="6">PrGr2!$N$191</definedName>
    <definedName name="_epg2" localSheetId="7">PrGr3!$N$191</definedName>
    <definedName name="_epg2" localSheetId="8">PrGr4!$N$191</definedName>
    <definedName name="_epg3" localSheetId="4">'Evaluation-Bewertung'!$R$205</definedName>
    <definedName name="_epg3" localSheetId="5">PrGr1!$R$205</definedName>
    <definedName name="_epg3" localSheetId="6">PrGr2!$R$191</definedName>
    <definedName name="_epg3" localSheetId="7">PrGr3!$R$191</definedName>
    <definedName name="_epg3" localSheetId="8">PrGr4!$R$191</definedName>
    <definedName name="_epg4" localSheetId="4">'Evaluation-Bewertung'!$V$205</definedName>
    <definedName name="_epg4" localSheetId="5">PrGr1!$V$205</definedName>
    <definedName name="_epg4" localSheetId="6">PrGr2!$V$191</definedName>
    <definedName name="_epg4" localSheetId="7">PrGr3!$V$191</definedName>
    <definedName name="_epg4" localSheetId="8">PrGr4!$V$191</definedName>
    <definedName name="_epg5" localSheetId="4">'Evaluation-Bewertung'!$Y$205</definedName>
    <definedName name="_epg5" localSheetId="5">PrGr1!$Y$205</definedName>
    <definedName name="_epg5" localSheetId="6">PrGr2!$Y$191</definedName>
    <definedName name="_epg5" localSheetId="7">PrGr3!$Y$191</definedName>
    <definedName name="_epg5" localSheetId="8">PrGr4!$Y$191</definedName>
    <definedName name="_epg6" localSheetId="4">'Evaluation-Bewertung'!$AR$205</definedName>
    <definedName name="_epg6" localSheetId="5">PrGr1!$AR$205</definedName>
    <definedName name="_epg6" localSheetId="6">PrGr2!$AR$191</definedName>
    <definedName name="_epg6" localSheetId="7">PrGr3!$AR$191</definedName>
    <definedName name="_epg6" localSheetId="8">PrGr4!$AR$191</definedName>
    <definedName name="_es1" localSheetId="4">'Evaluation-Bewertung'!$G$62</definedName>
    <definedName name="_es1" localSheetId="5">PrGr1!$G$62</definedName>
    <definedName name="_es1" localSheetId="6">PrGr2!$G$48</definedName>
    <definedName name="_es1" localSheetId="7">PrGr3!$G$48</definedName>
    <definedName name="_es1" localSheetId="8">PrGr4!$G$48</definedName>
    <definedName name="_es2" localSheetId="4">'Evaluation-Bewertung'!$M$62</definedName>
    <definedName name="_es2" localSheetId="5">PrGr1!$M$62</definedName>
    <definedName name="_es2" localSheetId="6">PrGr2!$M$48</definedName>
    <definedName name="_es2" localSheetId="7">PrGr3!$M$48</definedName>
    <definedName name="_es2" localSheetId="8">PrGr4!$M$48</definedName>
    <definedName name="_es3" localSheetId="4">'Evaluation-Bewertung'!$Q$62</definedName>
    <definedName name="_es3" localSheetId="5">PrGr1!$Q$62</definedName>
    <definedName name="_es3" localSheetId="6">PrGr2!$Q$48</definedName>
    <definedName name="_es3" localSheetId="7">PrGr3!$Q$48</definedName>
    <definedName name="_es3" localSheetId="8">PrGr4!$Q$48</definedName>
    <definedName name="_es4" localSheetId="4">'Evaluation-Bewertung'!$AG$62</definedName>
    <definedName name="_es4" localSheetId="5">PrGr1!$AG$62</definedName>
    <definedName name="_es4" localSheetId="6">PrGr2!$AG$48</definedName>
    <definedName name="_es4" localSheetId="7">PrGr3!$AG$48</definedName>
    <definedName name="_es4" localSheetId="8">PrGr4!$AG$48</definedName>
    <definedName name="_xlnm._FilterDatabase" localSheetId="10" hidden="1">'Actionplan-Maßnahmenplan'!$A$10:$F$146</definedName>
    <definedName name="_xlnm._FilterDatabase" localSheetId="13" hidden="1">CSV!$A$1:$C$994</definedName>
    <definedName name="_xlnm._FilterDatabase" localSheetId="12" hidden="1">'Language-Sprachen'!$A$3:$D$300</definedName>
    <definedName name="_xlnm._FilterDatabase" localSheetId="3" hidden="1">'Questions - Fragen'!$D$12:$D$368</definedName>
    <definedName name="_nb">'Questions - Fragen'!$D$382</definedName>
    <definedName name="AnzSchritte">'Input Form - EingabeMaske'!$D$36</definedName>
    <definedName name="DUNS_Nr">'Input Form - EingabeMaske'!$C$18</definedName>
    <definedName name="ede" localSheetId="4">'Evaluation-Bewertung'!$AS$14</definedName>
    <definedName name="ede" localSheetId="5">PrGr1!$AS$14</definedName>
    <definedName name="ede" localSheetId="6">PrGr2!$AS$14</definedName>
    <definedName name="ede" localSheetId="7">PrGr3!$AS$14</definedName>
    <definedName name="ede" localSheetId="8">PrGr4!$AS$14</definedName>
    <definedName name="ek" localSheetId="4">'Evaluation-Bewertung'!$AS$66</definedName>
    <definedName name="ek" localSheetId="5">PrGr1!$AS$66</definedName>
    <definedName name="ek" localSheetId="6">PrGr2!$AS$52</definedName>
    <definedName name="ek" localSheetId="7">PrGr3!$AS$52</definedName>
    <definedName name="ek" localSheetId="8">PrGr4!$AS$52</definedName>
    <definedName name="elm" localSheetId="5">PrGr1!$AS$29</definedName>
    <definedName name="elm" localSheetId="6">PrGr2!$AS$29</definedName>
    <definedName name="elm" localSheetId="7">PrGr3!$AS$29</definedName>
    <definedName name="elm" localSheetId="8">PrGr4!$AS$29</definedName>
    <definedName name="elm">'Evaluation-Bewertung'!$AS$29</definedName>
    <definedName name="epdp" localSheetId="5">PrGr1!$L$16</definedName>
    <definedName name="epdp" localSheetId="6">PrGr2!$L$16</definedName>
    <definedName name="epdp" localSheetId="7">PrGr3!$L$16</definedName>
    <definedName name="epdp" localSheetId="8">PrGr4!$L$16</definedName>
    <definedName name="epdp">'Evaluation-Bewertung'!$L$16</definedName>
    <definedName name="epdr" localSheetId="5">PrGr1!$O$24</definedName>
    <definedName name="epdr" localSheetId="6">PrGr2!$O$24</definedName>
    <definedName name="epdr" localSheetId="7">PrGr3!$O$24</definedName>
    <definedName name="epdr" localSheetId="8">PrGr4!$O$24</definedName>
    <definedName name="epdr">'Evaluation-Bewertung'!$O$24</definedName>
    <definedName name="epe" localSheetId="4">'Evaluation-Bewertung'!$AS$22</definedName>
    <definedName name="epe" localSheetId="5">PrGr1!$AS$22</definedName>
    <definedName name="epe" localSheetId="6">PrGr2!$AS$22</definedName>
    <definedName name="epe" localSheetId="7">PrGr3!$AS$22</definedName>
    <definedName name="epe" localSheetId="8">PrGr4!$AS$22</definedName>
    <definedName name="epg" localSheetId="5">PrGr1!$AS$59</definedName>
    <definedName name="epg" localSheetId="6">PrGr2!$AS$45</definedName>
    <definedName name="epg" localSheetId="7">PrGr3!$AS$45</definedName>
    <definedName name="epg" localSheetId="8">PrGr4!$AS$45</definedName>
    <definedName name="epg">'Evaluation-Bewertung'!$AS$59</definedName>
    <definedName name="epm" localSheetId="5">PrGr1!$AS$8</definedName>
    <definedName name="epm" localSheetId="6">PrGr2!$AS$8</definedName>
    <definedName name="epm" localSheetId="7">PrGr3!$AS$8</definedName>
    <definedName name="epm" localSheetId="8">PrGr4!$AS$8</definedName>
    <definedName name="epm">'Evaluation-Bewertung'!$AS$8</definedName>
    <definedName name="epp" localSheetId="5">PrGr1!$AS$14</definedName>
    <definedName name="epp" localSheetId="6">PrGr2!$AS$14</definedName>
    <definedName name="epp" localSheetId="7">PrGr3!$AS$14</definedName>
    <definedName name="epp" localSheetId="8">PrGr4!$AS$14</definedName>
    <definedName name="epp">'Evaluation-Bewertung'!$AS$14</definedName>
    <definedName name="epr" localSheetId="5">PrGr1!$AS$22</definedName>
    <definedName name="epr" localSheetId="6">PrGr2!$AS$22</definedName>
    <definedName name="epr" localSheetId="7">PrGr3!$AS$22</definedName>
    <definedName name="epr" localSheetId="8">PrGr4!$AS$22</definedName>
    <definedName name="epr">'Evaluation-Bewertung'!$AS$22</definedName>
    <definedName name="epzp" localSheetId="5">PrGr1!$W$16</definedName>
    <definedName name="epzp" localSheetId="6">PrGr2!$W$16</definedName>
    <definedName name="epzp" localSheetId="7">PrGr3!$W$16</definedName>
    <definedName name="epzp" localSheetId="8">PrGr4!$W$16</definedName>
    <definedName name="epzp">'Evaluation-Bewertung'!$W$16</definedName>
    <definedName name="epzr" localSheetId="5">PrGr1!$AB$24</definedName>
    <definedName name="epzr" localSheetId="6">PrGr2!$AB$24</definedName>
    <definedName name="epzr" localSheetId="7">PrGr3!$AB$24</definedName>
    <definedName name="epzr" localSheetId="8">PrGr4!$AB$24</definedName>
    <definedName name="epzr">'Evaluation-Bewertung'!$AB$24</definedName>
    <definedName name="ergebnis1" localSheetId="4">'Evaluation-Bewertung'!$AS$36</definedName>
    <definedName name="ergebnis1" localSheetId="5">PrGr1!$AS$36</definedName>
    <definedName name="ergebnis1" localSheetId="6">PrGr2!$AS$36</definedName>
    <definedName name="ergebnis1" localSheetId="7">PrGr3!$AS$36</definedName>
    <definedName name="ergebnis1" localSheetId="8">PrGr4!$AS$36</definedName>
    <definedName name="ez" localSheetId="4">'Evaluation-Bewertung'!$AS$29</definedName>
    <definedName name="ez" localSheetId="5">PrGr1!$AS$29</definedName>
    <definedName name="ez" localSheetId="6">PrGr2!$AS$29</definedName>
    <definedName name="ez" localSheetId="7">PrGr3!$AS$29</definedName>
    <definedName name="ez" localSheetId="8">PrGr4!$AS$29</definedName>
    <definedName name="Lief_Ort">'Input Form - EingabeMaske'!$C$21</definedName>
    <definedName name="Lief_PLZ">'Input Form - EingabeMaske'!$C$23</definedName>
    <definedName name="Lief_Str">'Input Form - EingabeMaske'!$C$20</definedName>
    <definedName name="Lief_Unterschr">'Input Form - EingabeMaske'!$C$26</definedName>
    <definedName name="Lieferant">'Input Form - EingabeMaske'!$C$19</definedName>
    <definedName name="LieferantNr">'Input Form - EingabeMaske'!$C$17</definedName>
    <definedName name="PrSchr1">'Input Form - EingabeMaske'!$C$38</definedName>
    <definedName name="PrSchr10">'Input Form - EingabeMaske'!$C$47</definedName>
    <definedName name="PrSchr2">'Input Form - EingabeMaske'!$C$39</definedName>
    <definedName name="PrSchr3">'Input Form - EingabeMaske'!$C$40</definedName>
    <definedName name="PrSchr4">'Input Form - EingabeMaske'!$C$41</definedName>
    <definedName name="PrSchr5">'Input Form - EingabeMaske'!$C$42</definedName>
    <definedName name="PrSchr6">'Input Form - EingabeMaske'!$C$43</definedName>
    <definedName name="PrSchr7">'Input Form - EingabeMaske'!$C$44</definedName>
    <definedName name="PrSchr8">'Input Form - EingabeMaske'!$C$45</definedName>
    <definedName name="PrSchr9">'Input Form - EingabeMaske'!$C$46</definedName>
    <definedName name="PrSchrNr1">'Input Form - EingabeMaske'!$D$38</definedName>
    <definedName name="PrSchrNr10">'Input Form - EingabeMaske'!$D$47</definedName>
    <definedName name="PrSchrNr2">'Input Form - EingabeMaske'!$D$39</definedName>
    <definedName name="PrSchrNr3">'Input Form - EingabeMaske'!$D$40</definedName>
    <definedName name="PrSchrNr4">'Input Form - EingabeMaske'!$D$41</definedName>
    <definedName name="PrSchrNr5">'Input Form - EingabeMaske'!$D$42</definedName>
    <definedName name="PrSchrNr6">'Input Form - EingabeMaske'!$D$43</definedName>
    <definedName name="PrSchrNr7">'Input Form - EingabeMaske'!$D$44</definedName>
    <definedName name="PrSchrNr8">'Input Form - EingabeMaske'!$D$45</definedName>
    <definedName name="PrSchrNr9">'Input Form - EingabeMaske'!$D$46</definedName>
    <definedName name="Seite">'Actionplan-Maßnahmenplan'!$Q$7</definedName>
    <definedName name="Sprachen">'Language-Sprachen'!$I$4:$I$5</definedName>
    <definedName name="_xlnm.Print_Area" localSheetId="10">'Actionplan-Maßnahmenplan'!$A$1:$S$319</definedName>
    <definedName name="_xlnm.Print_Area" localSheetId="4">'Evaluation-Bewertung'!$A$1:$BI$85</definedName>
    <definedName name="_xlnm.Print_Area" localSheetId="11">History!$B$56:$N$81</definedName>
    <definedName name="_xlnm.Print_Area" localSheetId="2">'Input Form - EingabeMaske'!$A$1:$I$80</definedName>
    <definedName name="_xlnm.Print_Area" localSheetId="12">'Language-Sprachen'!$A$241:$B$287</definedName>
    <definedName name="_xlnm.Print_Area" localSheetId="5">PrGr1!$B$1:$BI$85</definedName>
    <definedName name="_xlnm.Print_Area" localSheetId="6">PrGr2!$B$1:$BI$71</definedName>
    <definedName name="_xlnm.Print_Area" localSheetId="7">PrGr3!$B$1:$BI$71</definedName>
    <definedName name="_xlnm.Print_Area" localSheetId="8">PrGr4!$B$1:$BI$71</definedName>
    <definedName name="_xlnm.Print_Area" localSheetId="3">'Questions - Fragen'!$A$1:$J$368</definedName>
    <definedName name="_xlnm.Print_Area" localSheetId="9">'Report-Bericht'!$B$1:$AF$43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54" i="41" l="1"/>
  <c r="C52" i="41"/>
  <c r="C50" i="41"/>
  <c r="C48" i="41"/>
  <c r="C46" i="41"/>
  <c r="C44" i="41"/>
  <c r="C42" i="41"/>
  <c r="E36" i="8" l="1"/>
  <c r="B56" i="8"/>
  <c r="H316" i="20" l="1"/>
  <c r="H317" i="20"/>
  <c r="H318" i="20"/>
  <c r="H319" i="20"/>
  <c r="H315" i="20"/>
  <c r="H305" i="20"/>
  <c r="H306" i="20"/>
  <c r="H307" i="20"/>
  <c r="H308" i="20"/>
  <c r="H309" i="20"/>
  <c r="H310" i="20"/>
  <c r="H311" i="20"/>
  <c r="H312" i="20"/>
  <c r="H313" i="20"/>
  <c r="H304" i="20"/>
  <c r="H295" i="20"/>
  <c r="H296" i="20"/>
  <c r="H297" i="20"/>
  <c r="H298" i="20"/>
  <c r="H299" i="20"/>
  <c r="H300" i="20"/>
  <c r="H301" i="20"/>
  <c r="H302" i="20"/>
  <c r="H303" i="20"/>
  <c r="H294" i="20"/>
  <c r="H285" i="20"/>
  <c r="H286" i="20"/>
  <c r="H287" i="20"/>
  <c r="H288" i="20"/>
  <c r="H289" i="20"/>
  <c r="H290" i="20"/>
  <c r="H291" i="20"/>
  <c r="H292" i="20"/>
  <c r="H293" i="20"/>
  <c r="H284" i="20"/>
  <c r="H275" i="20"/>
  <c r="H276" i="20"/>
  <c r="H277" i="20"/>
  <c r="H278" i="20"/>
  <c r="H279" i="20"/>
  <c r="H280" i="20"/>
  <c r="H281" i="20"/>
  <c r="H282" i="20"/>
  <c r="H283" i="20"/>
  <c r="H274" i="20"/>
  <c r="H265" i="20"/>
  <c r="H266" i="20"/>
  <c r="H267" i="20"/>
  <c r="H268" i="20"/>
  <c r="H269" i="20"/>
  <c r="H270" i="20"/>
  <c r="H271" i="20"/>
  <c r="H272" i="20"/>
  <c r="H273" i="20"/>
  <c r="H264" i="20"/>
  <c r="H255" i="20"/>
  <c r="H256" i="20"/>
  <c r="H257" i="20"/>
  <c r="H258" i="20"/>
  <c r="H259" i="20"/>
  <c r="H260" i="20"/>
  <c r="H261" i="20"/>
  <c r="H262" i="20"/>
  <c r="H263" i="20"/>
  <c r="H254" i="20"/>
  <c r="H245" i="20"/>
  <c r="H246" i="20"/>
  <c r="H247" i="20"/>
  <c r="H248" i="20"/>
  <c r="H249" i="20"/>
  <c r="H250" i="20"/>
  <c r="H251" i="20"/>
  <c r="H252" i="20"/>
  <c r="H253" i="20"/>
  <c r="H244" i="20"/>
  <c r="H235" i="20"/>
  <c r="H236" i="20"/>
  <c r="H237" i="20"/>
  <c r="H238" i="20"/>
  <c r="H239" i="20"/>
  <c r="H240" i="20"/>
  <c r="H241" i="20"/>
  <c r="H242" i="20"/>
  <c r="H243" i="20"/>
  <c r="H234" i="20"/>
  <c r="H225" i="20"/>
  <c r="H226" i="20"/>
  <c r="H227" i="20"/>
  <c r="H228" i="20"/>
  <c r="H229" i="20"/>
  <c r="H230" i="20"/>
  <c r="H231" i="20"/>
  <c r="H232" i="20"/>
  <c r="H233" i="20"/>
  <c r="H224" i="20"/>
  <c r="H215" i="20"/>
  <c r="H216" i="20"/>
  <c r="H217" i="20"/>
  <c r="H218" i="20"/>
  <c r="H219" i="20"/>
  <c r="H220" i="20"/>
  <c r="H221" i="20"/>
  <c r="H222" i="20"/>
  <c r="H223" i="20"/>
  <c r="H214" i="20"/>
  <c r="H205" i="20"/>
  <c r="H206" i="20"/>
  <c r="H207" i="20"/>
  <c r="H208" i="20"/>
  <c r="H209" i="20"/>
  <c r="H210" i="20"/>
  <c r="H211" i="20"/>
  <c r="H212" i="20"/>
  <c r="H213" i="20"/>
  <c r="H204" i="20"/>
  <c r="H195" i="20"/>
  <c r="H196" i="20"/>
  <c r="H197" i="20"/>
  <c r="H198" i="20"/>
  <c r="H199" i="20"/>
  <c r="H200" i="20"/>
  <c r="H201" i="20"/>
  <c r="H202" i="20"/>
  <c r="H203" i="20"/>
  <c r="H194" i="20"/>
  <c r="H185" i="20" l="1"/>
  <c r="H186" i="20"/>
  <c r="H187" i="20"/>
  <c r="H188" i="20"/>
  <c r="H189" i="20"/>
  <c r="H190" i="20"/>
  <c r="H191" i="20"/>
  <c r="H192" i="20"/>
  <c r="H193" i="20"/>
  <c r="H184" i="20"/>
  <c r="H175" i="20"/>
  <c r="H176" i="20"/>
  <c r="H177" i="20"/>
  <c r="H178" i="20"/>
  <c r="H179" i="20"/>
  <c r="H180" i="20"/>
  <c r="H181" i="20"/>
  <c r="H182" i="20"/>
  <c r="H183" i="20"/>
  <c r="H174" i="20"/>
  <c r="H165" i="20"/>
  <c r="H166" i="20"/>
  <c r="H167" i="20"/>
  <c r="H168" i="20"/>
  <c r="H169" i="20"/>
  <c r="H170" i="20"/>
  <c r="H171" i="20"/>
  <c r="H172" i="20"/>
  <c r="H173" i="20"/>
  <c r="H164" i="20"/>
  <c r="H155" i="20"/>
  <c r="H156" i="20"/>
  <c r="H157" i="20"/>
  <c r="H158" i="20"/>
  <c r="H159" i="20"/>
  <c r="H160" i="20"/>
  <c r="H161" i="20"/>
  <c r="H162" i="20"/>
  <c r="H163" i="20"/>
  <c r="H154" i="20"/>
  <c r="H145" i="20"/>
  <c r="H146" i="20"/>
  <c r="H147" i="20"/>
  <c r="H148" i="20"/>
  <c r="H149" i="20"/>
  <c r="H150" i="20"/>
  <c r="H151" i="20"/>
  <c r="H152" i="20"/>
  <c r="H153" i="20"/>
  <c r="H144" i="20"/>
  <c r="H135" i="20"/>
  <c r="H136" i="20"/>
  <c r="H137" i="20"/>
  <c r="H138" i="20"/>
  <c r="H139" i="20"/>
  <c r="H140" i="20"/>
  <c r="H141" i="20"/>
  <c r="H142" i="20"/>
  <c r="H143" i="20"/>
  <c r="H134" i="20"/>
  <c r="H125" i="20"/>
  <c r="H126" i="20"/>
  <c r="H127" i="20"/>
  <c r="H128" i="20"/>
  <c r="H129" i="20"/>
  <c r="H130" i="20"/>
  <c r="H131" i="20"/>
  <c r="H132" i="20"/>
  <c r="H133" i="20"/>
  <c r="H124" i="20"/>
  <c r="H115" i="20"/>
  <c r="H116" i="20"/>
  <c r="H117" i="20"/>
  <c r="H118" i="20"/>
  <c r="H119" i="20"/>
  <c r="H120" i="20"/>
  <c r="H121" i="20"/>
  <c r="H122" i="20"/>
  <c r="H123" i="20"/>
  <c r="H114" i="20"/>
  <c r="H105" i="20"/>
  <c r="H106" i="20"/>
  <c r="H107" i="20"/>
  <c r="H108" i="20"/>
  <c r="H109" i="20"/>
  <c r="H110" i="20"/>
  <c r="H111" i="20"/>
  <c r="H112" i="20"/>
  <c r="H113" i="20"/>
  <c r="H104" i="20"/>
  <c r="H95" i="20"/>
  <c r="H96" i="20"/>
  <c r="H97" i="20"/>
  <c r="H98" i="20"/>
  <c r="H99" i="20"/>
  <c r="H100" i="20"/>
  <c r="H101" i="20"/>
  <c r="H102" i="20"/>
  <c r="H103" i="20"/>
  <c r="H94" i="20"/>
  <c r="H85" i="20"/>
  <c r="H86" i="20"/>
  <c r="H87" i="20"/>
  <c r="H88" i="20"/>
  <c r="H89" i="20"/>
  <c r="H90" i="20"/>
  <c r="H91" i="20"/>
  <c r="H92" i="20"/>
  <c r="H93" i="20"/>
  <c r="H84" i="20"/>
  <c r="H75" i="20"/>
  <c r="H76" i="20"/>
  <c r="H77" i="20"/>
  <c r="H78" i="20"/>
  <c r="H79" i="20"/>
  <c r="H80" i="20"/>
  <c r="H81" i="20"/>
  <c r="H82" i="20"/>
  <c r="H83" i="20"/>
  <c r="H74" i="20"/>
  <c r="B307" i="20"/>
  <c r="B308" i="20"/>
  <c r="B309" i="20"/>
  <c r="B310" i="20"/>
  <c r="B311" i="20"/>
  <c r="B312" i="20"/>
  <c r="B313" i="20"/>
  <c r="B297" i="20"/>
  <c r="B298" i="20"/>
  <c r="B299" i="20"/>
  <c r="B300" i="20"/>
  <c r="B301" i="20"/>
  <c r="B302" i="20"/>
  <c r="B303" i="20"/>
  <c r="B287" i="20"/>
  <c r="B288" i="20"/>
  <c r="B289" i="20"/>
  <c r="B290" i="20"/>
  <c r="B291" i="20"/>
  <c r="B292" i="20"/>
  <c r="B293" i="20"/>
  <c r="B277" i="20"/>
  <c r="B278" i="20"/>
  <c r="B279" i="20"/>
  <c r="B280" i="20"/>
  <c r="B281" i="20"/>
  <c r="B282" i="20"/>
  <c r="B283" i="20"/>
  <c r="B267" i="20"/>
  <c r="B268" i="20"/>
  <c r="B269" i="20"/>
  <c r="B270" i="20"/>
  <c r="B271" i="20"/>
  <c r="B272" i="20"/>
  <c r="B273" i="20"/>
  <c r="B257" i="20"/>
  <c r="B258" i="20"/>
  <c r="B259" i="20"/>
  <c r="B260" i="20"/>
  <c r="B261" i="20"/>
  <c r="B262" i="20"/>
  <c r="B263" i="20"/>
  <c r="B247" i="20"/>
  <c r="B248" i="20"/>
  <c r="B249" i="20"/>
  <c r="B250" i="20"/>
  <c r="B251" i="20"/>
  <c r="B252" i="20"/>
  <c r="B253" i="20"/>
  <c r="B237" i="20"/>
  <c r="B238" i="20"/>
  <c r="B239" i="20"/>
  <c r="B240" i="20"/>
  <c r="B241" i="20"/>
  <c r="B242" i="20"/>
  <c r="B243" i="20"/>
  <c r="B227" i="20"/>
  <c r="B228" i="20"/>
  <c r="B229" i="20"/>
  <c r="B230" i="20"/>
  <c r="B231" i="20"/>
  <c r="B232" i="20"/>
  <c r="B233" i="20"/>
  <c r="B217" i="20"/>
  <c r="B218" i="20"/>
  <c r="B219" i="20"/>
  <c r="B220" i="20"/>
  <c r="B221" i="20"/>
  <c r="B222" i="20"/>
  <c r="B223" i="20"/>
  <c r="B207" i="20"/>
  <c r="B208" i="20"/>
  <c r="B209" i="20"/>
  <c r="B210" i="20"/>
  <c r="B211" i="20"/>
  <c r="B212" i="20"/>
  <c r="B213" i="20"/>
  <c r="B197" i="20"/>
  <c r="B198" i="20"/>
  <c r="B199" i="20"/>
  <c r="B200" i="20"/>
  <c r="B201" i="20"/>
  <c r="B202" i="20"/>
  <c r="B203" i="20"/>
  <c r="B187" i="20"/>
  <c r="B188" i="20"/>
  <c r="B189" i="20"/>
  <c r="B190" i="20"/>
  <c r="B191" i="20"/>
  <c r="B192" i="20"/>
  <c r="B193" i="20"/>
  <c r="B177" i="20"/>
  <c r="B178" i="20"/>
  <c r="B179" i="20"/>
  <c r="B180" i="20"/>
  <c r="B181" i="20"/>
  <c r="B182" i="20"/>
  <c r="B183" i="20"/>
  <c r="B167" i="20"/>
  <c r="B168" i="20"/>
  <c r="B169" i="20"/>
  <c r="B170" i="20"/>
  <c r="B171" i="20"/>
  <c r="B172" i="20"/>
  <c r="B173" i="20"/>
  <c r="B157" i="20"/>
  <c r="B158" i="20"/>
  <c r="B159" i="20"/>
  <c r="B160" i="20"/>
  <c r="B161" i="20"/>
  <c r="B162" i="20"/>
  <c r="B163" i="20"/>
  <c r="B147" i="20"/>
  <c r="B148" i="20"/>
  <c r="B149" i="20"/>
  <c r="B150" i="20"/>
  <c r="B151" i="20"/>
  <c r="B152" i="20"/>
  <c r="B153" i="20"/>
  <c r="B137" i="20"/>
  <c r="B138" i="20"/>
  <c r="B139" i="20"/>
  <c r="B140" i="20"/>
  <c r="B141" i="20"/>
  <c r="B142" i="20"/>
  <c r="B143" i="20"/>
  <c r="B127" i="20"/>
  <c r="B128" i="20"/>
  <c r="B129" i="20"/>
  <c r="B130" i="20"/>
  <c r="B131" i="20"/>
  <c r="B132" i="20"/>
  <c r="B133" i="20"/>
  <c r="B117" i="20"/>
  <c r="B118" i="20"/>
  <c r="B119" i="20"/>
  <c r="B120" i="20"/>
  <c r="B121" i="20"/>
  <c r="B122" i="20"/>
  <c r="B123" i="20"/>
  <c r="B107" i="20"/>
  <c r="B108" i="20"/>
  <c r="B109" i="20"/>
  <c r="B110" i="20"/>
  <c r="B111" i="20"/>
  <c r="B112" i="20"/>
  <c r="B113" i="20"/>
  <c r="B97" i="20"/>
  <c r="B98" i="20"/>
  <c r="B99" i="20"/>
  <c r="B100" i="20"/>
  <c r="B101" i="20"/>
  <c r="B102" i="20"/>
  <c r="B103" i="20"/>
  <c r="B93" i="20"/>
  <c r="B87" i="20"/>
  <c r="B88" i="20"/>
  <c r="B89" i="20"/>
  <c r="B90" i="20"/>
  <c r="B91" i="20"/>
  <c r="B92" i="20"/>
  <c r="B77" i="20"/>
  <c r="B78" i="20"/>
  <c r="B79" i="20"/>
  <c r="B80" i="20"/>
  <c r="B81" i="20"/>
  <c r="B82" i="20"/>
  <c r="B83" i="20"/>
  <c r="H65" i="20"/>
  <c r="H66" i="20"/>
  <c r="H67" i="20"/>
  <c r="H68" i="20"/>
  <c r="H69" i="20"/>
  <c r="H70" i="20"/>
  <c r="H71" i="20"/>
  <c r="H72" i="20"/>
  <c r="H73" i="20"/>
  <c r="B67" i="20"/>
  <c r="B68" i="20"/>
  <c r="B69" i="20"/>
  <c r="B70" i="20"/>
  <c r="B71" i="20"/>
  <c r="B72" i="20"/>
  <c r="B73" i="20"/>
  <c r="B57" i="20"/>
  <c r="B58" i="20"/>
  <c r="B59" i="20"/>
  <c r="B60" i="20"/>
  <c r="B61" i="20"/>
  <c r="B62" i="20"/>
  <c r="B63" i="20"/>
  <c r="D63" i="20"/>
  <c r="D73" i="20" s="1"/>
  <c r="D83" i="20" s="1"/>
  <c r="D93" i="20" s="1"/>
  <c r="D103" i="20" s="1"/>
  <c r="D113" i="20" s="1"/>
  <c r="D123" i="20" s="1"/>
  <c r="D133" i="20" s="1"/>
  <c r="D143" i="20" s="1"/>
  <c r="D153" i="20" s="1"/>
  <c r="D163" i="20" s="1"/>
  <c r="D173" i="20" s="1"/>
  <c r="D183" i="20" s="1"/>
  <c r="D193" i="20" s="1"/>
  <c r="D203" i="20" s="1"/>
  <c r="D213" i="20" s="1"/>
  <c r="D223" i="20" s="1"/>
  <c r="D233" i="20" s="1"/>
  <c r="D243" i="20" s="1"/>
  <c r="D253" i="20" s="1"/>
  <c r="D263" i="20" s="1"/>
  <c r="D273" i="20" s="1"/>
  <c r="D283" i="20" s="1"/>
  <c r="D293" i="20" s="1"/>
  <c r="D303" i="20" s="1"/>
  <c r="D313" i="20" s="1"/>
  <c r="D62" i="20"/>
  <c r="D72" i="20" s="1"/>
  <c r="D82" i="20" s="1"/>
  <c r="D92" i="20" s="1"/>
  <c r="D102" i="20" s="1"/>
  <c r="D112" i="20" s="1"/>
  <c r="D122" i="20" s="1"/>
  <c r="D132" i="20" s="1"/>
  <c r="D142" i="20" s="1"/>
  <c r="D152" i="20" s="1"/>
  <c r="D162" i="20" s="1"/>
  <c r="D172" i="20" s="1"/>
  <c r="D182" i="20" s="1"/>
  <c r="D192" i="20" s="1"/>
  <c r="D202" i="20" s="1"/>
  <c r="D212" i="20" s="1"/>
  <c r="D222" i="20" s="1"/>
  <c r="D232" i="20" s="1"/>
  <c r="D242" i="20" s="1"/>
  <c r="D252" i="20" s="1"/>
  <c r="D262" i="20" s="1"/>
  <c r="D272" i="20" s="1"/>
  <c r="D282" i="20" s="1"/>
  <c r="D292" i="20" s="1"/>
  <c r="D302" i="20" s="1"/>
  <c r="D312" i="20" s="1"/>
  <c r="D61" i="20"/>
  <c r="D71" i="20" s="1"/>
  <c r="D81" i="20" s="1"/>
  <c r="D91" i="20" s="1"/>
  <c r="D101" i="20" s="1"/>
  <c r="D111" i="20" s="1"/>
  <c r="D121" i="20" s="1"/>
  <c r="D131" i="20" s="1"/>
  <c r="D141" i="20" s="1"/>
  <c r="D151" i="20" s="1"/>
  <c r="D161" i="20" s="1"/>
  <c r="D171" i="20" s="1"/>
  <c r="D181" i="20" s="1"/>
  <c r="D191" i="20" s="1"/>
  <c r="D201" i="20" s="1"/>
  <c r="D211" i="20" s="1"/>
  <c r="D221" i="20" s="1"/>
  <c r="D231" i="20" s="1"/>
  <c r="D241" i="20" s="1"/>
  <c r="D251" i="20" s="1"/>
  <c r="D261" i="20" s="1"/>
  <c r="D271" i="20" s="1"/>
  <c r="D281" i="20" s="1"/>
  <c r="D291" i="20" s="1"/>
  <c r="D301" i="20" s="1"/>
  <c r="D311" i="20" s="1"/>
  <c r="D60" i="20"/>
  <c r="D70" i="20" s="1"/>
  <c r="D80" i="20" s="1"/>
  <c r="D90" i="20" s="1"/>
  <c r="D100" i="20" s="1"/>
  <c r="D110" i="20" s="1"/>
  <c r="D120" i="20" s="1"/>
  <c r="D130" i="20" s="1"/>
  <c r="D140" i="20" s="1"/>
  <c r="D150" i="20" s="1"/>
  <c r="D160" i="20" s="1"/>
  <c r="D170" i="20" s="1"/>
  <c r="D180" i="20" s="1"/>
  <c r="D190" i="20" s="1"/>
  <c r="D200" i="20" s="1"/>
  <c r="D210" i="20" s="1"/>
  <c r="D220" i="20" s="1"/>
  <c r="D230" i="20" s="1"/>
  <c r="D240" i="20" s="1"/>
  <c r="D250" i="20" s="1"/>
  <c r="D260" i="20" s="1"/>
  <c r="D270" i="20" s="1"/>
  <c r="D280" i="20" s="1"/>
  <c r="D290" i="20" s="1"/>
  <c r="D300" i="20" s="1"/>
  <c r="D310" i="20" s="1"/>
  <c r="D59" i="20"/>
  <c r="D69" i="20" s="1"/>
  <c r="D79" i="20" s="1"/>
  <c r="D89" i="20" s="1"/>
  <c r="D99" i="20" s="1"/>
  <c r="D109" i="20" s="1"/>
  <c r="D119" i="20" s="1"/>
  <c r="D129" i="20" s="1"/>
  <c r="D139" i="20" s="1"/>
  <c r="D149" i="20" s="1"/>
  <c r="D159" i="20" s="1"/>
  <c r="D169" i="20" s="1"/>
  <c r="D179" i="20" s="1"/>
  <c r="D189" i="20" s="1"/>
  <c r="D199" i="20" s="1"/>
  <c r="D209" i="20" s="1"/>
  <c r="D219" i="20" s="1"/>
  <c r="D229" i="20" s="1"/>
  <c r="D239" i="20" s="1"/>
  <c r="D249" i="20" s="1"/>
  <c r="D259" i="20" s="1"/>
  <c r="D269" i="20" s="1"/>
  <c r="D279" i="20" s="1"/>
  <c r="D289" i="20" s="1"/>
  <c r="D299" i="20" s="1"/>
  <c r="D309" i="20" s="1"/>
  <c r="D58" i="20"/>
  <c r="D68" i="20" s="1"/>
  <c r="D78" i="20" s="1"/>
  <c r="D88" i="20" s="1"/>
  <c r="D98" i="20" s="1"/>
  <c r="D108" i="20" s="1"/>
  <c r="D118" i="20" s="1"/>
  <c r="D128" i="20" s="1"/>
  <c r="D138" i="20" s="1"/>
  <c r="D148" i="20" s="1"/>
  <c r="D158" i="20" s="1"/>
  <c r="D168" i="20" s="1"/>
  <c r="D178" i="20" s="1"/>
  <c r="D188" i="20" s="1"/>
  <c r="D198" i="20" s="1"/>
  <c r="D208" i="20" s="1"/>
  <c r="D218" i="20" s="1"/>
  <c r="D228" i="20" s="1"/>
  <c r="D238" i="20" s="1"/>
  <c r="D248" i="20" s="1"/>
  <c r="D258" i="20" s="1"/>
  <c r="D268" i="20" s="1"/>
  <c r="D278" i="20" s="1"/>
  <c r="D288" i="20" s="1"/>
  <c r="D298" i="20" s="1"/>
  <c r="D308" i="20" s="1"/>
  <c r="D57" i="20"/>
  <c r="D67" i="20" s="1"/>
  <c r="D77" i="20" s="1"/>
  <c r="D87" i="20" s="1"/>
  <c r="D97" i="20" s="1"/>
  <c r="D107" i="20" s="1"/>
  <c r="D117" i="20" s="1"/>
  <c r="D127" i="20" s="1"/>
  <c r="D137" i="20" s="1"/>
  <c r="D147" i="20" s="1"/>
  <c r="D157" i="20" s="1"/>
  <c r="D167" i="20" s="1"/>
  <c r="D177" i="20" s="1"/>
  <c r="D187" i="20" s="1"/>
  <c r="D197" i="20" s="1"/>
  <c r="D207" i="20" s="1"/>
  <c r="D217" i="20" s="1"/>
  <c r="D227" i="20" s="1"/>
  <c r="D237" i="20" s="1"/>
  <c r="D247" i="20" s="1"/>
  <c r="D257" i="20" s="1"/>
  <c r="D267" i="20" s="1"/>
  <c r="D277" i="20" s="1"/>
  <c r="D287" i="20" s="1"/>
  <c r="D297" i="20" s="1"/>
  <c r="D307" i="20" s="1"/>
  <c r="D55" i="20"/>
  <c r="D56" i="20"/>
  <c r="H57" i="20"/>
  <c r="H58" i="20"/>
  <c r="H59" i="20"/>
  <c r="H60" i="20"/>
  <c r="H61" i="20"/>
  <c r="H62" i="20"/>
  <c r="H63" i="20"/>
  <c r="S125" i="41" l="1"/>
  <c r="R125" i="41"/>
  <c r="Q125" i="41"/>
  <c r="P125" i="41"/>
  <c r="O125" i="41"/>
  <c r="N125" i="41"/>
  <c r="M125" i="41"/>
  <c r="S124" i="41"/>
  <c r="R124" i="41"/>
  <c r="Q124" i="41"/>
  <c r="P124" i="41"/>
  <c r="O124" i="41"/>
  <c r="N124" i="41"/>
  <c r="M124" i="41"/>
  <c r="S123" i="41"/>
  <c r="R123" i="41"/>
  <c r="Q123" i="41"/>
  <c r="P123" i="41"/>
  <c r="O123" i="41"/>
  <c r="N123" i="41"/>
  <c r="M123" i="41"/>
  <c r="S122" i="41"/>
  <c r="R122" i="41"/>
  <c r="Q122" i="41"/>
  <c r="P122" i="41"/>
  <c r="O122" i="41"/>
  <c r="N122" i="41"/>
  <c r="M122" i="41"/>
  <c r="L122" i="41"/>
  <c r="S121" i="41"/>
  <c r="R121" i="41"/>
  <c r="Q121" i="41"/>
  <c r="P121" i="41"/>
  <c r="O121" i="41"/>
  <c r="N121" i="41"/>
  <c r="M121" i="41"/>
  <c r="I53" i="41" l="1"/>
  <c r="I51" i="41"/>
  <c r="I49" i="41"/>
  <c r="I47" i="41"/>
  <c r="I45" i="41"/>
  <c r="I43" i="41"/>
  <c r="I41" i="41"/>
  <c r="I53" i="64"/>
  <c r="I51" i="64"/>
  <c r="I49" i="64"/>
  <c r="I47" i="64"/>
  <c r="I45" i="64"/>
  <c r="I43" i="64"/>
  <c r="I41" i="64"/>
  <c r="AM53" i="64"/>
  <c r="AL53" i="64"/>
  <c r="AM51" i="64"/>
  <c r="AL51" i="64"/>
  <c r="AM47" i="64"/>
  <c r="AL47" i="64"/>
  <c r="AM45" i="64"/>
  <c r="AL45" i="64"/>
  <c r="AM43" i="64"/>
  <c r="AL43" i="64"/>
  <c r="AM41" i="64"/>
  <c r="AL41" i="64"/>
  <c r="J361" i="24"/>
  <c r="I361" i="24"/>
  <c r="H361" i="24"/>
  <c r="G361" i="24"/>
  <c r="J360" i="24"/>
  <c r="I360" i="24"/>
  <c r="H360" i="24"/>
  <c r="G360" i="24"/>
  <c r="J359" i="24"/>
  <c r="I359" i="24"/>
  <c r="H359" i="24"/>
  <c r="G359" i="24"/>
  <c r="J358" i="24"/>
  <c r="I358" i="24"/>
  <c r="H358" i="24"/>
  <c r="G358" i="24"/>
  <c r="J357" i="24"/>
  <c r="I357" i="24"/>
  <c r="H357" i="24"/>
  <c r="G357" i="24"/>
  <c r="J356" i="24"/>
  <c r="I356" i="24"/>
  <c r="H356" i="24"/>
  <c r="G356" i="24"/>
  <c r="J355" i="24"/>
  <c r="I355" i="24"/>
  <c r="H355" i="24"/>
  <c r="G355" i="24"/>
  <c r="J354" i="24"/>
  <c r="I354" i="24"/>
  <c r="H354" i="24"/>
  <c r="G354" i="24"/>
  <c r="J353" i="24"/>
  <c r="I353" i="24"/>
  <c r="H353" i="24"/>
  <c r="G353" i="24"/>
  <c r="J352" i="24"/>
  <c r="I352" i="24"/>
  <c r="H352" i="24"/>
  <c r="G352" i="24"/>
  <c r="J350" i="24"/>
  <c r="I350" i="24"/>
  <c r="H350" i="24"/>
  <c r="G350" i="24"/>
  <c r="J349" i="24"/>
  <c r="I349" i="24"/>
  <c r="H349" i="24"/>
  <c r="G349" i="24"/>
  <c r="J348" i="24"/>
  <c r="I348" i="24"/>
  <c r="H348" i="24"/>
  <c r="G348" i="24"/>
  <c r="J347" i="24"/>
  <c r="I347" i="24"/>
  <c r="H347" i="24"/>
  <c r="G347" i="24"/>
  <c r="J346" i="24"/>
  <c r="I346" i="24"/>
  <c r="H346" i="24"/>
  <c r="G346" i="24"/>
  <c r="J345" i="24"/>
  <c r="I345" i="24"/>
  <c r="H345" i="24"/>
  <c r="G345" i="24"/>
  <c r="J344" i="24"/>
  <c r="I344" i="24"/>
  <c r="H344" i="24"/>
  <c r="G344" i="24"/>
  <c r="J343" i="24"/>
  <c r="I343" i="24"/>
  <c r="H343" i="24"/>
  <c r="G343" i="24"/>
  <c r="J342" i="24"/>
  <c r="I342" i="24"/>
  <c r="H342" i="24"/>
  <c r="G342" i="24"/>
  <c r="J341" i="24"/>
  <c r="I341" i="24"/>
  <c r="H341" i="24"/>
  <c r="G341" i="24"/>
  <c r="J339" i="24"/>
  <c r="I339" i="24"/>
  <c r="H339" i="24"/>
  <c r="G339" i="24"/>
  <c r="J338" i="24"/>
  <c r="I338" i="24"/>
  <c r="H338" i="24"/>
  <c r="G338" i="24"/>
  <c r="J337" i="24"/>
  <c r="I337" i="24"/>
  <c r="H337" i="24"/>
  <c r="G337" i="24"/>
  <c r="J336" i="24"/>
  <c r="I336" i="24"/>
  <c r="H336" i="24"/>
  <c r="G336" i="24"/>
  <c r="J335" i="24"/>
  <c r="I335" i="24"/>
  <c r="H335" i="24"/>
  <c r="G335" i="24"/>
  <c r="J334" i="24"/>
  <c r="I334" i="24"/>
  <c r="H334" i="24"/>
  <c r="G334" i="24"/>
  <c r="J333" i="24"/>
  <c r="I333" i="24"/>
  <c r="H333" i="24"/>
  <c r="G333" i="24"/>
  <c r="J332" i="24"/>
  <c r="I332" i="24"/>
  <c r="H332" i="24"/>
  <c r="G332" i="24"/>
  <c r="J331" i="24"/>
  <c r="I331" i="24"/>
  <c r="H331" i="24"/>
  <c r="G331" i="24"/>
  <c r="J330" i="24"/>
  <c r="I330" i="24"/>
  <c r="H330" i="24"/>
  <c r="G330" i="24"/>
  <c r="J328" i="24"/>
  <c r="I328" i="24"/>
  <c r="H328" i="24"/>
  <c r="G328" i="24"/>
  <c r="J327" i="24"/>
  <c r="I327" i="24"/>
  <c r="H327" i="24"/>
  <c r="G327" i="24"/>
  <c r="J326" i="24"/>
  <c r="I326" i="24"/>
  <c r="H326" i="24"/>
  <c r="G326" i="24"/>
  <c r="J325" i="24"/>
  <c r="I325" i="24"/>
  <c r="H325" i="24"/>
  <c r="G325" i="24"/>
  <c r="J324" i="24"/>
  <c r="I324" i="24"/>
  <c r="H324" i="24"/>
  <c r="G324" i="24"/>
  <c r="J323" i="24"/>
  <c r="I323" i="24"/>
  <c r="H323" i="24"/>
  <c r="G323" i="24"/>
  <c r="J322" i="24"/>
  <c r="I322" i="24"/>
  <c r="H322" i="24"/>
  <c r="G322" i="24"/>
  <c r="J321" i="24"/>
  <c r="I321" i="24"/>
  <c r="H321" i="24"/>
  <c r="G321" i="24"/>
  <c r="J320" i="24"/>
  <c r="I320" i="24"/>
  <c r="H320" i="24"/>
  <c r="G320" i="24"/>
  <c r="J319" i="24"/>
  <c r="I319" i="24"/>
  <c r="H319" i="24"/>
  <c r="G319" i="24"/>
  <c r="J316" i="24"/>
  <c r="I316" i="24"/>
  <c r="H316" i="24"/>
  <c r="G316" i="24"/>
  <c r="J315" i="24"/>
  <c r="I315" i="24"/>
  <c r="H315" i="24"/>
  <c r="G315" i="24"/>
  <c r="J314" i="24"/>
  <c r="I314" i="24"/>
  <c r="H314" i="24"/>
  <c r="G314" i="24"/>
  <c r="J313" i="24"/>
  <c r="I313" i="24"/>
  <c r="H313" i="24"/>
  <c r="G313" i="24"/>
  <c r="J312" i="24"/>
  <c r="I312" i="24"/>
  <c r="H312" i="24"/>
  <c r="G312" i="24"/>
  <c r="J311" i="24"/>
  <c r="I311" i="24"/>
  <c r="H311" i="24"/>
  <c r="G311" i="24"/>
  <c r="J310" i="24"/>
  <c r="I310" i="24"/>
  <c r="H310" i="24"/>
  <c r="G310" i="24"/>
  <c r="J309" i="24"/>
  <c r="I309" i="24"/>
  <c r="H309" i="24"/>
  <c r="G309" i="24"/>
  <c r="J308" i="24"/>
  <c r="I308" i="24"/>
  <c r="H308" i="24"/>
  <c r="G308" i="24"/>
  <c r="J307" i="24"/>
  <c r="I307" i="24"/>
  <c r="H307" i="24"/>
  <c r="G307" i="24"/>
  <c r="J305" i="24"/>
  <c r="I305" i="24"/>
  <c r="H305" i="24"/>
  <c r="G305" i="24"/>
  <c r="J304" i="24"/>
  <c r="I304" i="24"/>
  <c r="H304" i="24"/>
  <c r="G304" i="24"/>
  <c r="J303" i="24"/>
  <c r="I303" i="24"/>
  <c r="H303" i="24"/>
  <c r="G303" i="24"/>
  <c r="J302" i="24"/>
  <c r="I302" i="24"/>
  <c r="H302" i="24"/>
  <c r="G302" i="24"/>
  <c r="J301" i="24"/>
  <c r="I301" i="24"/>
  <c r="H301" i="24"/>
  <c r="G301" i="24"/>
  <c r="J300" i="24"/>
  <c r="I300" i="24"/>
  <c r="H300" i="24"/>
  <c r="G300" i="24"/>
  <c r="J299" i="24"/>
  <c r="I299" i="24"/>
  <c r="H299" i="24"/>
  <c r="G299" i="24"/>
  <c r="J298" i="24"/>
  <c r="I298" i="24"/>
  <c r="H298" i="24"/>
  <c r="G298" i="24"/>
  <c r="J297" i="24"/>
  <c r="I297" i="24"/>
  <c r="H297" i="24"/>
  <c r="G297" i="24"/>
  <c r="J296" i="24"/>
  <c r="I296" i="24"/>
  <c r="H296" i="24"/>
  <c r="G296" i="24"/>
  <c r="J294" i="24"/>
  <c r="I294" i="24"/>
  <c r="H294" i="24"/>
  <c r="G294" i="24"/>
  <c r="J293" i="24"/>
  <c r="I293" i="24"/>
  <c r="H293" i="24"/>
  <c r="G293" i="24"/>
  <c r="J292" i="24"/>
  <c r="I292" i="24"/>
  <c r="H292" i="24"/>
  <c r="G292" i="24"/>
  <c r="J291" i="24"/>
  <c r="I291" i="24"/>
  <c r="H291" i="24"/>
  <c r="G291" i="24"/>
  <c r="J290" i="24"/>
  <c r="I290" i="24"/>
  <c r="H290" i="24"/>
  <c r="G290" i="24"/>
  <c r="J289" i="24"/>
  <c r="I289" i="24"/>
  <c r="H289" i="24"/>
  <c r="G289" i="24"/>
  <c r="J288" i="24"/>
  <c r="I288" i="24"/>
  <c r="H288" i="24"/>
  <c r="G288" i="24"/>
  <c r="J287" i="24"/>
  <c r="I287" i="24"/>
  <c r="H287" i="24"/>
  <c r="G287" i="24"/>
  <c r="J286" i="24"/>
  <c r="I286" i="24"/>
  <c r="H286" i="24"/>
  <c r="G286" i="24"/>
  <c r="J285" i="24"/>
  <c r="I285" i="24"/>
  <c r="H285" i="24"/>
  <c r="G285" i="24"/>
  <c r="J283" i="24"/>
  <c r="I283" i="24"/>
  <c r="H283" i="24"/>
  <c r="G283" i="24"/>
  <c r="J282" i="24"/>
  <c r="I282" i="24"/>
  <c r="H282" i="24"/>
  <c r="G282" i="24"/>
  <c r="J281" i="24"/>
  <c r="I281" i="24"/>
  <c r="H281" i="24"/>
  <c r="G281" i="24"/>
  <c r="J280" i="24"/>
  <c r="I280" i="24"/>
  <c r="H280" i="24"/>
  <c r="G280" i="24"/>
  <c r="J279" i="24"/>
  <c r="I279" i="24"/>
  <c r="H279" i="24"/>
  <c r="G279" i="24"/>
  <c r="J278" i="24"/>
  <c r="I278" i="24"/>
  <c r="H278" i="24"/>
  <c r="G278" i="24"/>
  <c r="J277" i="24"/>
  <c r="I277" i="24"/>
  <c r="H277" i="24"/>
  <c r="G277" i="24"/>
  <c r="J276" i="24"/>
  <c r="I276" i="24"/>
  <c r="H276" i="24"/>
  <c r="G276" i="24"/>
  <c r="J275" i="24"/>
  <c r="I275" i="24"/>
  <c r="H275" i="24"/>
  <c r="G275" i="24"/>
  <c r="J274" i="24"/>
  <c r="I274" i="24"/>
  <c r="H274" i="24"/>
  <c r="G274" i="24"/>
  <c r="J271" i="24"/>
  <c r="I271" i="24"/>
  <c r="H271" i="24"/>
  <c r="G271" i="24"/>
  <c r="J270" i="24"/>
  <c r="I270" i="24"/>
  <c r="H270" i="24"/>
  <c r="G270" i="24"/>
  <c r="J269" i="24"/>
  <c r="I269" i="24"/>
  <c r="H269" i="24"/>
  <c r="G269" i="24"/>
  <c r="J268" i="24"/>
  <c r="I268" i="24"/>
  <c r="H268" i="24"/>
  <c r="G268" i="24"/>
  <c r="J267" i="24"/>
  <c r="I267" i="24"/>
  <c r="H267" i="24"/>
  <c r="G267" i="24"/>
  <c r="J266" i="24"/>
  <c r="I266" i="24"/>
  <c r="H266" i="24"/>
  <c r="G266" i="24"/>
  <c r="J265" i="24"/>
  <c r="I265" i="24"/>
  <c r="H265" i="24"/>
  <c r="G265" i="24"/>
  <c r="J264" i="24"/>
  <c r="I264" i="24"/>
  <c r="H264" i="24"/>
  <c r="G264" i="24"/>
  <c r="J263" i="24"/>
  <c r="I263" i="24"/>
  <c r="H263" i="24"/>
  <c r="G263" i="24"/>
  <c r="J262" i="24"/>
  <c r="I262" i="24"/>
  <c r="H262" i="24"/>
  <c r="G262" i="24"/>
  <c r="J260" i="24"/>
  <c r="I260" i="24"/>
  <c r="H260" i="24"/>
  <c r="G260" i="24"/>
  <c r="J259" i="24"/>
  <c r="I259" i="24"/>
  <c r="H259" i="24"/>
  <c r="G259" i="24"/>
  <c r="J258" i="24"/>
  <c r="I258" i="24"/>
  <c r="H258" i="24"/>
  <c r="G258" i="24"/>
  <c r="J257" i="24"/>
  <c r="I257" i="24"/>
  <c r="H257" i="24"/>
  <c r="G257" i="24"/>
  <c r="J256" i="24"/>
  <c r="I256" i="24"/>
  <c r="H256" i="24"/>
  <c r="G256" i="24"/>
  <c r="J255" i="24"/>
  <c r="I255" i="24"/>
  <c r="H255" i="24"/>
  <c r="G255" i="24"/>
  <c r="J254" i="24"/>
  <c r="I254" i="24"/>
  <c r="H254" i="24"/>
  <c r="G254" i="24"/>
  <c r="J253" i="24"/>
  <c r="I253" i="24"/>
  <c r="H253" i="24"/>
  <c r="G253" i="24"/>
  <c r="J252" i="24"/>
  <c r="I252" i="24"/>
  <c r="H252" i="24"/>
  <c r="G252" i="24"/>
  <c r="J251" i="24"/>
  <c r="I251" i="24"/>
  <c r="H251" i="24"/>
  <c r="G251" i="24"/>
  <c r="J249" i="24"/>
  <c r="I249" i="24"/>
  <c r="H249" i="24"/>
  <c r="G249" i="24"/>
  <c r="J248" i="24"/>
  <c r="I248" i="24"/>
  <c r="H248" i="24"/>
  <c r="G248" i="24"/>
  <c r="J247" i="24"/>
  <c r="I247" i="24"/>
  <c r="H247" i="24"/>
  <c r="G247" i="24"/>
  <c r="J246" i="24"/>
  <c r="I246" i="24"/>
  <c r="H246" i="24"/>
  <c r="G246" i="24"/>
  <c r="J245" i="24"/>
  <c r="I245" i="24"/>
  <c r="H245" i="24"/>
  <c r="G245" i="24"/>
  <c r="J244" i="24"/>
  <c r="I244" i="24"/>
  <c r="H244" i="24"/>
  <c r="G244" i="24"/>
  <c r="J243" i="24"/>
  <c r="I243" i="24"/>
  <c r="H243" i="24"/>
  <c r="G243" i="24"/>
  <c r="J242" i="24"/>
  <c r="I242" i="24"/>
  <c r="H242" i="24"/>
  <c r="G242" i="24"/>
  <c r="J241" i="24"/>
  <c r="I241" i="24"/>
  <c r="H241" i="24"/>
  <c r="G241" i="24"/>
  <c r="J240" i="24"/>
  <c r="I240" i="24"/>
  <c r="H240" i="24"/>
  <c r="G240" i="24"/>
  <c r="J238" i="24"/>
  <c r="I238" i="24"/>
  <c r="H238" i="24"/>
  <c r="G238" i="24"/>
  <c r="J237" i="24"/>
  <c r="I237" i="24"/>
  <c r="H237" i="24"/>
  <c r="G237" i="24"/>
  <c r="J236" i="24"/>
  <c r="I236" i="24"/>
  <c r="H236" i="24"/>
  <c r="G236" i="24"/>
  <c r="J235" i="24"/>
  <c r="I235" i="24"/>
  <c r="H235" i="24"/>
  <c r="G235" i="24"/>
  <c r="J234" i="24"/>
  <c r="I234" i="24"/>
  <c r="H234" i="24"/>
  <c r="G234" i="24"/>
  <c r="J233" i="24"/>
  <c r="I233" i="24"/>
  <c r="H233" i="24"/>
  <c r="G233" i="24"/>
  <c r="J232" i="24"/>
  <c r="I232" i="24"/>
  <c r="H232" i="24"/>
  <c r="G232" i="24"/>
  <c r="J231" i="24"/>
  <c r="I231" i="24"/>
  <c r="H231" i="24"/>
  <c r="G231" i="24"/>
  <c r="J230" i="24"/>
  <c r="I230" i="24"/>
  <c r="H230" i="24"/>
  <c r="G230" i="24"/>
  <c r="J229" i="24"/>
  <c r="I229" i="24"/>
  <c r="H229" i="24"/>
  <c r="G229" i="24"/>
  <c r="J227" i="24"/>
  <c r="I227" i="24"/>
  <c r="H227" i="24"/>
  <c r="G227" i="24"/>
  <c r="J226" i="24"/>
  <c r="I226" i="24"/>
  <c r="H226" i="24"/>
  <c r="G226" i="24"/>
  <c r="J225" i="24"/>
  <c r="I225" i="24"/>
  <c r="H225" i="24"/>
  <c r="G225" i="24"/>
  <c r="J224" i="24"/>
  <c r="I224" i="24"/>
  <c r="H224" i="24"/>
  <c r="G224" i="24"/>
  <c r="J223" i="24"/>
  <c r="I223" i="24"/>
  <c r="H223" i="24"/>
  <c r="G223" i="24"/>
  <c r="J222" i="24"/>
  <c r="I222" i="24"/>
  <c r="H222" i="24"/>
  <c r="G222" i="24"/>
  <c r="J221" i="24"/>
  <c r="I221" i="24"/>
  <c r="H221" i="24"/>
  <c r="G221" i="24"/>
  <c r="J220" i="24"/>
  <c r="I220" i="24"/>
  <c r="H220" i="24"/>
  <c r="G220" i="24"/>
  <c r="J219" i="24"/>
  <c r="I219" i="24"/>
  <c r="H219" i="24"/>
  <c r="G219" i="24"/>
  <c r="J218" i="24"/>
  <c r="I218" i="24"/>
  <c r="H218" i="24"/>
  <c r="G218" i="24"/>
  <c r="J215" i="24"/>
  <c r="I215" i="24"/>
  <c r="H215" i="24"/>
  <c r="G215" i="24"/>
  <c r="J214" i="24"/>
  <c r="I214" i="24"/>
  <c r="H214" i="24"/>
  <c r="G214" i="24"/>
  <c r="J213" i="24"/>
  <c r="I213" i="24"/>
  <c r="H213" i="24"/>
  <c r="G213" i="24"/>
  <c r="J212" i="24"/>
  <c r="I212" i="24"/>
  <c r="H212" i="24"/>
  <c r="G212" i="24"/>
  <c r="J211" i="24"/>
  <c r="I211" i="24"/>
  <c r="H211" i="24"/>
  <c r="G211" i="24"/>
  <c r="J210" i="24"/>
  <c r="I210" i="24"/>
  <c r="H210" i="24"/>
  <c r="G210" i="24"/>
  <c r="J209" i="24"/>
  <c r="I209" i="24"/>
  <c r="H209" i="24"/>
  <c r="G209" i="24"/>
  <c r="J208" i="24"/>
  <c r="I208" i="24"/>
  <c r="H208" i="24"/>
  <c r="G208" i="24"/>
  <c r="J207" i="24"/>
  <c r="I207" i="24"/>
  <c r="H207" i="24"/>
  <c r="G207" i="24"/>
  <c r="J206" i="24"/>
  <c r="I206" i="24"/>
  <c r="H206" i="24"/>
  <c r="G206" i="24"/>
  <c r="J204" i="24"/>
  <c r="I204" i="24"/>
  <c r="H204" i="24"/>
  <c r="G204" i="24"/>
  <c r="J203" i="24"/>
  <c r="I203" i="24"/>
  <c r="H203" i="24"/>
  <c r="G203" i="24"/>
  <c r="J202" i="24"/>
  <c r="I202" i="24"/>
  <c r="H202" i="24"/>
  <c r="G202" i="24"/>
  <c r="J201" i="24"/>
  <c r="I201" i="24"/>
  <c r="H201" i="24"/>
  <c r="G201" i="24"/>
  <c r="J200" i="24"/>
  <c r="I200" i="24"/>
  <c r="H200" i="24"/>
  <c r="G200" i="24"/>
  <c r="J199" i="24"/>
  <c r="I199" i="24"/>
  <c r="H199" i="24"/>
  <c r="G199" i="24"/>
  <c r="J198" i="24"/>
  <c r="I198" i="24"/>
  <c r="H198" i="24"/>
  <c r="G198" i="24"/>
  <c r="J197" i="24"/>
  <c r="I197" i="24"/>
  <c r="H197" i="24"/>
  <c r="G197" i="24"/>
  <c r="J196" i="24"/>
  <c r="I196" i="24"/>
  <c r="H196" i="24"/>
  <c r="G196" i="24"/>
  <c r="J195" i="24"/>
  <c r="I195" i="24"/>
  <c r="H195" i="24"/>
  <c r="G195" i="24"/>
  <c r="J193" i="24"/>
  <c r="I193" i="24"/>
  <c r="H193" i="24"/>
  <c r="G193" i="24"/>
  <c r="J192" i="24"/>
  <c r="I192" i="24"/>
  <c r="H192" i="24"/>
  <c r="G192" i="24"/>
  <c r="J191" i="24"/>
  <c r="I191" i="24"/>
  <c r="H191" i="24"/>
  <c r="G191" i="24"/>
  <c r="J190" i="24"/>
  <c r="I190" i="24"/>
  <c r="H190" i="24"/>
  <c r="G190" i="24"/>
  <c r="J189" i="24"/>
  <c r="I189" i="24"/>
  <c r="H189" i="24"/>
  <c r="G189" i="24"/>
  <c r="J188" i="24"/>
  <c r="I188" i="24"/>
  <c r="H188" i="24"/>
  <c r="G188" i="24"/>
  <c r="J187" i="24"/>
  <c r="I187" i="24"/>
  <c r="H187" i="24"/>
  <c r="G187" i="24"/>
  <c r="J186" i="24"/>
  <c r="I186" i="24"/>
  <c r="H186" i="24"/>
  <c r="G186" i="24"/>
  <c r="J185" i="24"/>
  <c r="I185" i="24"/>
  <c r="H185" i="24"/>
  <c r="G185" i="24"/>
  <c r="J184" i="24"/>
  <c r="I184" i="24"/>
  <c r="H184" i="24"/>
  <c r="G184" i="24"/>
  <c r="J181" i="24"/>
  <c r="I181" i="24"/>
  <c r="H181" i="24"/>
  <c r="G181" i="24"/>
  <c r="J180" i="24"/>
  <c r="I180" i="24"/>
  <c r="H180" i="24"/>
  <c r="G180" i="24"/>
  <c r="J179" i="24"/>
  <c r="I179" i="24"/>
  <c r="H179" i="24"/>
  <c r="G179" i="24"/>
  <c r="J178" i="24"/>
  <c r="I178" i="24"/>
  <c r="H178" i="24"/>
  <c r="G178" i="24"/>
  <c r="J177" i="24"/>
  <c r="I177" i="24"/>
  <c r="H177" i="24"/>
  <c r="G177" i="24"/>
  <c r="J176" i="24"/>
  <c r="I176" i="24"/>
  <c r="H176" i="24"/>
  <c r="G176" i="24"/>
  <c r="J175" i="24"/>
  <c r="I175" i="24"/>
  <c r="H175" i="24"/>
  <c r="G175" i="24"/>
  <c r="J174" i="24"/>
  <c r="I174" i="24"/>
  <c r="H174" i="24"/>
  <c r="G174" i="24"/>
  <c r="J173" i="24"/>
  <c r="I173" i="24"/>
  <c r="H173" i="24"/>
  <c r="G173" i="24"/>
  <c r="J172" i="24"/>
  <c r="I172" i="24"/>
  <c r="H172" i="24"/>
  <c r="G172" i="24"/>
  <c r="J170" i="24"/>
  <c r="I170" i="24"/>
  <c r="H170" i="24"/>
  <c r="G170" i="24"/>
  <c r="J169" i="24"/>
  <c r="I169" i="24"/>
  <c r="H169" i="24"/>
  <c r="G169" i="24"/>
  <c r="J168" i="24"/>
  <c r="I168" i="24"/>
  <c r="H168" i="24"/>
  <c r="G168" i="24"/>
  <c r="J167" i="24"/>
  <c r="I167" i="24"/>
  <c r="H167" i="24"/>
  <c r="G167" i="24"/>
  <c r="J166" i="24"/>
  <c r="I166" i="24"/>
  <c r="H166" i="24"/>
  <c r="G166" i="24"/>
  <c r="J165" i="24"/>
  <c r="I165" i="24"/>
  <c r="H165" i="24"/>
  <c r="G165" i="24"/>
  <c r="J164" i="24"/>
  <c r="I164" i="24"/>
  <c r="H164" i="24"/>
  <c r="G164" i="24"/>
  <c r="J163" i="24"/>
  <c r="I163" i="24"/>
  <c r="H163" i="24"/>
  <c r="G163" i="24"/>
  <c r="J162" i="24"/>
  <c r="I162" i="24"/>
  <c r="H162" i="24"/>
  <c r="G162" i="24"/>
  <c r="J161" i="24"/>
  <c r="I161" i="24"/>
  <c r="H161" i="24"/>
  <c r="G161" i="24"/>
  <c r="J159" i="24"/>
  <c r="I159" i="24"/>
  <c r="H159" i="24"/>
  <c r="G159" i="24"/>
  <c r="J158" i="24"/>
  <c r="I158" i="24"/>
  <c r="H158" i="24"/>
  <c r="G158" i="24"/>
  <c r="J157" i="24"/>
  <c r="I157" i="24"/>
  <c r="H157" i="24"/>
  <c r="G157" i="24"/>
  <c r="J156" i="24"/>
  <c r="I156" i="24"/>
  <c r="H156" i="24"/>
  <c r="G156" i="24"/>
  <c r="J155" i="24"/>
  <c r="I155" i="24"/>
  <c r="H155" i="24"/>
  <c r="G155" i="24"/>
  <c r="J154" i="24"/>
  <c r="I154" i="24"/>
  <c r="H154" i="24"/>
  <c r="G154" i="24"/>
  <c r="J153" i="24"/>
  <c r="I153" i="24"/>
  <c r="H153" i="24"/>
  <c r="G153" i="24"/>
  <c r="J152" i="24"/>
  <c r="I152" i="24"/>
  <c r="H152" i="24"/>
  <c r="G152" i="24"/>
  <c r="J151" i="24"/>
  <c r="I151" i="24"/>
  <c r="H151" i="24"/>
  <c r="G151" i="24"/>
  <c r="J150" i="24"/>
  <c r="I150" i="24"/>
  <c r="H150" i="24"/>
  <c r="G150" i="24"/>
  <c r="J148" i="24"/>
  <c r="I148" i="24"/>
  <c r="H148" i="24"/>
  <c r="G148" i="24"/>
  <c r="J147" i="24"/>
  <c r="I147" i="24"/>
  <c r="H147" i="24"/>
  <c r="G147" i="24"/>
  <c r="J146" i="24"/>
  <c r="I146" i="24"/>
  <c r="H146" i="24"/>
  <c r="G146" i="24"/>
  <c r="J145" i="24"/>
  <c r="I145" i="24"/>
  <c r="H145" i="24"/>
  <c r="G145" i="24"/>
  <c r="J144" i="24"/>
  <c r="I144" i="24"/>
  <c r="H144" i="24"/>
  <c r="G144" i="24"/>
  <c r="J143" i="24"/>
  <c r="I143" i="24"/>
  <c r="H143" i="24"/>
  <c r="G143" i="24"/>
  <c r="J142" i="24"/>
  <c r="I142" i="24"/>
  <c r="H142" i="24"/>
  <c r="G142" i="24"/>
  <c r="J141" i="24"/>
  <c r="I141" i="24"/>
  <c r="H141" i="24"/>
  <c r="G141" i="24"/>
  <c r="J140" i="24"/>
  <c r="I140" i="24"/>
  <c r="H140" i="24"/>
  <c r="G140" i="24"/>
  <c r="J139" i="24"/>
  <c r="I139" i="24"/>
  <c r="H139" i="24"/>
  <c r="G139" i="24"/>
  <c r="J137" i="24"/>
  <c r="I137" i="24"/>
  <c r="H137" i="24"/>
  <c r="G137" i="24"/>
  <c r="J136" i="24"/>
  <c r="I136" i="24"/>
  <c r="H136" i="24"/>
  <c r="G136" i="24"/>
  <c r="J135" i="24"/>
  <c r="I135" i="24"/>
  <c r="H135" i="24"/>
  <c r="G135" i="24"/>
  <c r="J134" i="24"/>
  <c r="I134" i="24"/>
  <c r="H134" i="24"/>
  <c r="G134" i="24"/>
  <c r="J133" i="24"/>
  <c r="I133" i="24"/>
  <c r="H133" i="24"/>
  <c r="G133" i="24"/>
  <c r="J132" i="24"/>
  <c r="I132" i="24"/>
  <c r="H132" i="24"/>
  <c r="G132" i="24"/>
  <c r="J131" i="24"/>
  <c r="I131" i="24"/>
  <c r="H131" i="24"/>
  <c r="G131" i="24"/>
  <c r="J130" i="24"/>
  <c r="I130" i="24"/>
  <c r="H130" i="24"/>
  <c r="G130" i="24"/>
  <c r="J129" i="24"/>
  <c r="I129" i="24"/>
  <c r="H129" i="24"/>
  <c r="G129" i="24"/>
  <c r="J128" i="24"/>
  <c r="I128" i="24"/>
  <c r="H128" i="24"/>
  <c r="G128" i="24"/>
  <c r="J125" i="24"/>
  <c r="I125" i="24"/>
  <c r="H125" i="24"/>
  <c r="G125" i="24"/>
  <c r="J124" i="24"/>
  <c r="I124" i="24"/>
  <c r="H124" i="24"/>
  <c r="G124" i="24"/>
  <c r="J123" i="24"/>
  <c r="I123" i="24"/>
  <c r="H123" i="24"/>
  <c r="G123" i="24"/>
  <c r="J122" i="24"/>
  <c r="I122" i="24"/>
  <c r="H122" i="24"/>
  <c r="G122" i="24"/>
  <c r="J121" i="24"/>
  <c r="I121" i="24"/>
  <c r="H121" i="24"/>
  <c r="G121" i="24"/>
  <c r="J120" i="24"/>
  <c r="I120" i="24"/>
  <c r="H120" i="24"/>
  <c r="G120" i="24"/>
  <c r="J119" i="24"/>
  <c r="I119" i="24"/>
  <c r="H119" i="24"/>
  <c r="G119" i="24"/>
  <c r="J118" i="24"/>
  <c r="I118" i="24"/>
  <c r="H118" i="24"/>
  <c r="G118" i="24"/>
  <c r="J117" i="24"/>
  <c r="I117" i="24"/>
  <c r="H117" i="24"/>
  <c r="G117" i="24"/>
  <c r="J116" i="24"/>
  <c r="I116" i="24"/>
  <c r="H116" i="24"/>
  <c r="G116" i="24"/>
  <c r="J114" i="24"/>
  <c r="I114" i="24"/>
  <c r="H114" i="24"/>
  <c r="G114" i="24"/>
  <c r="J113" i="24"/>
  <c r="I113" i="24"/>
  <c r="H113" i="24"/>
  <c r="G113" i="24"/>
  <c r="J112" i="24"/>
  <c r="I112" i="24"/>
  <c r="H112" i="24"/>
  <c r="G112" i="24"/>
  <c r="J111" i="24"/>
  <c r="I111" i="24"/>
  <c r="H111" i="24"/>
  <c r="G111" i="24"/>
  <c r="J110" i="24"/>
  <c r="I110" i="24"/>
  <c r="H110" i="24"/>
  <c r="G110" i="24"/>
  <c r="J109" i="24"/>
  <c r="I109" i="24"/>
  <c r="H109" i="24"/>
  <c r="G109" i="24"/>
  <c r="J108" i="24"/>
  <c r="I108" i="24"/>
  <c r="H108" i="24"/>
  <c r="G108" i="24"/>
  <c r="J107" i="24"/>
  <c r="I107" i="24"/>
  <c r="H107" i="24"/>
  <c r="G107" i="24"/>
  <c r="J106" i="24"/>
  <c r="I106" i="24"/>
  <c r="H106" i="24"/>
  <c r="G106" i="24"/>
  <c r="J105" i="24"/>
  <c r="I105" i="24"/>
  <c r="H105" i="24"/>
  <c r="G105" i="24"/>
  <c r="J103" i="24"/>
  <c r="I103" i="24"/>
  <c r="H103" i="24"/>
  <c r="G103" i="24"/>
  <c r="J102" i="24"/>
  <c r="I102" i="24"/>
  <c r="H102" i="24"/>
  <c r="G102" i="24"/>
  <c r="J101" i="24"/>
  <c r="I101" i="24"/>
  <c r="H101" i="24"/>
  <c r="G101" i="24"/>
  <c r="J100" i="24"/>
  <c r="I100" i="24"/>
  <c r="H100" i="24"/>
  <c r="G100" i="24"/>
  <c r="J99" i="24"/>
  <c r="I99" i="24"/>
  <c r="H99" i="24"/>
  <c r="G99" i="24"/>
  <c r="J98" i="24"/>
  <c r="I98" i="24"/>
  <c r="H98" i="24"/>
  <c r="G98" i="24"/>
  <c r="J97" i="24"/>
  <c r="I97" i="24"/>
  <c r="H97" i="24"/>
  <c r="G97" i="24"/>
  <c r="J96" i="24"/>
  <c r="I96" i="24"/>
  <c r="H96" i="24"/>
  <c r="G96" i="24"/>
  <c r="J95" i="24"/>
  <c r="I95" i="24"/>
  <c r="H95" i="24"/>
  <c r="G95" i="24"/>
  <c r="J94" i="24"/>
  <c r="I94" i="24"/>
  <c r="H94" i="24"/>
  <c r="G94" i="24"/>
  <c r="J92" i="24"/>
  <c r="I92" i="24"/>
  <c r="H92" i="24"/>
  <c r="G92" i="24"/>
  <c r="J91" i="24"/>
  <c r="I91" i="24"/>
  <c r="H91" i="24"/>
  <c r="G91" i="24"/>
  <c r="J90" i="24"/>
  <c r="I90" i="24"/>
  <c r="H90" i="24"/>
  <c r="G90" i="24"/>
  <c r="J89" i="24"/>
  <c r="I89" i="24"/>
  <c r="H89" i="24"/>
  <c r="G89" i="24"/>
  <c r="J88" i="24"/>
  <c r="I88" i="24"/>
  <c r="H88" i="24"/>
  <c r="G88" i="24"/>
  <c r="J87" i="24"/>
  <c r="I87" i="24"/>
  <c r="H87" i="24"/>
  <c r="G87" i="24"/>
  <c r="J86" i="24"/>
  <c r="I86" i="24"/>
  <c r="H86" i="24"/>
  <c r="G86" i="24"/>
  <c r="J85" i="24"/>
  <c r="I85" i="24"/>
  <c r="H85" i="24"/>
  <c r="G85" i="24"/>
  <c r="J84" i="24"/>
  <c r="I84" i="24"/>
  <c r="H84" i="24"/>
  <c r="G84" i="24"/>
  <c r="J83" i="24"/>
  <c r="I83" i="24"/>
  <c r="H83" i="24"/>
  <c r="G83" i="24"/>
  <c r="J81" i="24"/>
  <c r="J80" i="24"/>
  <c r="J79" i="24"/>
  <c r="J78" i="24"/>
  <c r="J77" i="24"/>
  <c r="J76" i="24"/>
  <c r="J75" i="24"/>
  <c r="J74" i="24"/>
  <c r="J73" i="24"/>
  <c r="I81" i="24"/>
  <c r="I80" i="24"/>
  <c r="I79" i="24"/>
  <c r="I78" i="24"/>
  <c r="I77" i="24"/>
  <c r="I76" i="24"/>
  <c r="I75" i="24"/>
  <c r="I74" i="24"/>
  <c r="I73" i="24"/>
  <c r="H81" i="24"/>
  <c r="H80" i="24"/>
  <c r="H79" i="24"/>
  <c r="H78" i="24"/>
  <c r="H77" i="24"/>
  <c r="H76" i="24"/>
  <c r="H75" i="24"/>
  <c r="H74" i="24"/>
  <c r="H73" i="24"/>
  <c r="G81" i="24"/>
  <c r="G80" i="24"/>
  <c r="G79" i="24"/>
  <c r="G78" i="24"/>
  <c r="G77" i="24"/>
  <c r="G76" i="24"/>
  <c r="G75" i="24"/>
  <c r="G74" i="24"/>
  <c r="G73" i="24"/>
  <c r="G72" i="24"/>
  <c r="H72" i="24"/>
  <c r="I72" i="24"/>
  <c r="J72" i="24"/>
  <c r="D53" i="8"/>
  <c r="E53" i="8"/>
  <c r="F53" i="8"/>
  <c r="B57" i="8"/>
  <c r="C81" i="24"/>
  <c r="C80" i="24"/>
  <c r="C79" i="24"/>
  <c r="C78" i="24"/>
  <c r="C77" i="24"/>
  <c r="C76" i="24"/>
  <c r="C75" i="24"/>
  <c r="C361" i="24"/>
  <c r="C360" i="24"/>
  <c r="C359" i="24"/>
  <c r="C358" i="24"/>
  <c r="C357" i="24"/>
  <c r="C356" i="24"/>
  <c r="C355" i="24"/>
  <c r="C350" i="24"/>
  <c r="C349" i="24"/>
  <c r="C348" i="24"/>
  <c r="C347" i="24"/>
  <c r="C346" i="24"/>
  <c r="C345" i="24"/>
  <c r="C344" i="24"/>
  <c r="C339" i="24"/>
  <c r="C338" i="24"/>
  <c r="C337" i="24"/>
  <c r="C336" i="24"/>
  <c r="C335" i="24"/>
  <c r="C334" i="24"/>
  <c r="C333" i="24"/>
  <c r="C328" i="24"/>
  <c r="C327" i="24"/>
  <c r="C326" i="24"/>
  <c r="C325" i="24"/>
  <c r="C324" i="24"/>
  <c r="C323" i="24"/>
  <c r="C322" i="24"/>
  <c r="C316" i="24"/>
  <c r="C315" i="24"/>
  <c r="C314" i="24"/>
  <c r="C313" i="24"/>
  <c r="C312" i="24"/>
  <c r="C311" i="24"/>
  <c r="C310" i="24"/>
  <c r="C305" i="24"/>
  <c r="C304" i="24"/>
  <c r="C303" i="24"/>
  <c r="C302" i="24"/>
  <c r="C301" i="24"/>
  <c r="C300" i="24"/>
  <c r="C299" i="24"/>
  <c r="C294" i="24"/>
  <c r="C293" i="24"/>
  <c r="C292" i="24"/>
  <c r="C291" i="24"/>
  <c r="C290" i="24"/>
  <c r="C289" i="24"/>
  <c r="C288" i="24"/>
  <c r="C283" i="24"/>
  <c r="C282" i="24"/>
  <c r="C281" i="24"/>
  <c r="C280" i="24"/>
  <c r="C279" i="24"/>
  <c r="C278" i="24"/>
  <c r="C277" i="24"/>
  <c r="C271" i="24"/>
  <c r="C270" i="24"/>
  <c r="C269" i="24"/>
  <c r="C268" i="24"/>
  <c r="C267" i="24"/>
  <c r="C266" i="24"/>
  <c r="C265" i="24"/>
  <c r="C260" i="24"/>
  <c r="C259" i="24"/>
  <c r="C258" i="24"/>
  <c r="C257" i="24"/>
  <c r="C256" i="24"/>
  <c r="C255" i="24"/>
  <c r="C254" i="24"/>
  <c r="C249" i="24"/>
  <c r="C248" i="24"/>
  <c r="C247" i="24"/>
  <c r="C246" i="24"/>
  <c r="C245" i="24"/>
  <c r="C244" i="24"/>
  <c r="C243" i="24"/>
  <c r="C238" i="24"/>
  <c r="C237" i="24"/>
  <c r="C236" i="24"/>
  <c r="C235" i="24"/>
  <c r="C234" i="24"/>
  <c r="C233" i="24"/>
  <c r="C232" i="24"/>
  <c r="C227" i="24"/>
  <c r="C226" i="24"/>
  <c r="C225" i="24"/>
  <c r="C224" i="24"/>
  <c r="C223" i="24"/>
  <c r="C222" i="24"/>
  <c r="C221" i="24"/>
  <c r="C215" i="24"/>
  <c r="C214" i="24"/>
  <c r="C213" i="24"/>
  <c r="C212" i="24"/>
  <c r="C211" i="24"/>
  <c r="C210" i="24"/>
  <c r="C209" i="24"/>
  <c r="C204" i="24"/>
  <c r="C203" i="24"/>
  <c r="C202" i="24"/>
  <c r="C201" i="24"/>
  <c r="C200" i="24"/>
  <c r="C199" i="24"/>
  <c r="C198" i="24"/>
  <c r="C193" i="24"/>
  <c r="C192" i="24"/>
  <c r="C191" i="24"/>
  <c r="C190" i="24"/>
  <c r="C189" i="24"/>
  <c r="C188" i="24"/>
  <c r="C187" i="24"/>
  <c r="C181" i="24"/>
  <c r="C180" i="24"/>
  <c r="C179" i="24"/>
  <c r="C178" i="24"/>
  <c r="C177" i="24"/>
  <c r="C176" i="24"/>
  <c r="C175" i="24"/>
  <c r="C170" i="24"/>
  <c r="C169" i="24"/>
  <c r="C168" i="24"/>
  <c r="C167" i="24"/>
  <c r="C166" i="24"/>
  <c r="C165" i="24"/>
  <c r="C164" i="24"/>
  <c r="C159" i="24"/>
  <c r="C158" i="24"/>
  <c r="C157" i="24"/>
  <c r="C156" i="24"/>
  <c r="C155" i="24"/>
  <c r="C154" i="24"/>
  <c r="C153" i="24"/>
  <c r="C148" i="24"/>
  <c r="C147" i="24"/>
  <c r="C146" i="24"/>
  <c r="C145" i="24"/>
  <c r="C144" i="24"/>
  <c r="C143" i="24"/>
  <c r="C142" i="24"/>
  <c r="C137" i="24"/>
  <c r="C136" i="24"/>
  <c r="C135" i="24"/>
  <c r="C134" i="24"/>
  <c r="C133" i="24"/>
  <c r="C132" i="24"/>
  <c r="C131" i="24"/>
  <c r="C125" i="24"/>
  <c r="C124" i="24"/>
  <c r="C123" i="24"/>
  <c r="C122" i="24"/>
  <c r="C121" i="24"/>
  <c r="C120" i="24"/>
  <c r="C119" i="24"/>
  <c r="C114" i="24"/>
  <c r="C113" i="24"/>
  <c r="C112" i="24"/>
  <c r="C111" i="24"/>
  <c r="C110" i="24"/>
  <c r="C109" i="24"/>
  <c r="C108" i="24"/>
  <c r="C103" i="24"/>
  <c r="C102" i="24"/>
  <c r="C101" i="24"/>
  <c r="C100" i="24"/>
  <c r="C99" i="24"/>
  <c r="C98" i="24"/>
  <c r="C97" i="24"/>
  <c r="C86" i="24"/>
  <c r="C92" i="24"/>
  <c r="C91" i="24"/>
  <c r="C90" i="24"/>
  <c r="C89" i="24"/>
  <c r="C88" i="24"/>
  <c r="C87" i="24"/>
  <c r="C107" i="24" l="1"/>
  <c r="D64" i="8"/>
  <c r="E64" i="8"/>
  <c r="A1116" i="69" l="1"/>
  <c r="A1115" i="69"/>
  <c r="A1114" i="69"/>
  <c r="A1113" i="69"/>
  <c r="A1112" i="69"/>
  <c r="A1111" i="69"/>
  <c r="A1110" i="69"/>
  <c r="A1109" i="69"/>
  <c r="A1108" i="69"/>
  <c r="A1107" i="69"/>
  <c r="A1106" i="69"/>
  <c r="A1105" i="69"/>
  <c r="A1104" i="69"/>
  <c r="A1103" i="69"/>
  <c r="A1102" i="69"/>
  <c r="A1101" i="69"/>
  <c r="A1100" i="69"/>
  <c r="A1099" i="69"/>
  <c r="A1098" i="69"/>
  <c r="A1097" i="69"/>
  <c r="A1096" i="69"/>
  <c r="A1095" i="69"/>
  <c r="A1094" i="69"/>
  <c r="A1093" i="69"/>
  <c r="A1092" i="69"/>
  <c r="A1091" i="69"/>
  <c r="A1090" i="69"/>
  <c r="A1089" i="69"/>
  <c r="A1088" i="69"/>
  <c r="A1087" i="69"/>
  <c r="A1086" i="69"/>
  <c r="A1085" i="69"/>
  <c r="A1084" i="69"/>
  <c r="A1083" i="69"/>
  <c r="A1082" i="69"/>
  <c r="A1081" i="69"/>
  <c r="A1080" i="69"/>
  <c r="A1079" i="69"/>
  <c r="A1078" i="69"/>
  <c r="A1077" i="69"/>
  <c r="A1076" i="69"/>
  <c r="A1075" i="69"/>
  <c r="A1074" i="69"/>
  <c r="A1073" i="69"/>
  <c r="A1072" i="69"/>
  <c r="A1071" i="69"/>
  <c r="A1070" i="69"/>
  <c r="A1069" i="69"/>
  <c r="A1068" i="69"/>
  <c r="A1067" i="69"/>
  <c r="A1066" i="69"/>
  <c r="A1065" i="69"/>
  <c r="A1064" i="69"/>
  <c r="A1063" i="69"/>
  <c r="A1062" i="69"/>
  <c r="A1061" i="69"/>
  <c r="A1060" i="69"/>
  <c r="A1059" i="69"/>
  <c r="A1058" i="69"/>
  <c r="A1057" i="69"/>
  <c r="A1056" i="69"/>
  <c r="A1055" i="69"/>
  <c r="A1054" i="69"/>
  <c r="A1053" i="69"/>
  <c r="A1052" i="69"/>
  <c r="A1051" i="69"/>
  <c r="A1050" i="69"/>
  <c r="A1049" i="69"/>
  <c r="A1048" i="69"/>
  <c r="A1047" i="69"/>
  <c r="A1046" i="69"/>
  <c r="A1045" i="69"/>
  <c r="A1044" i="69"/>
  <c r="A1043" i="69"/>
  <c r="A1042" i="69"/>
  <c r="A1041" i="69"/>
  <c r="A1040" i="69"/>
  <c r="A1039" i="69"/>
  <c r="A1038" i="69"/>
  <c r="A1037" i="69"/>
  <c r="A1036" i="69"/>
  <c r="A1035" i="69"/>
  <c r="A1034" i="69"/>
  <c r="A1033" i="69"/>
  <c r="A1032" i="69"/>
  <c r="A1031" i="69"/>
  <c r="A1030" i="69"/>
  <c r="A1029" i="69"/>
  <c r="A1028" i="69"/>
  <c r="A1027" i="69"/>
  <c r="A1026" i="69"/>
  <c r="A1025" i="69"/>
  <c r="A1024" i="69"/>
  <c r="A1023" i="69"/>
  <c r="A1022" i="69"/>
  <c r="A1021" i="69"/>
  <c r="A1020" i="69"/>
  <c r="A1019" i="69"/>
  <c r="A1018" i="69"/>
  <c r="A1017" i="69"/>
  <c r="A1016" i="69"/>
  <c r="A1015" i="69"/>
  <c r="A1014" i="69"/>
  <c r="A1013" i="69"/>
  <c r="A1012" i="69"/>
  <c r="A1011" i="69"/>
  <c r="A1010" i="69"/>
  <c r="A1009" i="69"/>
  <c r="A1008" i="69"/>
  <c r="A1007" i="69"/>
  <c r="A1006" i="69"/>
  <c r="A1005" i="69"/>
  <c r="A1004" i="69"/>
  <c r="A1003" i="69"/>
  <c r="A1002" i="69"/>
  <c r="A1001" i="69"/>
  <c r="A1000" i="69"/>
  <c r="A999" i="69"/>
  <c r="A998" i="69"/>
  <c r="A997" i="69"/>
  <c r="A996" i="69"/>
  <c r="A995" i="69"/>
  <c r="A994" i="69"/>
  <c r="A993" i="69"/>
  <c r="A992" i="69"/>
  <c r="A991" i="69"/>
  <c r="A990" i="69"/>
  <c r="A989" i="69"/>
  <c r="A988" i="69"/>
  <c r="A987" i="69"/>
  <c r="A986" i="69"/>
  <c r="A985" i="69"/>
  <c r="A984" i="69"/>
  <c r="A983" i="69"/>
  <c r="A982" i="69"/>
  <c r="A981" i="69"/>
  <c r="A980" i="69"/>
  <c r="A979" i="69"/>
  <c r="A978" i="69"/>
  <c r="A977" i="69"/>
  <c r="A976" i="69"/>
  <c r="A975" i="69"/>
  <c r="A974" i="69"/>
  <c r="A973" i="69"/>
  <c r="A972" i="69"/>
  <c r="A971" i="69"/>
  <c r="A970" i="69"/>
  <c r="A969" i="69"/>
  <c r="A968" i="69"/>
  <c r="A967" i="69"/>
  <c r="A966" i="69"/>
  <c r="A965" i="69"/>
  <c r="A964" i="69"/>
  <c r="A963" i="69"/>
  <c r="A962" i="69"/>
  <c r="A961" i="69"/>
  <c r="A960" i="69"/>
  <c r="A959" i="69"/>
  <c r="A958" i="69"/>
  <c r="A957" i="69"/>
  <c r="A956" i="69"/>
  <c r="A955" i="69"/>
  <c r="A954" i="69"/>
  <c r="A953" i="69"/>
  <c r="A952" i="69"/>
  <c r="A951" i="69"/>
  <c r="A950" i="69"/>
  <c r="A949" i="69"/>
  <c r="A948" i="69"/>
  <c r="A947" i="69"/>
  <c r="A946" i="69"/>
  <c r="A945" i="69"/>
  <c r="A944" i="69"/>
  <c r="A943" i="69"/>
  <c r="A942" i="69"/>
  <c r="A941" i="69"/>
  <c r="A940" i="69"/>
  <c r="A939" i="69"/>
  <c r="A938" i="69"/>
  <c r="A937" i="69"/>
  <c r="A936" i="69"/>
  <c r="A935" i="69"/>
  <c r="A934" i="69"/>
  <c r="A933" i="69"/>
  <c r="A932" i="69"/>
  <c r="A931" i="69"/>
  <c r="A930" i="69"/>
  <c r="A929" i="69"/>
  <c r="A928" i="69"/>
  <c r="A927" i="69"/>
  <c r="A926" i="69"/>
  <c r="A925" i="69"/>
  <c r="A924" i="69"/>
  <c r="A923" i="69"/>
  <c r="A922" i="69"/>
  <c r="A921" i="69"/>
  <c r="A920" i="69"/>
  <c r="A919" i="69"/>
  <c r="A918" i="69"/>
  <c r="A917" i="69"/>
  <c r="A916" i="69"/>
  <c r="A915" i="69"/>
  <c r="A914" i="69"/>
  <c r="A913" i="69"/>
  <c r="A912" i="69"/>
  <c r="A911" i="69"/>
  <c r="A910" i="69"/>
  <c r="A909" i="69"/>
  <c r="A908" i="69"/>
  <c r="A907" i="69"/>
  <c r="A906" i="69"/>
  <c r="A905" i="69"/>
  <c r="A904" i="69"/>
  <c r="A903" i="69"/>
  <c r="A902" i="69"/>
  <c r="A901" i="69"/>
  <c r="A900" i="69"/>
  <c r="A899" i="69"/>
  <c r="A898" i="69"/>
  <c r="A897" i="69"/>
  <c r="A896" i="69"/>
  <c r="A895" i="69"/>
  <c r="A894" i="69"/>
  <c r="A893" i="69"/>
  <c r="A892" i="69"/>
  <c r="A891" i="69"/>
  <c r="A890" i="69"/>
  <c r="A889" i="69"/>
  <c r="A888" i="69"/>
  <c r="A887" i="69"/>
  <c r="A886" i="69"/>
  <c r="A885" i="69"/>
  <c r="A884" i="69"/>
  <c r="A883" i="69"/>
  <c r="A882" i="69"/>
  <c r="A881" i="69"/>
  <c r="A880" i="69"/>
  <c r="A879" i="69"/>
  <c r="A878" i="69"/>
  <c r="A877" i="69"/>
  <c r="A876" i="69"/>
  <c r="A875" i="69"/>
  <c r="A874" i="69"/>
  <c r="A873" i="69"/>
  <c r="A872" i="69"/>
  <c r="A871" i="69"/>
  <c r="A870" i="69"/>
  <c r="A869" i="69"/>
  <c r="A868" i="69"/>
  <c r="A867" i="69"/>
  <c r="A866" i="69"/>
  <c r="A865" i="69"/>
  <c r="A864" i="69"/>
  <c r="A863" i="69"/>
  <c r="A862" i="69"/>
  <c r="A861" i="69"/>
  <c r="A860" i="69"/>
  <c r="A859" i="69"/>
  <c r="A858" i="69"/>
  <c r="A857" i="69"/>
  <c r="A856" i="69"/>
  <c r="A855" i="69"/>
  <c r="A854" i="69"/>
  <c r="A853" i="69"/>
  <c r="A852" i="69"/>
  <c r="A851" i="69"/>
  <c r="A850" i="69"/>
  <c r="A849" i="69"/>
  <c r="A848" i="69"/>
  <c r="A847" i="69"/>
  <c r="A846" i="69"/>
  <c r="A845" i="69"/>
  <c r="A844" i="69"/>
  <c r="A843" i="69"/>
  <c r="A842" i="69"/>
  <c r="A841" i="69"/>
  <c r="A840" i="69"/>
  <c r="A839" i="69"/>
  <c r="A838" i="69"/>
  <c r="A837" i="69"/>
  <c r="A836" i="69"/>
  <c r="A835" i="69"/>
  <c r="A834" i="69"/>
  <c r="A833" i="69"/>
  <c r="A832" i="69"/>
  <c r="A831" i="69"/>
  <c r="A830" i="69"/>
  <c r="A829" i="69"/>
  <c r="A828" i="69"/>
  <c r="A827" i="69"/>
  <c r="A826" i="69"/>
  <c r="A825" i="69"/>
  <c r="A824" i="69"/>
  <c r="A823" i="69"/>
  <c r="A822" i="69"/>
  <c r="A821" i="69"/>
  <c r="A820" i="69"/>
  <c r="A819" i="69"/>
  <c r="A818" i="69"/>
  <c r="A817" i="69"/>
  <c r="A816" i="69"/>
  <c r="A815" i="69"/>
  <c r="A814" i="69"/>
  <c r="A813" i="69"/>
  <c r="A812" i="69"/>
  <c r="A811" i="69"/>
  <c r="A810" i="69"/>
  <c r="A809" i="69"/>
  <c r="A808" i="69"/>
  <c r="A807" i="69"/>
  <c r="A806" i="69"/>
  <c r="A805" i="69"/>
  <c r="A804" i="69"/>
  <c r="A803" i="69"/>
  <c r="A802" i="69"/>
  <c r="A801" i="69"/>
  <c r="A800" i="69"/>
  <c r="A799" i="69"/>
  <c r="A798" i="69"/>
  <c r="A797" i="69"/>
  <c r="A796" i="69"/>
  <c r="A795" i="69"/>
  <c r="A794" i="69"/>
  <c r="A793" i="69"/>
  <c r="A792" i="69"/>
  <c r="A791" i="69"/>
  <c r="A790" i="69"/>
  <c r="A789" i="69"/>
  <c r="A788" i="69"/>
  <c r="A787" i="69"/>
  <c r="A786" i="69"/>
  <c r="A785" i="69"/>
  <c r="A784" i="69"/>
  <c r="A783" i="69"/>
  <c r="A782" i="69"/>
  <c r="A781" i="69"/>
  <c r="A780" i="69"/>
  <c r="A779" i="69"/>
  <c r="A778" i="69"/>
  <c r="A777" i="69"/>
  <c r="A776" i="69"/>
  <c r="A775" i="69"/>
  <c r="A774" i="69"/>
  <c r="A773" i="69"/>
  <c r="A772" i="69"/>
  <c r="A771" i="69"/>
  <c r="A770" i="69"/>
  <c r="A769" i="69"/>
  <c r="A768" i="69"/>
  <c r="A767" i="69"/>
  <c r="A766" i="69"/>
  <c r="A765" i="69"/>
  <c r="A764" i="69"/>
  <c r="A763" i="69"/>
  <c r="A762" i="69"/>
  <c r="A761" i="69"/>
  <c r="A760" i="69"/>
  <c r="A759" i="69"/>
  <c r="A758" i="69"/>
  <c r="A757" i="69"/>
  <c r="A756" i="69"/>
  <c r="A755" i="69"/>
  <c r="A754" i="69"/>
  <c r="A753" i="69"/>
  <c r="A752" i="69"/>
  <c r="A751" i="69"/>
  <c r="A750" i="69"/>
  <c r="A749" i="69"/>
  <c r="A748" i="69"/>
  <c r="A747" i="69"/>
  <c r="A746" i="69"/>
  <c r="A745" i="69"/>
  <c r="A744" i="69"/>
  <c r="A743" i="69"/>
  <c r="A742" i="69"/>
  <c r="A741" i="69"/>
  <c r="A740" i="69"/>
  <c r="A739" i="69"/>
  <c r="A738" i="69"/>
  <c r="A737" i="69"/>
  <c r="A736" i="69"/>
  <c r="A735" i="69"/>
  <c r="A734" i="69"/>
  <c r="A733" i="69"/>
  <c r="A732" i="69"/>
  <c r="A731" i="69"/>
  <c r="A730" i="69"/>
  <c r="A729" i="69"/>
  <c r="A728" i="69"/>
  <c r="A727" i="69"/>
  <c r="A726" i="69"/>
  <c r="A725" i="69"/>
  <c r="A724" i="69"/>
  <c r="A723" i="69"/>
  <c r="A722" i="69"/>
  <c r="A721" i="69"/>
  <c r="A720" i="69"/>
  <c r="A719" i="69"/>
  <c r="A718" i="69"/>
  <c r="A717" i="69"/>
  <c r="A716" i="69"/>
  <c r="A715" i="69"/>
  <c r="A714" i="69"/>
  <c r="A713" i="69"/>
  <c r="A712" i="69"/>
  <c r="A711" i="69"/>
  <c r="A710" i="69"/>
  <c r="A709" i="69"/>
  <c r="A708" i="69"/>
  <c r="A707" i="69"/>
  <c r="A706" i="69"/>
  <c r="A705" i="69"/>
  <c r="A704" i="69"/>
  <c r="A703" i="69"/>
  <c r="A702" i="69"/>
  <c r="A701" i="69"/>
  <c r="A700" i="69"/>
  <c r="A699" i="69"/>
  <c r="A698" i="69"/>
  <c r="A697" i="69"/>
  <c r="A696" i="69"/>
  <c r="A695" i="69"/>
  <c r="A694" i="69"/>
  <c r="A693" i="69"/>
  <c r="A692" i="69"/>
  <c r="A691" i="69"/>
  <c r="A690" i="69"/>
  <c r="A689" i="69"/>
  <c r="A688" i="69"/>
  <c r="A687" i="69"/>
  <c r="A686" i="69"/>
  <c r="A685" i="69"/>
  <c r="A684" i="69"/>
  <c r="A683" i="69"/>
  <c r="A682" i="69"/>
  <c r="A681" i="69"/>
  <c r="A680" i="69"/>
  <c r="A679" i="69"/>
  <c r="A678" i="69"/>
  <c r="A677" i="69"/>
  <c r="A676" i="69"/>
  <c r="A675" i="69"/>
  <c r="A674" i="69"/>
  <c r="A673" i="69"/>
  <c r="A672" i="69"/>
  <c r="A671" i="69"/>
  <c r="A670" i="69"/>
  <c r="A669" i="69"/>
  <c r="A668" i="69"/>
  <c r="A667" i="69"/>
  <c r="A666" i="69"/>
  <c r="A665" i="69"/>
  <c r="A664" i="69"/>
  <c r="A663" i="69"/>
  <c r="A662" i="69"/>
  <c r="A661" i="69"/>
  <c r="A660" i="69"/>
  <c r="A659" i="69"/>
  <c r="A658" i="69"/>
  <c r="A657" i="69"/>
  <c r="A656" i="69"/>
  <c r="A655" i="69"/>
  <c r="A654" i="69"/>
  <c r="A653" i="69"/>
  <c r="A652" i="69"/>
  <c r="A651" i="69"/>
  <c r="A650" i="69"/>
  <c r="A649" i="69"/>
  <c r="A648" i="69"/>
  <c r="A647" i="69"/>
  <c r="A646" i="69"/>
  <c r="A645" i="69"/>
  <c r="A644" i="69"/>
  <c r="A643" i="69"/>
  <c r="A642" i="69"/>
  <c r="A641" i="69"/>
  <c r="A640" i="69"/>
  <c r="A639" i="69"/>
  <c r="A638" i="69"/>
  <c r="A637" i="69"/>
  <c r="A636" i="69"/>
  <c r="A635" i="69"/>
  <c r="A634" i="69"/>
  <c r="A633" i="69"/>
  <c r="A632" i="69"/>
  <c r="A631" i="69"/>
  <c r="A630" i="69"/>
  <c r="A629" i="69"/>
  <c r="A628" i="69"/>
  <c r="A627" i="69"/>
  <c r="A626" i="69"/>
  <c r="A625" i="69"/>
  <c r="A624" i="69"/>
  <c r="A623" i="69"/>
  <c r="A622" i="69"/>
  <c r="A621" i="69"/>
  <c r="A620" i="69"/>
  <c r="A619" i="69"/>
  <c r="A618" i="69"/>
  <c r="A617" i="69"/>
  <c r="A616" i="69"/>
  <c r="A615" i="69"/>
  <c r="A614" i="69"/>
  <c r="A613" i="69"/>
  <c r="A612" i="69"/>
  <c r="A611" i="69"/>
  <c r="A610" i="69"/>
  <c r="A609" i="69"/>
  <c r="A608" i="69"/>
  <c r="A607" i="69"/>
  <c r="A606" i="69"/>
  <c r="A605" i="69"/>
  <c r="A604" i="69"/>
  <c r="A603" i="69"/>
  <c r="A602" i="69"/>
  <c r="A601" i="69"/>
  <c r="A600" i="69"/>
  <c r="A599" i="69"/>
  <c r="A598" i="69"/>
  <c r="A597" i="69"/>
  <c r="A596" i="69"/>
  <c r="A595" i="69"/>
  <c r="A594" i="69"/>
  <c r="A593" i="69"/>
  <c r="A592" i="69"/>
  <c r="A591" i="69"/>
  <c r="A590" i="69"/>
  <c r="A589" i="69"/>
  <c r="A588" i="69"/>
  <c r="A587" i="69"/>
  <c r="A586" i="69"/>
  <c r="A585" i="69"/>
  <c r="A584" i="69"/>
  <c r="A583" i="69"/>
  <c r="A582" i="69"/>
  <c r="A581" i="69"/>
  <c r="A580" i="69"/>
  <c r="A579" i="69"/>
  <c r="A578" i="69"/>
  <c r="A577" i="69"/>
  <c r="A576" i="69"/>
  <c r="A575" i="69"/>
  <c r="A574" i="69"/>
  <c r="A573" i="69"/>
  <c r="A572" i="69"/>
  <c r="A571" i="69"/>
  <c r="A570" i="69"/>
  <c r="A569" i="69"/>
  <c r="A568" i="69"/>
  <c r="A567" i="69"/>
  <c r="A566" i="69"/>
  <c r="A565" i="69"/>
  <c r="A564" i="69"/>
  <c r="A563" i="69"/>
  <c r="A562" i="69"/>
  <c r="A561" i="69"/>
  <c r="A560" i="69"/>
  <c r="A559" i="69"/>
  <c r="A558" i="69"/>
  <c r="A557" i="69"/>
  <c r="A556" i="69"/>
  <c r="A555" i="69"/>
  <c r="A554" i="69"/>
  <c r="A553" i="69"/>
  <c r="A552" i="69"/>
  <c r="A551" i="69"/>
  <c r="A550" i="69"/>
  <c r="A549" i="69"/>
  <c r="A548" i="69"/>
  <c r="A547" i="69"/>
  <c r="A546" i="69"/>
  <c r="A545" i="69"/>
  <c r="A544" i="69"/>
  <c r="A543" i="69"/>
  <c r="A542" i="69"/>
  <c r="A541" i="69"/>
  <c r="A540" i="69"/>
  <c r="A539" i="69"/>
  <c r="A538" i="69"/>
  <c r="A537" i="69"/>
  <c r="A536" i="69"/>
  <c r="A535" i="69"/>
  <c r="A534" i="69"/>
  <c r="A533" i="69"/>
  <c r="A532" i="69"/>
  <c r="A531" i="69"/>
  <c r="A530" i="69"/>
  <c r="A529" i="69"/>
  <c r="A528" i="69"/>
  <c r="A527" i="69"/>
  <c r="A526" i="69"/>
  <c r="A525" i="69"/>
  <c r="A524" i="69"/>
  <c r="A523" i="69"/>
  <c r="A522" i="69"/>
  <c r="A521" i="69"/>
  <c r="A520" i="69"/>
  <c r="A519" i="69"/>
  <c r="A518" i="69"/>
  <c r="A517" i="69"/>
  <c r="A516" i="69"/>
  <c r="A515" i="69"/>
  <c r="A514" i="69"/>
  <c r="A513" i="69"/>
  <c r="A512" i="69"/>
  <c r="A511" i="69"/>
  <c r="A510" i="69"/>
  <c r="A509" i="69"/>
  <c r="A508" i="69"/>
  <c r="A507" i="69"/>
  <c r="A506" i="69"/>
  <c r="A505" i="69"/>
  <c r="A504" i="69"/>
  <c r="A503" i="69"/>
  <c r="A502" i="69"/>
  <c r="A501" i="69"/>
  <c r="A500" i="69"/>
  <c r="A499" i="69"/>
  <c r="A498" i="69"/>
  <c r="A497" i="69"/>
  <c r="A496" i="69"/>
  <c r="A495" i="69"/>
  <c r="A494" i="69"/>
  <c r="A493" i="69"/>
  <c r="A492" i="69"/>
  <c r="A491" i="69"/>
  <c r="A490" i="69"/>
  <c r="A489" i="69"/>
  <c r="A488" i="69"/>
  <c r="A487" i="69"/>
  <c r="A486" i="69"/>
  <c r="A485" i="69"/>
  <c r="A484" i="69"/>
  <c r="A483" i="69"/>
  <c r="A481" i="69"/>
  <c r="A480" i="69"/>
  <c r="A479" i="69"/>
  <c r="A477" i="69"/>
  <c r="A476" i="69"/>
  <c r="A475" i="69"/>
  <c r="A474" i="69"/>
  <c r="A473" i="69"/>
  <c r="A472" i="69"/>
  <c r="A471" i="69"/>
  <c r="A470" i="69"/>
  <c r="A469" i="69"/>
  <c r="A468" i="69"/>
  <c r="A467" i="69"/>
  <c r="A466" i="69"/>
  <c r="A465" i="69"/>
  <c r="A464" i="69"/>
  <c r="A463" i="69"/>
  <c r="A462" i="69"/>
  <c r="A461" i="69"/>
  <c r="A460" i="69"/>
  <c r="A459" i="69"/>
  <c r="A458" i="69"/>
  <c r="A457" i="69"/>
  <c r="A456" i="69"/>
  <c r="A455" i="69"/>
  <c r="A454" i="69"/>
  <c r="A453" i="69"/>
  <c r="A452" i="69"/>
  <c r="A451" i="69"/>
  <c r="A450" i="69"/>
  <c r="A449" i="69"/>
  <c r="A448" i="69"/>
  <c r="A447" i="69"/>
  <c r="A446" i="69"/>
  <c r="A445" i="69"/>
  <c r="A444" i="69"/>
  <c r="A443" i="69"/>
  <c r="A442" i="69"/>
  <c r="A441" i="69"/>
  <c r="A440" i="69"/>
  <c r="A439" i="69"/>
  <c r="A438" i="69"/>
  <c r="A437" i="69"/>
  <c r="A436" i="69"/>
  <c r="A435" i="69"/>
  <c r="A434" i="69"/>
  <c r="A433" i="69"/>
  <c r="A432" i="69"/>
  <c r="A431" i="69"/>
  <c r="A430" i="69"/>
  <c r="A429" i="69"/>
  <c r="A428" i="69"/>
  <c r="A427" i="69"/>
  <c r="A426" i="69"/>
  <c r="A425" i="69"/>
  <c r="A424" i="69"/>
  <c r="A423" i="69"/>
  <c r="A422" i="69"/>
  <c r="A421" i="69"/>
  <c r="A420" i="69"/>
  <c r="A419" i="69"/>
  <c r="A418" i="69"/>
  <c r="A417" i="69"/>
  <c r="A416" i="69"/>
  <c r="A415" i="69"/>
  <c r="A414" i="69"/>
  <c r="A413" i="69"/>
  <c r="A412" i="69"/>
  <c r="A411" i="69"/>
  <c r="A410" i="69"/>
  <c r="A409" i="69"/>
  <c r="A408" i="69"/>
  <c r="A407" i="69"/>
  <c r="A406" i="69"/>
  <c r="A405" i="69"/>
  <c r="A404" i="69"/>
  <c r="A403" i="69"/>
  <c r="A402" i="69"/>
  <c r="A401" i="69"/>
  <c r="A400" i="69"/>
  <c r="A399" i="69"/>
  <c r="A398" i="69"/>
  <c r="A397" i="69"/>
  <c r="A396" i="69"/>
  <c r="A395" i="69"/>
  <c r="A394" i="69"/>
  <c r="A393" i="69"/>
  <c r="A392" i="69"/>
  <c r="A391" i="69"/>
  <c r="A390" i="69"/>
  <c r="A389" i="69"/>
  <c r="A388" i="69"/>
  <c r="A387" i="69"/>
  <c r="A386" i="69"/>
  <c r="A385" i="69"/>
  <c r="A384" i="69"/>
  <c r="A383" i="69"/>
  <c r="A382" i="69"/>
  <c r="A381" i="69"/>
  <c r="A380" i="69"/>
  <c r="A379" i="69"/>
  <c r="A378" i="69"/>
  <c r="A377" i="69"/>
  <c r="A376" i="69"/>
  <c r="A375" i="69"/>
  <c r="A374" i="69"/>
  <c r="A373" i="69"/>
  <c r="A372" i="69"/>
  <c r="A371" i="69"/>
  <c r="A370" i="69"/>
  <c r="A369" i="69"/>
  <c r="A368" i="69"/>
  <c r="A367" i="69"/>
  <c r="A366" i="69"/>
  <c r="A365" i="69"/>
  <c r="A364" i="69"/>
  <c r="A363" i="69"/>
  <c r="A362" i="69"/>
  <c r="A361" i="69"/>
  <c r="A360" i="69"/>
  <c r="A359" i="69"/>
  <c r="A358" i="69"/>
  <c r="A357" i="69"/>
  <c r="A356" i="69"/>
  <c r="A355" i="69"/>
  <c r="A354" i="69"/>
  <c r="A353" i="69"/>
  <c r="A352" i="69"/>
  <c r="A351" i="69"/>
  <c r="A350" i="69"/>
  <c r="A349" i="69"/>
  <c r="A348" i="69"/>
  <c r="A347" i="69"/>
  <c r="A346" i="69"/>
  <c r="A345" i="69"/>
  <c r="A344" i="69"/>
  <c r="A343" i="69"/>
  <c r="A342" i="69"/>
  <c r="A341" i="69"/>
  <c r="A340" i="69"/>
  <c r="A339" i="69"/>
  <c r="A338" i="69"/>
  <c r="A337" i="69"/>
  <c r="A336" i="69"/>
  <c r="A335" i="69"/>
  <c r="A334" i="69"/>
  <c r="A333" i="69"/>
  <c r="A332" i="69"/>
  <c r="A331" i="69"/>
  <c r="A330" i="69"/>
  <c r="A329" i="69"/>
  <c r="A328" i="69"/>
  <c r="A327" i="69"/>
  <c r="A326" i="69"/>
  <c r="A325" i="69"/>
  <c r="A324" i="69"/>
  <c r="A323" i="69"/>
  <c r="A322" i="69"/>
  <c r="A321" i="69"/>
  <c r="A320" i="69"/>
  <c r="A319" i="69"/>
  <c r="A318" i="69"/>
  <c r="A317" i="69"/>
  <c r="A316" i="69"/>
  <c r="A315" i="69"/>
  <c r="A314" i="69"/>
  <c r="A313" i="69"/>
  <c r="A312" i="69"/>
  <c r="A311" i="69"/>
  <c r="A310" i="69"/>
  <c r="A309" i="69"/>
  <c r="A308" i="69"/>
  <c r="A307" i="69"/>
  <c r="A306" i="69"/>
  <c r="A305" i="69"/>
  <c r="A304" i="69"/>
  <c r="A303" i="69"/>
  <c r="A302" i="69"/>
  <c r="A301" i="69"/>
  <c r="A300" i="69"/>
  <c r="A299" i="69"/>
  <c r="A298" i="69"/>
  <c r="A297" i="69"/>
  <c r="A296" i="69"/>
  <c r="A295" i="69"/>
  <c r="A294" i="69"/>
  <c r="A293" i="69"/>
  <c r="A292" i="69"/>
  <c r="A291" i="69"/>
  <c r="A290" i="69"/>
  <c r="A289" i="69"/>
  <c r="A288" i="69"/>
  <c r="A287" i="69"/>
  <c r="A286" i="69"/>
  <c r="A285" i="69"/>
  <c r="A284" i="69"/>
  <c r="A283" i="69"/>
  <c r="A282" i="69"/>
  <c r="A281" i="69"/>
  <c r="A280" i="69"/>
  <c r="A279" i="69"/>
  <c r="A278" i="69"/>
  <c r="A277" i="69"/>
  <c r="A276" i="69"/>
  <c r="A275" i="69"/>
  <c r="A274" i="69"/>
  <c r="A273" i="69"/>
  <c r="A272" i="69"/>
  <c r="A271" i="69"/>
  <c r="A270" i="69"/>
  <c r="A269" i="69"/>
  <c r="A268" i="69"/>
  <c r="A267" i="69"/>
  <c r="A266" i="69"/>
  <c r="A265" i="69"/>
  <c r="A264" i="69"/>
  <c r="A263" i="69"/>
  <c r="A262" i="69"/>
  <c r="A261" i="69"/>
  <c r="A260" i="69"/>
  <c r="A259" i="69"/>
  <c r="A258" i="69"/>
  <c r="A257" i="69"/>
  <c r="A256" i="69"/>
  <c r="A255" i="69"/>
  <c r="A254" i="69"/>
  <c r="A253" i="69"/>
  <c r="A252" i="69"/>
  <c r="A251" i="69"/>
  <c r="A250" i="69"/>
  <c r="A249" i="69"/>
  <c r="A248" i="69"/>
  <c r="A247" i="69"/>
  <c r="A246" i="69"/>
  <c r="A245" i="69"/>
  <c r="A244" i="69"/>
  <c r="A243" i="69"/>
  <c r="A242" i="69"/>
  <c r="A241" i="69"/>
  <c r="A240" i="69"/>
  <c r="A239" i="69"/>
  <c r="A238" i="69"/>
  <c r="A237" i="69"/>
  <c r="A236" i="69"/>
  <c r="A235" i="69"/>
  <c r="A234" i="69"/>
  <c r="A233" i="69"/>
  <c r="A232" i="69"/>
  <c r="A231" i="69"/>
  <c r="A230" i="69"/>
  <c r="A229" i="69"/>
  <c r="A228" i="69"/>
  <c r="A227" i="69"/>
  <c r="A226" i="69"/>
  <c r="A225" i="69"/>
  <c r="A224" i="69"/>
  <c r="A223" i="69"/>
  <c r="A222" i="69"/>
  <c r="A221" i="69"/>
  <c r="A220" i="69"/>
  <c r="A219" i="69"/>
  <c r="A218" i="69"/>
  <c r="A217" i="69"/>
  <c r="A216" i="69"/>
  <c r="A215" i="69"/>
  <c r="A214" i="69"/>
  <c r="A213" i="69"/>
  <c r="A212" i="69"/>
  <c r="A211" i="69"/>
  <c r="A210" i="69"/>
  <c r="A209" i="69"/>
  <c r="A208" i="69"/>
  <c r="A207" i="69"/>
  <c r="A206" i="69"/>
  <c r="A205" i="69"/>
  <c r="A204" i="69"/>
  <c r="A203" i="69"/>
  <c r="A202" i="69"/>
  <c r="A201" i="69"/>
  <c r="A200" i="69"/>
  <c r="A199" i="69"/>
  <c r="A198" i="69"/>
  <c r="A197" i="69"/>
  <c r="A196" i="69"/>
  <c r="A195" i="69"/>
  <c r="A194" i="69"/>
  <c r="A193" i="69"/>
  <c r="A192" i="69"/>
  <c r="A191" i="69"/>
  <c r="A190" i="69"/>
  <c r="A189" i="69"/>
  <c r="A188" i="69"/>
  <c r="A187" i="69"/>
  <c r="A186" i="69"/>
  <c r="A185" i="69"/>
  <c r="A184" i="69"/>
  <c r="A183" i="69"/>
  <c r="A182" i="69"/>
  <c r="A181" i="69"/>
  <c r="A180" i="69"/>
  <c r="A179" i="69"/>
  <c r="A178" i="69"/>
  <c r="A177" i="69"/>
  <c r="A176" i="69"/>
  <c r="A175" i="69"/>
  <c r="A174" i="69"/>
  <c r="A173" i="69"/>
  <c r="A172" i="69"/>
  <c r="A171" i="69"/>
  <c r="A170" i="69"/>
  <c r="A169" i="69"/>
  <c r="A168" i="69"/>
  <c r="A167" i="69"/>
  <c r="A166" i="69"/>
  <c r="A165" i="69"/>
  <c r="A164" i="69"/>
  <c r="A163" i="69"/>
  <c r="A162" i="69"/>
  <c r="A161" i="69"/>
  <c r="A160" i="69"/>
  <c r="A159" i="69"/>
  <c r="A158" i="69"/>
  <c r="A157" i="69"/>
  <c r="A156" i="69"/>
  <c r="A155" i="69"/>
  <c r="A154" i="69"/>
  <c r="A153" i="69"/>
  <c r="A152" i="69"/>
  <c r="A151" i="69"/>
  <c r="A150" i="69"/>
  <c r="A149" i="69"/>
  <c r="A148" i="69"/>
  <c r="A147" i="69"/>
  <c r="A146" i="69"/>
  <c r="A145" i="69"/>
  <c r="A144" i="69"/>
  <c r="A143" i="69"/>
  <c r="A142" i="69"/>
  <c r="A141" i="69"/>
  <c r="A140" i="69"/>
  <c r="A139" i="69"/>
  <c r="A138" i="69"/>
  <c r="A137" i="69"/>
  <c r="A136" i="69"/>
  <c r="A135" i="69"/>
  <c r="A134" i="69"/>
  <c r="A133" i="69"/>
  <c r="A132" i="69"/>
  <c r="A131" i="69"/>
  <c r="A130" i="69"/>
  <c r="A129" i="69"/>
  <c r="A128" i="69"/>
  <c r="A127" i="69"/>
  <c r="A126" i="69"/>
  <c r="A125" i="69"/>
  <c r="A124" i="69"/>
  <c r="A123" i="69"/>
  <c r="A122" i="69"/>
  <c r="A121" i="69"/>
  <c r="A120" i="69"/>
  <c r="A119" i="69"/>
  <c r="A118" i="69"/>
  <c r="A117" i="69"/>
  <c r="A116" i="69"/>
  <c r="A114" i="69"/>
  <c r="A113" i="69"/>
  <c r="A112" i="69"/>
  <c r="A111" i="69"/>
  <c r="A110" i="69"/>
  <c r="A109" i="69"/>
  <c r="A108" i="69"/>
  <c r="A107" i="69"/>
  <c r="A106" i="69"/>
  <c r="A105" i="69"/>
  <c r="A104" i="69"/>
  <c r="A103" i="69"/>
  <c r="A102" i="69"/>
  <c r="A101" i="69"/>
  <c r="A100" i="69"/>
  <c r="A99" i="69"/>
  <c r="A98" i="69"/>
  <c r="A97" i="69"/>
  <c r="A96" i="69"/>
  <c r="A95" i="69"/>
  <c r="A94" i="69"/>
  <c r="A93" i="69"/>
  <c r="A92" i="69"/>
  <c r="A91" i="69"/>
  <c r="A90" i="69"/>
  <c r="A89" i="69"/>
  <c r="A88" i="69"/>
  <c r="A87" i="69"/>
  <c r="A86" i="69"/>
  <c r="A85" i="69"/>
  <c r="A84" i="69"/>
  <c r="A83" i="69"/>
  <c r="A82" i="69"/>
  <c r="A81" i="69"/>
  <c r="A80" i="69"/>
  <c r="A79" i="69"/>
  <c r="A78" i="69"/>
  <c r="A77" i="69"/>
  <c r="A76" i="69"/>
  <c r="A75" i="69"/>
  <c r="A74" i="69"/>
  <c r="A73" i="69"/>
  <c r="A72" i="69"/>
  <c r="A71" i="69"/>
  <c r="A70" i="69"/>
  <c r="A69" i="69"/>
  <c r="A68" i="69"/>
  <c r="A67" i="69"/>
  <c r="A66" i="69"/>
  <c r="A65" i="69"/>
  <c r="A64" i="69"/>
  <c r="A63" i="69"/>
  <c r="A62" i="69"/>
  <c r="A61" i="69"/>
  <c r="A60" i="69"/>
  <c r="A59" i="69"/>
  <c r="A58" i="69"/>
  <c r="A57" i="69"/>
  <c r="A56" i="69"/>
  <c r="A55" i="69"/>
  <c r="A54" i="69"/>
  <c r="A53" i="69"/>
  <c r="A52" i="69"/>
  <c r="A51" i="69"/>
  <c r="A50" i="69"/>
  <c r="A49" i="69"/>
  <c r="A48" i="69"/>
  <c r="A47" i="69"/>
  <c r="A46" i="69"/>
  <c r="A45" i="69"/>
  <c r="A44" i="69"/>
  <c r="A43" i="69"/>
  <c r="A42" i="69"/>
  <c r="A41" i="69"/>
  <c r="A40" i="69"/>
  <c r="A39" i="69"/>
  <c r="A38" i="69"/>
  <c r="A37" i="69"/>
  <c r="A36" i="69"/>
  <c r="A35" i="69"/>
  <c r="A34" i="69"/>
  <c r="A33" i="69"/>
  <c r="A32" i="69"/>
  <c r="A31" i="69"/>
  <c r="A30" i="69"/>
  <c r="A29" i="69"/>
  <c r="A28" i="69"/>
  <c r="A27" i="69"/>
  <c r="A26" i="69"/>
  <c r="A25" i="69"/>
  <c r="A24" i="69"/>
  <c r="A23" i="69"/>
  <c r="A22" i="69"/>
  <c r="A21" i="69"/>
  <c r="A20" i="69"/>
  <c r="A19" i="69"/>
  <c r="A18" i="69"/>
  <c r="A17" i="69"/>
  <c r="A16" i="69"/>
  <c r="A15" i="69"/>
  <c r="A14" i="69"/>
  <c r="A13" i="69"/>
  <c r="A12" i="69"/>
  <c r="A11" i="69"/>
  <c r="A10" i="69"/>
  <c r="A9" i="69"/>
  <c r="A8" i="69"/>
  <c r="A7" i="69"/>
  <c r="A6" i="69"/>
  <c r="A5" i="69"/>
  <c r="A4" i="69"/>
  <c r="A3" i="69"/>
  <c r="I319" i="20" l="1"/>
  <c r="I318" i="20"/>
  <c r="I317" i="20"/>
  <c r="I316" i="20"/>
  <c r="I315" i="20"/>
  <c r="I306" i="20"/>
  <c r="I305" i="20"/>
  <c r="I304" i="20"/>
  <c r="I296" i="20"/>
  <c r="I295" i="20"/>
  <c r="I294" i="20"/>
  <c r="I286" i="20"/>
  <c r="I285" i="20"/>
  <c r="I284" i="20"/>
  <c r="I276" i="20"/>
  <c r="I275" i="20"/>
  <c r="I274" i="20"/>
  <c r="I266" i="20"/>
  <c r="I265" i="20"/>
  <c r="I264" i="20"/>
  <c r="I256" i="20"/>
  <c r="I255" i="20"/>
  <c r="I254" i="20"/>
  <c r="I246" i="20"/>
  <c r="I245" i="20"/>
  <c r="I244" i="20"/>
  <c r="I236" i="20"/>
  <c r="I235" i="20"/>
  <c r="I234" i="20"/>
  <c r="I226" i="20"/>
  <c r="I225" i="20"/>
  <c r="I224" i="20"/>
  <c r="I216" i="20"/>
  <c r="I215" i="20"/>
  <c r="I214" i="20"/>
  <c r="I206" i="20"/>
  <c r="I205" i="20"/>
  <c r="I204" i="20"/>
  <c r="I196" i="20"/>
  <c r="I195" i="20"/>
  <c r="I194" i="20"/>
  <c r="I186" i="20"/>
  <c r="I185" i="20"/>
  <c r="I184" i="20"/>
  <c r="I176" i="20"/>
  <c r="I175" i="20"/>
  <c r="I174" i="20"/>
  <c r="I166" i="20"/>
  <c r="I165" i="20"/>
  <c r="I164" i="20"/>
  <c r="I156" i="20"/>
  <c r="I155" i="20"/>
  <c r="I154" i="20"/>
  <c r="I146" i="20"/>
  <c r="I145" i="20"/>
  <c r="I144" i="20"/>
  <c r="I136" i="20"/>
  <c r="I135" i="20"/>
  <c r="I134" i="20"/>
  <c r="I126" i="20"/>
  <c r="I125" i="20"/>
  <c r="I124" i="20"/>
  <c r="I116" i="20"/>
  <c r="I115" i="20"/>
  <c r="I114" i="20"/>
  <c r="I106" i="20"/>
  <c r="I105" i="20"/>
  <c r="I104" i="20"/>
  <c r="I96" i="20"/>
  <c r="I95" i="20"/>
  <c r="I94" i="20"/>
  <c r="I86" i="20"/>
  <c r="I85" i="20"/>
  <c r="I84" i="20"/>
  <c r="I76" i="20"/>
  <c r="I75" i="20"/>
  <c r="I74" i="20"/>
  <c r="I66" i="20"/>
  <c r="I65" i="20"/>
  <c r="I64" i="20"/>
  <c r="I56" i="20"/>
  <c r="I55" i="20"/>
  <c r="I54" i="20"/>
  <c r="I52" i="20"/>
  <c r="I51" i="20"/>
  <c r="I50" i="20"/>
  <c r="I49" i="20"/>
  <c r="I48" i="20"/>
  <c r="I47" i="20"/>
  <c r="I46" i="20"/>
  <c r="I44" i="20"/>
  <c r="I43" i="20"/>
  <c r="I42" i="20"/>
  <c r="I41" i="20"/>
  <c r="I40" i="20"/>
  <c r="I39" i="20"/>
  <c r="I38" i="20"/>
  <c r="I37" i="20"/>
  <c r="I36" i="20"/>
  <c r="I35" i="20"/>
  <c r="I34" i="20"/>
  <c r="I33" i="20"/>
  <c r="I32" i="20"/>
  <c r="I31" i="20"/>
  <c r="I29" i="20"/>
  <c r="I28" i="20"/>
  <c r="I27" i="20"/>
  <c r="I26" i="20"/>
  <c r="I25" i="20"/>
  <c r="I24" i="20"/>
  <c r="I23" i="20"/>
  <c r="I22" i="20"/>
  <c r="I21" i="20"/>
  <c r="I20" i="20"/>
  <c r="I18" i="20"/>
  <c r="I17" i="20"/>
  <c r="I16" i="20"/>
  <c r="I15" i="20"/>
  <c r="I14" i="20"/>
  <c r="I13" i="20"/>
  <c r="I12" i="20"/>
  <c r="AC6" i="18"/>
  <c r="AC8" i="18" l="1"/>
  <c r="I39" i="68" l="1"/>
  <c r="I37" i="68"/>
  <c r="I39" i="67"/>
  <c r="I37" i="67"/>
  <c r="I39" i="66"/>
  <c r="I37" i="66"/>
  <c r="BE44" i="66"/>
  <c r="BD44" i="66"/>
  <c r="BC44" i="66"/>
  <c r="BB44" i="66"/>
  <c r="BA44" i="66"/>
  <c r="AZ44" i="66"/>
  <c r="AY44" i="66"/>
  <c r="AX44" i="66"/>
  <c r="BE44" i="67"/>
  <c r="BD44" i="67"/>
  <c r="BC44" i="67"/>
  <c r="BB44" i="67"/>
  <c r="BA44" i="67"/>
  <c r="AZ44" i="67"/>
  <c r="AY44" i="67"/>
  <c r="AX44" i="67"/>
  <c r="BE44" i="68"/>
  <c r="BD44" i="68"/>
  <c r="BC44" i="68"/>
  <c r="BB44" i="68"/>
  <c r="BA44" i="68"/>
  <c r="AZ44" i="68"/>
  <c r="AY44" i="68"/>
  <c r="AX44" i="68"/>
  <c r="BE58" i="64"/>
  <c r="BD58" i="64"/>
  <c r="BC58" i="64"/>
  <c r="BB58" i="64"/>
  <c r="BA58" i="64"/>
  <c r="AZ58" i="64"/>
  <c r="AY58" i="64"/>
  <c r="AX58" i="64"/>
  <c r="I39" i="41"/>
  <c r="I37" i="41"/>
  <c r="B46" i="69"/>
  <c r="B372" i="69"/>
  <c r="B148" i="69"/>
  <c r="B323" i="69"/>
  <c r="B123" i="69"/>
  <c r="B247" i="69"/>
  <c r="B176" i="69"/>
  <c r="B401" i="69"/>
  <c r="B442" i="69"/>
  <c r="B141" i="69"/>
  <c r="B382" i="69"/>
  <c r="B17" i="69"/>
  <c r="B204" i="69"/>
  <c r="B659" i="69"/>
  <c r="B884" i="69"/>
  <c r="B109" i="69"/>
  <c r="B55" i="69"/>
  <c r="B96" i="69"/>
  <c r="B67" i="69"/>
  <c r="B164" i="69"/>
  <c r="B279" i="69"/>
  <c r="B60" i="69"/>
  <c r="B437" i="69"/>
  <c r="B871" i="69"/>
  <c r="B132" i="69"/>
  <c r="B229" i="69"/>
  <c r="B440" i="69"/>
  <c r="B909" i="69"/>
  <c r="B461" i="69"/>
  <c r="B187" i="69"/>
  <c r="B288" i="69"/>
  <c r="B392" i="69"/>
  <c r="B648" i="69"/>
  <c r="B78" i="69"/>
  <c r="B779" i="69"/>
  <c r="B239" i="69"/>
  <c r="B348" i="69"/>
  <c r="B227" i="69"/>
  <c r="B887" i="69"/>
  <c r="B130" i="69"/>
  <c r="B252" i="69"/>
  <c r="B295" i="69"/>
  <c r="B163" i="69"/>
  <c r="B28" i="69"/>
  <c r="B916" i="69"/>
  <c r="B595" i="69"/>
  <c r="B35" i="69"/>
  <c r="B930" i="69"/>
  <c r="B576" i="69"/>
  <c r="B880" i="69"/>
  <c r="B885" i="69"/>
  <c r="B956" i="69"/>
  <c r="B33" i="69"/>
  <c r="B97" i="69"/>
  <c r="B110" i="69"/>
  <c r="B902" i="69"/>
  <c r="B767" i="69"/>
  <c r="B1072" i="69"/>
  <c r="B708" i="69"/>
  <c r="B580" i="69"/>
  <c r="B620" i="69"/>
  <c r="B353" i="69"/>
  <c r="B435" i="69"/>
  <c r="B344" i="69"/>
  <c r="B312" i="69"/>
  <c r="B631" i="69"/>
  <c r="B238" i="69"/>
  <c r="B770" i="69"/>
  <c r="B568" i="69"/>
  <c r="B789" i="69"/>
  <c r="B1098" i="69"/>
  <c r="B283" i="69"/>
  <c r="B657" i="69"/>
  <c r="B757" i="69"/>
  <c r="B897" i="69"/>
  <c r="B614" i="69"/>
  <c r="B931" i="69"/>
  <c r="B736" i="69"/>
  <c r="B1000" i="69"/>
  <c r="B976" i="69"/>
  <c r="B526" i="69"/>
  <c r="B700" i="69"/>
  <c r="B47" i="69"/>
  <c r="B913" i="69"/>
  <c r="B624" i="69"/>
  <c r="B272" i="69"/>
  <c r="B41" i="69"/>
  <c r="B1045" i="69"/>
  <c r="B1048" i="69"/>
  <c r="B498" i="69"/>
  <c r="B586" i="69"/>
  <c r="B680" i="69"/>
  <c r="B565" i="69"/>
  <c r="B625" i="69"/>
  <c r="B1009" i="69"/>
  <c r="B810" i="69"/>
  <c r="B531" i="69"/>
  <c r="B587" i="69"/>
  <c r="B20" i="69"/>
  <c r="B1010" i="69"/>
  <c r="B410" i="69"/>
  <c r="B308" i="69"/>
  <c r="B503" i="69"/>
  <c r="B514" i="69"/>
  <c r="B1094" i="69"/>
  <c r="B804" i="69"/>
  <c r="B42" i="69"/>
  <c r="B685" i="69"/>
  <c r="B734" i="69"/>
  <c r="B101" i="69"/>
  <c r="B84" i="69"/>
  <c r="B599" i="69"/>
  <c r="B841" i="69"/>
  <c r="B486" i="69"/>
  <c r="B582" i="69"/>
  <c r="B717" i="69"/>
  <c r="B1049" i="69"/>
  <c r="B807" i="69"/>
  <c r="B453" i="69"/>
  <c r="B322" i="69"/>
  <c r="B405" i="69"/>
  <c r="B66" i="69"/>
  <c r="B162" i="69"/>
  <c r="B867" i="69"/>
  <c r="B1113" i="69"/>
  <c r="B1023" i="69"/>
  <c r="B652" i="69"/>
  <c r="B431" i="69"/>
  <c r="B982" i="69"/>
  <c r="B224" i="69"/>
  <c r="B958" i="69"/>
  <c r="B108" i="69"/>
  <c r="B707" i="69"/>
  <c r="B1017" i="69"/>
  <c r="B839" i="69"/>
  <c r="B553" i="69"/>
  <c r="B675" i="69"/>
  <c r="B121" i="69"/>
  <c r="B848" i="69"/>
  <c r="B284" i="69"/>
  <c r="B133" i="69"/>
  <c r="B218" i="69"/>
  <c r="B250" i="69"/>
  <c r="B356" i="69"/>
  <c r="B71" i="69"/>
  <c r="B339" i="69"/>
  <c r="B702" i="69"/>
  <c r="B1101" i="69"/>
  <c r="B873" i="69"/>
  <c r="B280" i="69"/>
  <c r="B655" i="69"/>
  <c r="B88" i="69"/>
  <c r="B860" i="69"/>
  <c r="B988" i="69"/>
  <c r="B921" i="69"/>
  <c r="B649" i="69"/>
  <c r="B254" i="69"/>
  <c r="B888" i="69"/>
  <c r="B98" i="69"/>
  <c r="B202" i="69"/>
  <c r="B319" i="69"/>
  <c r="B422" i="69"/>
  <c r="B690" i="69"/>
  <c r="B470" i="69"/>
  <c r="B94" i="69"/>
  <c r="B754" i="69"/>
  <c r="B957" i="69"/>
  <c r="B672" i="69"/>
  <c r="B687" i="69"/>
  <c r="B626" i="69"/>
  <c r="B9" i="69"/>
  <c r="B4" i="69"/>
  <c r="B313" i="69"/>
  <c r="B488" i="69"/>
  <c r="B760" i="69"/>
  <c r="B496" i="69"/>
  <c r="B154" i="69"/>
  <c r="B605" i="69"/>
  <c r="B935" i="69"/>
  <c r="B1020" i="69"/>
  <c r="B775" i="69"/>
  <c r="B879" i="69"/>
  <c r="B801" i="69"/>
  <c r="B943" i="69"/>
  <c r="B32" i="69"/>
  <c r="B896" i="69"/>
  <c r="B355" i="69"/>
  <c r="B489" i="69"/>
  <c r="B22" i="69"/>
  <c r="B77" i="69"/>
  <c r="B292" i="69"/>
  <c r="B360" i="69"/>
  <c r="B1013" i="69"/>
  <c r="B113" i="69"/>
  <c r="B139" i="69"/>
  <c r="B843" i="69"/>
  <c r="B1008" i="69"/>
  <c r="B820" i="69"/>
  <c r="B674" i="69"/>
  <c r="B10" i="69"/>
  <c r="B639" i="69"/>
  <c r="B105" i="69"/>
  <c r="B362" i="69"/>
  <c r="B14" i="69"/>
  <c r="B190" i="69"/>
  <c r="B403" i="69"/>
  <c r="B966" i="69"/>
  <c r="B400" i="69"/>
  <c r="B278" i="69"/>
  <c r="B542" i="69"/>
  <c r="B95" i="69"/>
  <c r="B552" i="69"/>
  <c r="B1042" i="69"/>
  <c r="B850" i="69"/>
  <c r="B26" i="69"/>
  <c r="B115" i="69"/>
  <c r="B234" i="69"/>
  <c r="B208" i="69"/>
  <c r="B159" i="69"/>
  <c r="B1089" i="69"/>
  <c r="B414" i="69"/>
  <c r="B802" i="69"/>
  <c r="B1087" i="69"/>
  <c r="B124" i="69"/>
  <c r="B1043" i="69"/>
  <c r="B100" i="69"/>
  <c r="B592" i="69"/>
  <c r="B633" i="69"/>
  <c r="B720" i="69"/>
  <c r="B75" i="69"/>
  <c r="B64" i="69"/>
  <c r="B432" i="69"/>
  <c r="B240" i="69"/>
  <c r="B471" i="69"/>
  <c r="B451" i="69"/>
  <c r="B172" i="69"/>
  <c r="B975" i="69"/>
  <c r="B740" i="69"/>
  <c r="B399" i="69"/>
  <c r="B768" i="69"/>
  <c r="B352" i="69"/>
  <c r="B1027" i="69"/>
  <c r="B692" i="69"/>
  <c r="B393" i="69"/>
  <c r="B990" i="69"/>
  <c r="B950" i="69"/>
  <c r="B719" i="69"/>
  <c r="B949" i="69"/>
  <c r="B805" i="69"/>
  <c r="B663" i="69"/>
  <c r="B152" i="69"/>
  <c r="B232" i="69"/>
  <c r="B870" i="69"/>
  <c r="B197" i="69"/>
  <c r="B358" i="69"/>
  <c r="B18" i="69"/>
  <c r="B336" i="69"/>
  <c r="B289" i="69"/>
  <c r="B954" i="69"/>
  <c r="B475" i="69"/>
  <c r="B606" i="69"/>
  <c r="B409" i="69"/>
  <c r="B701" i="69"/>
  <c r="B214" i="69"/>
  <c r="B1015" i="69"/>
  <c r="B530" i="69"/>
  <c r="B886" i="69"/>
  <c r="B952" i="69"/>
  <c r="B574" i="69"/>
  <c r="B359" i="69"/>
  <c r="B341" i="69"/>
  <c r="B597" i="69"/>
  <c r="B875" i="69"/>
  <c r="B795" i="69"/>
  <c r="B494" i="69"/>
  <c r="B1075" i="69"/>
  <c r="B1097" i="69"/>
  <c r="B376" i="69"/>
  <c r="B89" i="69"/>
  <c r="B426" i="69"/>
  <c r="B1073" i="69"/>
  <c r="A30" i="55"/>
  <c r="B844" i="69"/>
  <c r="B527" i="69"/>
  <c r="B104" i="69"/>
  <c r="B781" i="69"/>
  <c r="B900" i="69"/>
  <c r="B209" i="69"/>
  <c r="B1105" i="69"/>
  <c r="B688" i="69"/>
  <c r="B111" i="69"/>
  <c r="B428" i="69"/>
  <c r="B157" i="69"/>
  <c r="B402" i="69"/>
  <c r="B420" i="69"/>
  <c r="B572" i="69"/>
  <c r="B969" i="69"/>
  <c r="B583" i="69"/>
  <c r="B1018" i="69"/>
  <c r="B834" i="69"/>
  <c r="B264" i="69"/>
  <c r="B849" i="69"/>
  <c r="B951" i="69"/>
  <c r="B1085" i="69"/>
  <c r="B747" i="69"/>
  <c r="B859" i="69"/>
  <c r="B664" i="69"/>
  <c r="B868" i="69"/>
  <c r="B38" i="69"/>
  <c r="B143" i="69"/>
  <c r="B233" i="69"/>
  <c r="B607" i="69"/>
  <c r="B86" i="69"/>
  <c r="B799" i="69"/>
  <c r="B1014" i="69"/>
  <c r="B515" i="69"/>
  <c r="B986" i="69"/>
  <c r="B315" i="69"/>
  <c r="B544" i="69"/>
  <c r="B158" i="69"/>
  <c r="B693" i="69"/>
  <c r="B291" i="69"/>
  <c r="B673" i="69"/>
  <c r="B1011" i="69"/>
  <c r="B1111" i="69"/>
  <c r="B366" i="69"/>
  <c r="B425" i="69"/>
  <c r="B811" i="69"/>
  <c r="B173" i="69"/>
  <c r="B1106" i="69"/>
  <c r="B73" i="69"/>
  <c r="B518" i="69"/>
  <c r="B917" i="69"/>
  <c r="B49" i="69"/>
  <c r="B337" i="69"/>
  <c r="B455" i="69"/>
  <c r="B567" i="69"/>
  <c r="B398" i="69"/>
  <c r="B926" i="69"/>
  <c r="B5" i="69"/>
  <c r="B971" i="69"/>
  <c r="B137" i="69"/>
  <c r="B623" i="69"/>
  <c r="B1074" i="69"/>
  <c r="B591" i="69"/>
  <c r="B317" i="69"/>
  <c r="B389" i="69"/>
  <c r="B1061" i="69"/>
  <c r="B198" i="69"/>
  <c r="B62" i="69"/>
  <c r="B676" i="69"/>
  <c r="B1093" i="69"/>
  <c r="B602" i="69"/>
  <c r="B658" i="69"/>
  <c r="B933" i="69"/>
  <c r="B373" i="69"/>
  <c r="B103" i="69"/>
  <c r="B977" i="69"/>
  <c r="B892" i="69"/>
  <c r="B112" i="69"/>
  <c r="B415" i="69"/>
  <c r="B979" i="69"/>
  <c r="B645" i="69"/>
  <c r="B256" i="69"/>
  <c r="B604" i="69"/>
  <c r="B505" i="69"/>
  <c r="B1032" i="69"/>
  <c r="B181" i="69"/>
  <c r="B122" i="69"/>
  <c r="B225" i="69"/>
  <c r="B454" i="69"/>
  <c r="B472" i="69"/>
  <c r="B1069" i="69"/>
  <c r="B555" i="69"/>
  <c r="B449" i="69"/>
  <c r="B737" i="69"/>
  <c r="B180" i="69"/>
  <c r="B167" i="69"/>
  <c r="B390" i="69"/>
  <c r="B812" i="69"/>
  <c r="B698" i="69"/>
  <c r="B529" i="69"/>
  <c r="B651" i="69"/>
  <c r="B696" i="69"/>
  <c r="B510" i="69"/>
  <c r="B524" i="69"/>
  <c r="B970" i="69"/>
  <c r="B800" i="69"/>
  <c r="B706" i="69"/>
  <c r="B182" i="69"/>
  <c r="B618" i="69"/>
  <c r="B384" i="69"/>
  <c r="B968" i="69"/>
  <c r="B12" i="69"/>
  <c r="B726" i="69"/>
  <c r="B216" i="69"/>
  <c r="B756" i="69"/>
  <c r="B320" i="69"/>
  <c r="B608" i="69"/>
  <c r="B484" i="69"/>
  <c r="B477" i="69"/>
  <c r="B646" i="69"/>
  <c r="B1040" i="69"/>
  <c r="B147" i="69"/>
  <c r="B142" i="69"/>
  <c r="B908" i="69"/>
  <c r="B57" i="69"/>
  <c r="B535" i="69"/>
  <c r="B102" i="69"/>
  <c r="B764" i="69"/>
  <c r="B221" i="69"/>
  <c r="B821" i="69"/>
  <c r="B408" i="69"/>
  <c r="B106" i="69"/>
  <c r="B915" i="69"/>
  <c r="B381" i="69"/>
  <c r="B1037" i="69"/>
  <c r="B385" i="69"/>
  <c r="B1051" i="69"/>
  <c r="B31" i="69"/>
  <c r="B310" i="69"/>
  <c r="B441" i="69"/>
  <c r="B1058" i="69"/>
  <c r="B334" i="69"/>
  <c r="B660" i="69"/>
  <c r="B463" i="69"/>
  <c r="B584" i="69"/>
  <c r="B694" i="69"/>
  <c r="B21" i="69"/>
  <c r="B808" i="69"/>
  <c r="B413" i="69"/>
  <c r="B30" i="69"/>
  <c r="B838" i="69"/>
  <c r="B594" i="69"/>
  <c r="B1034" i="69"/>
  <c r="B120" i="69"/>
  <c r="B1114" i="69"/>
  <c r="B136" i="69"/>
  <c r="B220" i="69"/>
  <c r="B178" i="69"/>
  <c r="B723" i="69"/>
  <c r="B192" i="69"/>
  <c r="B1082" i="69"/>
  <c r="B117" i="69"/>
  <c r="B1104" i="69"/>
  <c r="B1026" i="69"/>
  <c r="B682" i="69"/>
  <c r="B1080" i="69"/>
  <c r="B636" i="69"/>
  <c r="B864" i="69"/>
  <c r="B1035" i="69"/>
  <c r="B242" i="69"/>
  <c r="B670" i="69"/>
  <c r="B210" i="69"/>
  <c r="B777" i="69"/>
  <c r="B417" i="69"/>
  <c r="B131" i="69"/>
  <c r="B856" i="69"/>
  <c r="B603" i="69"/>
  <c r="B1099" i="69"/>
  <c r="B211" i="69"/>
  <c r="B937" i="69"/>
  <c r="B177" i="69"/>
  <c r="B1041" i="69"/>
  <c r="B787" i="69"/>
  <c r="B537" i="69"/>
  <c r="B1057" i="69"/>
  <c r="B447" i="69"/>
  <c r="B681" i="69"/>
  <c r="B367" i="69"/>
  <c r="B948" i="69"/>
  <c r="B1076" i="69"/>
  <c r="B824" i="69"/>
  <c r="B566" i="69"/>
  <c r="B765" i="69"/>
  <c r="B796" i="69"/>
  <c r="B1116" i="69"/>
  <c r="B275" i="69"/>
  <c r="B940" i="69"/>
  <c r="B168" i="69"/>
  <c r="B904" i="69"/>
  <c r="B63" i="69"/>
  <c r="B329" i="69"/>
  <c r="B759" i="69"/>
  <c r="B835" i="69"/>
  <c r="B125" i="69"/>
  <c r="B183" i="69"/>
  <c r="B865" i="69"/>
  <c r="B837" i="69"/>
  <c r="B762" i="69"/>
  <c r="B364" i="69"/>
  <c r="B40" i="69"/>
  <c r="B338" i="69"/>
  <c r="B1005" i="69"/>
  <c r="B901" i="69"/>
  <c r="B898" i="69"/>
  <c r="B641" i="69"/>
  <c r="B742" i="69"/>
  <c r="B491" i="69"/>
  <c r="B686" i="69"/>
  <c r="B186" i="69"/>
  <c r="B361" i="69"/>
  <c r="B753" i="69"/>
  <c r="B51" i="69"/>
  <c r="B1095" i="69"/>
  <c r="B683" i="69"/>
  <c r="B705" i="69"/>
  <c r="B891" i="69"/>
  <c r="B79" i="69"/>
  <c r="B1029" i="69"/>
  <c r="B327" i="69"/>
  <c r="B7" i="69"/>
  <c r="B439" i="69"/>
  <c r="B711" i="69"/>
  <c r="B245" i="69"/>
  <c r="B446" i="69"/>
  <c r="B881" i="69"/>
  <c r="B1053" i="69"/>
  <c r="B497" i="69"/>
  <c r="B761" i="69"/>
  <c r="B1103" i="69"/>
  <c r="B741" i="69"/>
  <c r="B959" i="69"/>
  <c r="B840" i="69"/>
  <c r="B814" i="69"/>
  <c r="B752" i="69"/>
  <c r="B581" i="69"/>
  <c r="B981" i="69"/>
  <c r="B564" i="69"/>
  <c r="B1003" i="69"/>
  <c r="B731" i="69"/>
  <c r="B548" i="69"/>
  <c r="B825" i="69"/>
  <c r="B750" i="69"/>
  <c r="B869" i="69"/>
  <c r="B724" i="69"/>
  <c r="B819" i="69"/>
  <c r="B919" i="69"/>
  <c r="B504" i="69"/>
  <c r="B791" i="69"/>
  <c r="B627" i="69"/>
  <c r="B575" i="69"/>
  <c r="B1056" i="69"/>
  <c r="B290" i="69"/>
  <c r="B1107" i="69"/>
  <c r="B732" i="69"/>
  <c r="B386" i="69"/>
  <c r="B832" i="69"/>
  <c r="B370" i="69"/>
  <c r="B87" i="69"/>
  <c r="B332" i="69"/>
  <c r="B972" i="69"/>
  <c r="B300" i="69"/>
  <c r="B1091" i="69"/>
  <c r="B637" i="69"/>
  <c r="B735" i="69"/>
  <c r="B697" i="69"/>
  <c r="B114" i="69"/>
  <c r="B601" i="69"/>
  <c r="B219" i="69"/>
  <c r="B444" i="69"/>
  <c r="B635" i="69"/>
  <c r="B465" i="69"/>
  <c r="B1022" i="69"/>
  <c r="B318" i="69"/>
  <c r="B617" i="69"/>
  <c r="B3" i="69"/>
  <c r="B282" i="69"/>
  <c r="B578" i="69"/>
  <c r="B236" i="69"/>
  <c r="B74" i="69"/>
  <c r="B237" i="69"/>
  <c r="B704" i="69"/>
  <c r="B92" i="69"/>
  <c r="B262" i="69"/>
  <c r="B613" i="69"/>
  <c r="B1083" i="69"/>
  <c r="B520" i="69"/>
  <c r="B922" i="69"/>
  <c r="B1060" i="69"/>
  <c r="B745" i="69"/>
  <c r="B644" i="69"/>
  <c r="B369" i="69"/>
  <c r="B521" i="69"/>
  <c r="B107" i="69"/>
  <c r="B722" i="69"/>
  <c r="B563" i="69"/>
  <c r="B134" i="69"/>
  <c r="B235" i="69"/>
  <c r="B905" i="69"/>
  <c r="B195" i="69"/>
  <c r="B305" i="69"/>
  <c r="B1115" i="69"/>
  <c r="B978" i="69"/>
  <c r="B438" i="69"/>
  <c r="B39" i="69"/>
  <c r="B1036" i="69"/>
  <c r="B569" i="69"/>
  <c r="B598" i="69"/>
  <c r="B1067" i="69"/>
  <c r="B1077" i="69"/>
  <c r="B1050" i="69"/>
  <c r="B50" i="69"/>
  <c r="B984" i="69"/>
  <c r="B72" i="69"/>
  <c r="B269" i="69"/>
  <c r="B967" i="69"/>
  <c r="B727" i="69"/>
  <c r="B268" i="69"/>
  <c r="B755" i="69"/>
  <c r="B340" i="69"/>
  <c r="B301" i="69"/>
  <c r="B311" i="69"/>
  <c r="B118" i="69"/>
  <c r="B81" i="69"/>
  <c r="B206" i="69"/>
  <c r="B1086" i="69"/>
  <c r="B538" i="69"/>
  <c r="B541" i="69"/>
  <c r="B492" i="69"/>
  <c r="B784" i="69"/>
  <c r="B929" i="69"/>
  <c r="B713" i="69"/>
  <c r="B547" i="69"/>
  <c r="B619" i="69"/>
  <c r="B222" i="69"/>
  <c r="B513" i="69"/>
  <c r="B65" i="69"/>
  <c r="B287" i="69"/>
  <c r="B788" i="69"/>
  <c r="B285" i="69"/>
  <c r="B1055" i="69"/>
  <c r="B1112" i="69"/>
  <c r="B1031" i="69"/>
  <c r="B213" i="69"/>
  <c r="B640" i="69"/>
  <c r="B424" i="69"/>
  <c r="B928" i="69"/>
  <c r="B273" i="69"/>
  <c r="B333" i="69"/>
  <c r="B37" i="69"/>
  <c r="B1024" i="69"/>
  <c r="B155" i="69"/>
  <c r="B347" i="69"/>
  <c r="B83" i="69"/>
  <c r="B76" i="69"/>
  <c r="B374" i="69"/>
  <c r="B778" i="69"/>
  <c r="B876" i="69"/>
  <c r="B588" i="69"/>
  <c r="B375" i="69"/>
  <c r="B855" i="69"/>
  <c r="B803" i="69"/>
  <c r="B1108" i="69"/>
  <c r="B817" i="69"/>
  <c r="B733" i="69"/>
  <c r="B281" i="69"/>
  <c r="B1052" i="69"/>
  <c r="B53" i="69"/>
  <c r="B611" i="69"/>
  <c r="B786" i="69"/>
  <c r="B997" i="69"/>
  <c r="B495" i="69"/>
  <c r="B862" i="69"/>
  <c r="B519" i="69"/>
  <c r="B554" i="69"/>
  <c r="B858" i="69"/>
  <c r="B963" i="69"/>
  <c r="B678" i="69"/>
  <c r="B456" i="69"/>
  <c r="B445" i="69"/>
  <c r="B525" i="69"/>
  <c r="B267" i="69"/>
  <c r="B528" i="69"/>
  <c r="B501" i="69"/>
  <c r="B43" i="69"/>
  <c r="B920" i="69"/>
  <c r="B194" i="69"/>
  <c r="B793" i="69"/>
  <c r="B769" i="69"/>
  <c r="B128" i="69"/>
  <c r="B852" i="69"/>
  <c r="B600" i="69"/>
  <c r="B34" i="69"/>
  <c r="B349" i="69"/>
  <c r="B434" i="69"/>
  <c r="B863" i="69"/>
  <c r="B274" i="69"/>
  <c r="B689" i="69"/>
  <c r="B150" i="69"/>
  <c r="B833" i="69"/>
  <c r="B436" i="69"/>
  <c r="B1002" i="69"/>
  <c r="B945" i="69"/>
  <c r="B831" i="69"/>
  <c r="B258" i="69"/>
  <c r="B1039" i="69"/>
  <c r="B939" i="69"/>
  <c r="B306" i="69"/>
  <c r="B8" i="69"/>
  <c r="B1046" i="69"/>
  <c r="B201" i="69"/>
  <c r="B749" i="69"/>
  <c r="B1016" i="69"/>
  <c r="B346" i="69"/>
  <c r="B297" i="69"/>
  <c r="B710" i="69"/>
  <c r="B1059" i="69"/>
  <c r="B1079" i="69"/>
  <c r="B246" i="69"/>
  <c r="B1100" i="69"/>
  <c r="B299" i="69"/>
  <c r="B851" i="69"/>
  <c r="B653" i="69"/>
  <c r="B559" i="69"/>
  <c r="B394" i="69"/>
  <c r="B161" i="69"/>
  <c r="B325" i="69"/>
  <c r="B771" i="69"/>
  <c r="B483" i="69"/>
  <c r="B1054" i="69"/>
  <c r="B557" i="69"/>
  <c r="B955" i="69"/>
  <c r="B512" i="69"/>
  <c r="B226" i="69"/>
  <c r="B502" i="69"/>
  <c r="B739" i="69"/>
  <c r="B941" i="69"/>
  <c r="B93" i="69"/>
  <c r="B430" i="69"/>
  <c r="B379" i="69"/>
  <c r="B556" i="69"/>
  <c r="B351" i="69"/>
  <c r="B36" i="69"/>
  <c r="B200" i="69"/>
  <c r="B276" i="69"/>
  <c r="B127" i="69"/>
  <c r="B889" i="69"/>
  <c r="B459" i="69"/>
  <c r="B1063" i="69"/>
  <c r="B499" i="69"/>
  <c r="B878" i="69"/>
  <c r="B506" i="69"/>
  <c r="B571" i="69"/>
  <c r="B806" i="69"/>
  <c r="B709" i="69"/>
  <c r="B895" i="69"/>
  <c r="B1081" i="69"/>
  <c r="B827" i="69"/>
  <c r="B261" i="69"/>
  <c r="B953" i="69"/>
  <c r="B85" i="69"/>
  <c r="B380" i="69"/>
  <c r="B368" i="69"/>
  <c r="B1047" i="69"/>
  <c r="B1062" i="69"/>
  <c r="B277" i="69"/>
  <c r="B616" i="69"/>
  <c r="B140" i="69"/>
  <c r="B271" i="69"/>
  <c r="B774" i="69"/>
  <c r="B1102" i="69"/>
  <c r="B500" i="69"/>
  <c r="B847" i="69"/>
  <c r="B961" i="69"/>
  <c r="B1019" i="69"/>
  <c r="B404" i="69"/>
  <c r="B899" i="69"/>
  <c r="B924" i="69"/>
  <c r="B642" i="69"/>
  <c r="B462" i="69"/>
  <c r="B593" i="69"/>
  <c r="B790" i="69"/>
  <c r="B54" i="69"/>
  <c r="B766" i="69"/>
  <c r="B836" i="69"/>
  <c r="B927" i="69"/>
  <c r="B487" i="69"/>
  <c r="B910" i="69"/>
  <c r="B546" i="69"/>
  <c r="B780" i="69"/>
  <c r="B861" i="69"/>
  <c r="B534" i="69"/>
  <c r="B466" i="69"/>
  <c r="B1068" i="69"/>
  <c r="B813" i="69"/>
  <c r="B255" i="69"/>
  <c r="B253" i="69"/>
  <c r="B199" i="69"/>
  <c r="B638" i="69"/>
  <c r="B912" i="69"/>
  <c r="B314" i="69"/>
  <c r="B944" i="69"/>
  <c r="B473" i="69"/>
  <c r="B577" i="69"/>
  <c r="B1066" i="69"/>
  <c r="B174" i="69"/>
  <c r="B610" i="69"/>
  <c r="B818" i="69"/>
  <c r="B170" i="69"/>
  <c r="B751" i="69"/>
  <c r="B1038" i="69"/>
  <c r="B691" i="69"/>
  <c r="B1033" i="69"/>
  <c r="B149" i="69"/>
  <c r="B999" i="69"/>
  <c r="B371" i="69"/>
  <c r="B316" i="69"/>
  <c r="B1025" i="69"/>
  <c r="B671" i="69"/>
  <c r="B650" i="69"/>
  <c r="B718" i="69"/>
  <c r="B661" i="69"/>
  <c r="B412" i="69"/>
  <c r="B421" i="69"/>
  <c r="B656" i="69"/>
  <c r="B507" i="69"/>
  <c r="B345" i="69"/>
  <c r="B184" i="69"/>
  <c r="B585" i="69"/>
  <c r="B324" i="69"/>
  <c r="B1030" i="69"/>
  <c r="B443" i="69"/>
  <c r="B153" i="69"/>
  <c r="B464" i="69"/>
  <c r="B2" i="69"/>
  <c r="B842" i="69"/>
  <c r="B540" i="69"/>
  <c r="B391" i="69"/>
  <c r="B596" i="69"/>
  <c r="B668" i="69"/>
  <c r="B846" i="69"/>
  <c r="B228" i="69"/>
  <c r="B816" i="69"/>
  <c r="B16" i="69"/>
  <c r="B165" i="69"/>
  <c r="B728" i="69"/>
  <c r="B1110" i="69"/>
  <c r="B321" i="69"/>
  <c r="B270" i="69"/>
  <c r="B985" i="69"/>
  <c r="B433" i="69"/>
  <c r="B980" i="69"/>
  <c r="B991" i="69"/>
  <c r="B212" i="69"/>
  <c r="B995" i="69"/>
  <c r="B171" i="69"/>
  <c r="B1084" i="69"/>
  <c r="B703" i="69"/>
  <c r="B533" i="69"/>
  <c r="B893" i="69"/>
  <c r="B890" i="69"/>
  <c r="B474" i="69"/>
  <c r="B397" i="69"/>
  <c r="B715" i="69"/>
  <c r="B335" i="69"/>
  <c r="B354" i="69"/>
  <c r="B730" i="69"/>
  <c r="B296" i="69"/>
  <c r="B666" i="69"/>
  <c r="B126" i="69"/>
  <c r="B419" i="69"/>
  <c r="B721" i="69"/>
  <c r="B468" i="69"/>
  <c r="B866" i="69"/>
  <c r="B23" i="69"/>
  <c r="B536" i="69"/>
  <c r="B782" i="69"/>
  <c r="B746" i="69"/>
  <c r="B797" i="69"/>
  <c r="B61" i="69"/>
  <c r="B662" i="69"/>
  <c r="B331" i="69"/>
  <c r="B911" i="69"/>
  <c r="B223" i="69"/>
  <c r="B189" i="69"/>
  <c r="B654" i="69"/>
  <c r="B609" i="69"/>
  <c r="B1090" i="69"/>
  <c r="B469" i="69"/>
  <c r="B251" i="69"/>
  <c r="B90" i="69"/>
  <c r="B561" i="69"/>
  <c r="B70" i="69"/>
  <c r="B11" i="69"/>
  <c r="B191" i="69"/>
  <c r="B13" i="69"/>
  <c r="B119" i="69"/>
  <c r="B647" i="69"/>
  <c r="B699" i="69"/>
  <c r="B6" i="69"/>
  <c r="B248" i="69"/>
  <c r="B798" i="69"/>
  <c r="B343" i="69"/>
  <c r="B59" i="69"/>
  <c r="B452" i="69"/>
  <c r="B1109" i="69"/>
  <c r="B304" i="69"/>
  <c r="B543" i="69"/>
  <c r="B328" i="69"/>
  <c r="B562" i="69"/>
  <c r="B249" i="69"/>
  <c r="B363" i="69"/>
  <c r="B960" i="69"/>
  <c r="B1004" i="69"/>
  <c r="B857" i="69"/>
  <c r="B24" i="69"/>
  <c r="B450" i="69"/>
  <c r="B406" i="69"/>
  <c r="B215" i="69"/>
  <c r="B1028" i="69"/>
  <c r="B882" i="69"/>
  <c r="B573" i="69"/>
  <c r="B877" i="69"/>
  <c r="B231" i="69"/>
  <c r="B1070" i="69"/>
  <c r="B973" i="69"/>
  <c r="B622" i="69"/>
  <c r="B193" i="69"/>
  <c r="B45" i="69"/>
  <c r="B407" i="69"/>
  <c r="B630" i="69"/>
  <c r="B1071" i="69"/>
  <c r="B27" i="69"/>
  <c r="B160" i="69"/>
  <c r="B989" i="69"/>
  <c r="B196" i="69"/>
  <c r="B936" i="69"/>
  <c r="B44" i="69"/>
  <c r="B923" i="69"/>
  <c r="B523" i="69"/>
  <c r="B516" i="69"/>
  <c r="B418" i="69"/>
  <c r="B748" i="69"/>
  <c r="B758" i="69"/>
  <c r="B58" i="69"/>
  <c r="B783" i="69"/>
  <c r="B138" i="69"/>
  <c r="B166" i="69"/>
  <c r="B217" i="69"/>
  <c r="B448" i="69"/>
  <c r="B998" i="69"/>
  <c r="B714" i="69"/>
  <c r="B460" i="69"/>
  <c r="B643" i="69"/>
  <c r="B1064" i="69"/>
  <c r="B551" i="69"/>
  <c r="B932" i="69"/>
  <c r="B522" i="69"/>
  <c r="B729" i="69"/>
  <c r="B992" i="69"/>
  <c r="B411" i="69"/>
  <c r="B179" i="69"/>
  <c r="B684" i="69"/>
  <c r="B906" i="69"/>
  <c r="B257" i="69"/>
  <c r="B744" i="69"/>
  <c r="B545" i="69"/>
  <c r="B934" i="69"/>
  <c r="B763" i="69"/>
  <c r="B539" i="69"/>
  <c r="B1092" i="69"/>
  <c r="B146" i="69"/>
  <c r="B377" i="69"/>
  <c r="B169" i="69"/>
  <c r="B135" i="69"/>
  <c r="B903" i="69"/>
  <c r="B667" i="69"/>
  <c r="B175" i="69"/>
  <c r="B695" i="69"/>
  <c r="B396" i="69"/>
  <c r="B845" i="69"/>
  <c r="B634" i="69"/>
  <c r="B1007" i="69"/>
  <c r="B378" i="69"/>
  <c r="B485" i="69"/>
  <c r="B1065" i="69"/>
  <c r="B298" i="69"/>
  <c r="B925" i="69"/>
  <c r="B822" i="69"/>
  <c r="B490" i="69"/>
  <c r="B29" i="69"/>
  <c r="B493" i="69"/>
  <c r="B25" i="69"/>
  <c r="B294" i="69"/>
  <c r="B632" i="69"/>
  <c r="B590" i="69"/>
  <c r="B772" i="69"/>
  <c r="B387" i="69"/>
  <c r="B965" i="69"/>
  <c r="B416" i="69"/>
  <c r="B482" i="69"/>
  <c r="B776" i="69"/>
  <c r="B826" i="69"/>
  <c r="B151" i="69"/>
  <c r="B145" i="69"/>
  <c r="B69" i="69"/>
  <c r="B550" i="69"/>
  <c r="B330" i="69"/>
  <c r="B679" i="69"/>
  <c r="B303" i="69"/>
  <c r="B914" i="69"/>
  <c r="B712" i="69"/>
  <c r="B203" i="69"/>
  <c r="B918" i="69"/>
  <c r="B854" i="69"/>
  <c r="B946" i="69"/>
  <c r="B823" i="69"/>
  <c r="B116" i="69"/>
  <c r="B80" i="69"/>
  <c r="B1088" i="69"/>
  <c r="B974" i="69"/>
  <c r="B532" i="69"/>
  <c r="B91" i="69"/>
  <c r="B794" i="69"/>
  <c r="B230" i="69"/>
  <c r="B56" i="69"/>
  <c r="B350" i="69"/>
  <c r="B82" i="69"/>
  <c r="B260" i="69"/>
  <c r="B942" i="69"/>
  <c r="B983" i="69"/>
  <c r="B302" i="69"/>
  <c r="B357" i="69"/>
  <c r="B342" i="69"/>
  <c r="B964" i="69"/>
  <c r="B383" i="69"/>
  <c r="B743" i="69"/>
  <c r="B628" i="69"/>
  <c r="B48" i="69"/>
  <c r="B872" i="69"/>
  <c r="B395" i="69"/>
  <c r="B207" i="69"/>
  <c r="B457" i="69"/>
  <c r="B244" i="69"/>
  <c r="B829" i="69"/>
  <c r="B830" i="69"/>
  <c r="B883" i="69"/>
  <c r="B1078" i="69"/>
  <c r="B629" i="69"/>
  <c r="B476" i="69"/>
  <c r="B987" i="69"/>
  <c r="B669" i="69"/>
  <c r="B188" i="69"/>
  <c r="B388" i="69"/>
  <c r="B665" i="69"/>
  <c r="B429" i="69"/>
  <c r="B243" i="69"/>
  <c r="B1012" i="69"/>
  <c r="B156" i="69"/>
  <c r="B549" i="69"/>
  <c r="B309" i="69"/>
  <c r="B99" i="69"/>
  <c r="B792" i="69"/>
  <c r="B994" i="69"/>
  <c r="B560" i="69"/>
  <c r="B458" i="69"/>
  <c r="B508" i="69"/>
  <c r="B615" i="69"/>
  <c r="B326" i="69"/>
  <c r="B423" i="69"/>
  <c r="B725" i="69"/>
  <c r="B1021" i="69"/>
  <c r="B621" i="69"/>
  <c r="B467" i="69"/>
  <c r="B1044" i="69"/>
  <c r="B293" i="69"/>
  <c r="B15" i="69"/>
  <c r="B185" i="69"/>
  <c r="B509" i="69"/>
  <c r="B907" i="69"/>
  <c r="B241" i="69"/>
  <c r="B307" i="69"/>
  <c r="B570" i="69"/>
  <c r="B996" i="69"/>
  <c r="B993" i="69"/>
  <c r="B773" i="69"/>
  <c r="B589" i="69"/>
  <c r="B558" i="69"/>
  <c r="B738" i="69"/>
  <c r="B579" i="69"/>
  <c r="B677" i="69"/>
  <c r="B853" i="69"/>
  <c r="B874" i="69"/>
  <c r="B815" i="69"/>
  <c r="B266" i="69"/>
  <c r="B427" i="69"/>
  <c r="B286" i="69"/>
  <c r="B205" i="69"/>
  <c r="B129" i="69"/>
  <c r="B809" i="69"/>
  <c r="B19" i="69"/>
  <c r="B716" i="69"/>
  <c r="B259" i="69"/>
  <c r="B511" i="69"/>
  <c r="B1006" i="69"/>
  <c r="B52" i="69"/>
  <c r="B938" i="69"/>
  <c r="B265" i="69"/>
  <c r="B828" i="69"/>
  <c r="B68" i="69"/>
  <c r="B1096" i="69"/>
  <c r="B365" i="69"/>
  <c r="B263" i="69"/>
  <c r="B1001" i="69"/>
  <c r="B947" i="69"/>
  <c r="B517" i="69"/>
  <c r="B785" i="69"/>
  <c r="B612" i="69"/>
  <c r="B962" i="69"/>
  <c r="B144" i="69"/>
  <c r="B894" i="69"/>
  <c r="C479" i="69"/>
  <c r="C480" i="69"/>
  <c r="C481" i="69"/>
  <c r="C478" i="69"/>
  <c r="E42" i="18" l="1"/>
  <c r="S41" i="18" l="1"/>
  <c r="E41" i="18"/>
  <c r="L131" i="68" l="1"/>
  <c r="K131" i="68"/>
  <c r="J131" i="68"/>
  <c r="L131" i="67"/>
  <c r="K131" i="67"/>
  <c r="J131" i="67"/>
  <c r="L131" i="66"/>
  <c r="K131" i="66"/>
  <c r="J131" i="66"/>
  <c r="L145" i="64"/>
  <c r="K145" i="64"/>
  <c r="J145" i="64"/>
  <c r="E131" i="66" l="1"/>
  <c r="E131" i="68"/>
  <c r="E145" i="64"/>
  <c r="E131" i="67"/>
  <c r="C7" i="24"/>
  <c r="E4" i="24"/>
  <c r="C10" i="18"/>
  <c r="F6" i="20"/>
  <c r="F5" i="20"/>
  <c r="H43" i="20"/>
  <c r="B43" i="20"/>
  <c r="H42" i="20"/>
  <c r="B42" i="20"/>
  <c r="C34" i="18"/>
  <c r="C33" i="18"/>
  <c r="C32" i="18"/>
  <c r="E34" i="18"/>
  <c r="E33" i="18"/>
  <c r="E32" i="18"/>
  <c r="H34" i="18"/>
  <c r="H33" i="18"/>
  <c r="H32" i="18"/>
  <c r="J34" i="18"/>
  <c r="J33" i="18"/>
  <c r="J32" i="18"/>
  <c r="N34" i="18"/>
  <c r="N33" i="18"/>
  <c r="N32" i="18"/>
  <c r="D109" i="64"/>
  <c r="D95" i="66"/>
  <c r="D95" i="67"/>
  <c r="D95" i="68"/>
  <c r="D109" i="41"/>
  <c r="A3" i="55" l="1"/>
  <c r="C36" i="41"/>
  <c r="C38" i="41"/>
  <c r="C40" i="41"/>
  <c r="A31" i="64"/>
  <c r="A31" i="66"/>
  <c r="A31" i="67"/>
  <c r="A31" i="68"/>
  <c r="AN57" i="66"/>
  <c r="AN57" i="67"/>
  <c r="AN57" i="68"/>
  <c r="AN71" i="64"/>
  <c r="D66" i="20"/>
  <c r="D76" i="20" s="1"/>
  <c r="D86" i="20" s="1"/>
  <c r="D96" i="20" s="1"/>
  <c r="D106" i="20" s="1"/>
  <c r="D116" i="20" s="1"/>
  <c r="D126" i="20" s="1"/>
  <c r="D136" i="20" s="1"/>
  <c r="D146" i="20" s="1"/>
  <c r="D156" i="20" s="1"/>
  <c r="D166" i="20" s="1"/>
  <c r="D176" i="20" s="1"/>
  <c r="D186" i="20" s="1"/>
  <c r="D196" i="20" s="1"/>
  <c r="D206" i="20" s="1"/>
  <c r="D216" i="20" s="1"/>
  <c r="D226" i="20" s="1"/>
  <c r="D236" i="20" s="1"/>
  <c r="D246" i="20" s="1"/>
  <c r="D65" i="20"/>
  <c r="D75" i="20" s="1"/>
  <c r="D85" i="20" s="1"/>
  <c r="D95" i="20" s="1"/>
  <c r="D105" i="20" s="1"/>
  <c r="D115" i="20" s="1"/>
  <c r="D125" i="20" s="1"/>
  <c r="D135" i="20" s="1"/>
  <c r="D145" i="20" s="1"/>
  <c r="D155" i="20" s="1"/>
  <c r="D165" i="20" s="1"/>
  <c r="D175" i="20" s="1"/>
  <c r="D185" i="20" s="1"/>
  <c r="D195" i="20" s="1"/>
  <c r="D205" i="20" s="1"/>
  <c r="D215" i="20" s="1"/>
  <c r="D225" i="20" s="1"/>
  <c r="D235" i="20" s="1"/>
  <c r="D245" i="20" s="1"/>
  <c r="D54" i="20"/>
  <c r="D64" i="20" s="1"/>
  <c r="D74" i="20" s="1"/>
  <c r="D84" i="20" s="1"/>
  <c r="D94" i="20" s="1"/>
  <c r="D104" i="20" s="1"/>
  <c r="D114" i="20" s="1"/>
  <c r="D124" i="20" s="1"/>
  <c r="D134" i="20" s="1"/>
  <c r="D144" i="20" s="1"/>
  <c r="D154" i="20" s="1"/>
  <c r="D164" i="20" s="1"/>
  <c r="D174" i="20" s="1"/>
  <c r="D184" i="20" s="1"/>
  <c r="D194" i="20" s="1"/>
  <c r="D204" i="20" s="1"/>
  <c r="D214" i="20" s="1"/>
  <c r="D224" i="20" s="1"/>
  <c r="D234" i="20" s="1"/>
  <c r="D244" i="20" s="1"/>
  <c r="A10" i="66"/>
  <c r="A18" i="66"/>
  <c r="A27" i="66"/>
  <c r="A53" i="66"/>
  <c r="A5" i="66"/>
  <c r="E108" i="66"/>
  <c r="E109" i="66"/>
  <c r="E110" i="66"/>
  <c r="J105" i="66"/>
  <c r="J115" i="66" s="1"/>
  <c r="K105" i="66"/>
  <c r="K111" i="66" s="1"/>
  <c r="L105" i="66"/>
  <c r="L125" i="66" s="1"/>
  <c r="E117" i="66"/>
  <c r="E121" i="66"/>
  <c r="E126" i="66"/>
  <c r="E129" i="66"/>
  <c r="E130" i="66"/>
  <c r="E135" i="66"/>
  <c r="E136" i="66"/>
  <c r="A10" i="67"/>
  <c r="A18" i="67"/>
  <c r="A27" i="67"/>
  <c r="A53" i="67"/>
  <c r="A5" i="67"/>
  <c r="E108" i="67"/>
  <c r="E109" i="67"/>
  <c r="E110" i="67"/>
  <c r="J105" i="67"/>
  <c r="K105" i="67"/>
  <c r="K115" i="67" s="1"/>
  <c r="L105" i="67"/>
  <c r="L125" i="67" s="1"/>
  <c r="E117" i="67"/>
  <c r="E121" i="67"/>
  <c r="E126" i="67"/>
  <c r="E129" i="67"/>
  <c r="E130" i="67"/>
  <c r="E135" i="67"/>
  <c r="E136" i="67"/>
  <c r="A10" i="68"/>
  <c r="A18" i="68"/>
  <c r="A27" i="68"/>
  <c r="A53" i="68"/>
  <c r="A5" i="68"/>
  <c r="E108" i="68"/>
  <c r="E109" i="68"/>
  <c r="E110" i="68"/>
  <c r="J105" i="68"/>
  <c r="J119" i="68" s="1"/>
  <c r="K105" i="68"/>
  <c r="K111" i="68" s="1"/>
  <c r="L105" i="68"/>
  <c r="L115" i="68" s="1"/>
  <c r="E117" i="68"/>
  <c r="E121" i="68"/>
  <c r="E126" i="68"/>
  <c r="E129" i="68"/>
  <c r="E130" i="68"/>
  <c r="E135" i="68"/>
  <c r="E136" i="68"/>
  <c r="A10" i="64"/>
  <c r="A18" i="64"/>
  <c r="A27" i="64"/>
  <c r="A67" i="64"/>
  <c r="A5" i="64"/>
  <c r="E122" i="64"/>
  <c r="E123" i="64"/>
  <c r="E124" i="64"/>
  <c r="J119" i="64"/>
  <c r="J125" i="64" s="1"/>
  <c r="K119" i="64"/>
  <c r="K125" i="64" s="1"/>
  <c r="L119" i="64"/>
  <c r="L125" i="64" s="1"/>
  <c r="E131" i="64"/>
  <c r="E135" i="64"/>
  <c r="E140" i="64"/>
  <c r="E143" i="64"/>
  <c r="E144" i="64"/>
  <c r="E149" i="64"/>
  <c r="E150" i="64"/>
  <c r="I37" i="64"/>
  <c r="I39" i="64"/>
  <c r="L12" i="18"/>
  <c r="E122" i="41"/>
  <c r="E123" i="41"/>
  <c r="E124" i="41"/>
  <c r="J125" i="41"/>
  <c r="K125" i="41"/>
  <c r="L125" i="41"/>
  <c r="J128" i="41"/>
  <c r="K128" i="41"/>
  <c r="L128" i="41"/>
  <c r="J129" i="41"/>
  <c r="K129" i="41"/>
  <c r="L129" i="41"/>
  <c r="J130" i="41"/>
  <c r="K130" i="41"/>
  <c r="L130" i="41"/>
  <c r="E131" i="41"/>
  <c r="J133" i="41"/>
  <c r="K133" i="41"/>
  <c r="L133" i="41"/>
  <c r="E135" i="41"/>
  <c r="J137" i="41"/>
  <c r="K137" i="41"/>
  <c r="L137" i="41"/>
  <c r="J139" i="41"/>
  <c r="K139" i="41"/>
  <c r="L139" i="41"/>
  <c r="E140" i="41"/>
  <c r="E143" i="41"/>
  <c r="E144" i="41"/>
  <c r="E149" i="41"/>
  <c r="E150" i="41"/>
  <c r="J151" i="41"/>
  <c r="K151" i="41"/>
  <c r="L151" i="41"/>
  <c r="L121" i="41"/>
  <c r="L123" i="41"/>
  <c r="L124" i="41"/>
  <c r="L127" i="41"/>
  <c r="L131" i="41"/>
  <c r="L134" i="41"/>
  <c r="L135" i="41"/>
  <c r="L138" i="41"/>
  <c r="L140" i="41"/>
  <c r="L143" i="41"/>
  <c r="L144" i="41"/>
  <c r="L145" i="41"/>
  <c r="L146" i="41"/>
  <c r="L148" i="41"/>
  <c r="L149" i="41"/>
  <c r="L150" i="41"/>
  <c r="K121" i="41"/>
  <c r="K122" i="41"/>
  <c r="K123" i="41"/>
  <c r="K124" i="41"/>
  <c r="K127" i="41"/>
  <c r="K131" i="41"/>
  <c r="K134" i="41"/>
  <c r="K135" i="41"/>
  <c r="K138" i="41"/>
  <c r="K140" i="41"/>
  <c r="K143" i="41"/>
  <c r="K144" i="41"/>
  <c r="K145" i="41"/>
  <c r="K146" i="41"/>
  <c r="K148" i="41"/>
  <c r="K149" i="41"/>
  <c r="K150" i="41"/>
  <c r="J121" i="41"/>
  <c r="J122" i="41"/>
  <c r="J123" i="41"/>
  <c r="J124" i="41"/>
  <c r="J127" i="41"/>
  <c r="J131" i="41"/>
  <c r="J134" i="41"/>
  <c r="J135" i="41"/>
  <c r="J138" i="41"/>
  <c r="J140" i="41"/>
  <c r="J143" i="41"/>
  <c r="J144" i="41"/>
  <c r="J145" i="41"/>
  <c r="J146" i="41"/>
  <c r="J148" i="41"/>
  <c r="J149" i="41"/>
  <c r="J150" i="41"/>
  <c r="BF61" i="66"/>
  <c r="BF61" i="67"/>
  <c r="BF61" i="68"/>
  <c r="BF75" i="64"/>
  <c r="I2" i="24"/>
  <c r="H2" i="24"/>
  <c r="G2" i="24"/>
  <c r="J2" i="24"/>
  <c r="AA41" i="18"/>
  <c r="C18" i="18"/>
  <c r="C17" i="18"/>
  <c r="C16" i="18"/>
  <c r="C15" i="18"/>
  <c r="A193" i="68"/>
  <c r="D143" i="68"/>
  <c r="D142" i="68"/>
  <c r="D141" i="68"/>
  <c r="D140" i="68"/>
  <c r="D139" i="68"/>
  <c r="D138" i="68"/>
  <c r="D137" i="68"/>
  <c r="D136" i="68"/>
  <c r="D135" i="68"/>
  <c r="D134" i="68"/>
  <c r="D133" i="68"/>
  <c r="D132" i="68"/>
  <c r="D131" i="68"/>
  <c r="D130" i="68"/>
  <c r="D129" i="68"/>
  <c r="D128" i="68"/>
  <c r="D127" i="68"/>
  <c r="D126" i="68"/>
  <c r="D125" i="68"/>
  <c r="D124" i="68"/>
  <c r="D123" i="68"/>
  <c r="D122" i="68"/>
  <c r="D121" i="68"/>
  <c r="D120" i="68"/>
  <c r="D119" i="68"/>
  <c r="D118" i="68"/>
  <c r="D117" i="68"/>
  <c r="D116" i="68"/>
  <c r="D115" i="68"/>
  <c r="D114" i="68"/>
  <c r="D113" i="68"/>
  <c r="D112" i="68"/>
  <c r="D111" i="68"/>
  <c r="D110" i="68"/>
  <c r="D109" i="68"/>
  <c r="D108" i="68"/>
  <c r="D107" i="68"/>
  <c r="D106" i="68"/>
  <c r="D105" i="68"/>
  <c r="D104" i="68"/>
  <c r="D103" i="68"/>
  <c r="D102" i="68"/>
  <c r="D101" i="68"/>
  <c r="D100" i="68"/>
  <c r="D99" i="68"/>
  <c r="D98" i="68"/>
  <c r="D97" i="68"/>
  <c r="D96" i="68"/>
  <c r="D94" i="68"/>
  <c r="D93" i="68"/>
  <c r="D92" i="68"/>
  <c r="D91" i="68"/>
  <c r="D90" i="68"/>
  <c r="D89" i="68"/>
  <c r="D88" i="68"/>
  <c r="D87" i="68"/>
  <c r="D86" i="68"/>
  <c r="D85" i="68"/>
  <c r="D84" i="68"/>
  <c r="D83" i="68"/>
  <c r="D82" i="68"/>
  <c r="D81" i="68"/>
  <c r="D80" i="68"/>
  <c r="D79" i="68"/>
  <c r="D78" i="68"/>
  <c r="D77" i="68"/>
  <c r="D76" i="68"/>
  <c r="D75" i="68"/>
  <c r="AH44" i="68"/>
  <c r="AG44" i="68"/>
  <c r="AF44" i="68"/>
  <c r="AE44" i="68"/>
  <c r="AC44" i="68"/>
  <c r="AB44" i="68"/>
  <c r="AA44" i="68"/>
  <c r="Z44" i="68"/>
  <c r="X44" i="68"/>
  <c r="W44" i="68"/>
  <c r="V44" i="68"/>
  <c r="U44" i="68"/>
  <c r="T44" i="68"/>
  <c r="R44" i="68"/>
  <c r="Q44" i="68"/>
  <c r="P44" i="68"/>
  <c r="N44" i="68"/>
  <c r="M44" i="68"/>
  <c r="L44" i="68"/>
  <c r="K44" i="68"/>
  <c r="J44" i="68"/>
  <c r="H44" i="68"/>
  <c r="G44" i="68"/>
  <c r="F44" i="68"/>
  <c r="E44" i="68"/>
  <c r="D44" i="68"/>
  <c r="I35" i="68"/>
  <c r="BF1" i="68"/>
  <c r="A193" i="67"/>
  <c r="D143" i="67"/>
  <c r="D142" i="67"/>
  <c r="D141" i="67"/>
  <c r="D140" i="67"/>
  <c r="D139" i="67"/>
  <c r="D138" i="67"/>
  <c r="D137" i="67"/>
  <c r="D136" i="67"/>
  <c r="D135" i="67"/>
  <c r="D134" i="67"/>
  <c r="D133" i="67"/>
  <c r="D132" i="67"/>
  <c r="D131" i="67"/>
  <c r="D130" i="67"/>
  <c r="D129" i="67"/>
  <c r="D128" i="67"/>
  <c r="D127" i="67"/>
  <c r="D126" i="67"/>
  <c r="D125" i="67"/>
  <c r="D124" i="67"/>
  <c r="D123" i="67"/>
  <c r="D122" i="67"/>
  <c r="D121" i="67"/>
  <c r="D120" i="67"/>
  <c r="D119" i="67"/>
  <c r="D118" i="67"/>
  <c r="D117" i="67"/>
  <c r="D116" i="67"/>
  <c r="D115" i="67"/>
  <c r="D114" i="67"/>
  <c r="D113" i="67"/>
  <c r="D112" i="67"/>
  <c r="D111" i="67"/>
  <c r="D110" i="67"/>
  <c r="D109" i="67"/>
  <c r="D108" i="67"/>
  <c r="D107" i="67"/>
  <c r="D106" i="67"/>
  <c r="D105" i="67"/>
  <c r="D104" i="67"/>
  <c r="D103" i="67"/>
  <c r="D102" i="67"/>
  <c r="D101" i="67"/>
  <c r="D100" i="67"/>
  <c r="D99" i="67"/>
  <c r="D98" i="67"/>
  <c r="D97" i="67"/>
  <c r="D96" i="67"/>
  <c r="D94" i="67"/>
  <c r="D93" i="67"/>
  <c r="D92" i="67"/>
  <c r="D91" i="67"/>
  <c r="D90" i="67"/>
  <c r="D89" i="67"/>
  <c r="D88" i="67"/>
  <c r="D87" i="67"/>
  <c r="D86" i="67"/>
  <c r="D85" i="67"/>
  <c r="D84" i="67"/>
  <c r="D83" i="67"/>
  <c r="D82" i="67"/>
  <c r="D81" i="67"/>
  <c r="D80" i="67"/>
  <c r="D79" i="67"/>
  <c r="D78" i="67"/>
  <c r="D77" i="67"/>
  <c r="D76" i="67"/>
  <c r="D75" i="67"/>
  <c r="AH44" i="67"/>
  <c r="AG44" i="67"/>
  <c r="AF44" i="67"/>
  <c r="AE44" i="67"/>
  <c r="AC44" i="67"/>
  <c r="AB44" i="67"/>
  <c r="AA44" i="67"/>
  <c r="Z44" i="67"/>
  <c r="X44" i="67"/>
  <c r="W44" i="67"/>
  <c r="V44" i="67"/>
  <c r="U44" i="67"/>
  <c r="T44" i="67"/>
  <c r="R44" i="67"/>
  <c r="Q44" i="67"/>
  <c r="P44" i="67"/>
  <c r="N44" i="67"/>
  <c r="M44" i="67"/>
  <c r="L44" i="67"/>
  <c r="K44" i="67"/>
  <c r="J44" i="67"/>
  <c r="H44" i="67"/>
  <c r="G44" i="67"/>
  <c r="F44" i="67"/>
  <c r="E44" i="67"/>
  <c r="D44" i="67"/>
  <c r="I35" i="67"/>
  <c r="BF1" i="67"/>
  <c r="A193" i="66"/>
  <c r="D143" i="66"/>
  <c r="D142" i="66"/>
  <c r="D141" i="66"/>
  <c r="D140" i="66"/>
  <c r="D139" i="66"/>
  <c r="D138" i="66"/>
  <c r="D137" i="66"/>
  <c r="D136" i="66"/>
  <c r="D135" i="66"/>
  <c r="D134" i="66"/>
  <c r="D133" i="66"/>
  <c r="D132" i="66"/>
  <c r="D131" i="66"/>
  <c r="D130" i="66"/>
  <c r="D129" i="66"/>
  <c r="D128" i="66"/>
  <c r="D127" i="66"/>
  <c r="D126" i="66"/>
  <c r="D125" i="66"/>
  <c r="D124" i="66"/>
  <c r="D123" i="66"/>
  <c r="D122" i="66"/>
  <c r="D121" i="66"/>
  <c r="D120" i="66"/>
  <c r="D119" i="66"/>
  <c r="D118" i="66"/>
  <c r="D117" i="66"/>
  <c r="D116" i="66"/>
  <c r="D115" i="66"/>
  <c r="D114" i="66"/>
  <c r="D113" i="66"/>
  <c r="D112" i="66"/>
  <c r="D111" i="66"/>
  <c r="D110" i="66"/>
  <c r="D109" i="66"/>
  <c r="D108" i="66"/>
  <c r="D107" i="66"/>
  <c r="D106" i="66"/>
  <c r="D105" i="66"/>
  <c r="D104" i="66"/>
  <c r="D103" i="66"/>
  <c r="D102" i="66"/>
  <c r="D101" i="66"/>
  <c r="D100" i="66"/>
  <c r="D99" i="66"/>
  <c r="D98" i="66"/>
  <c r="D97" i="66"/>
  <c r="D96" i="66"/>
  <c r="D94" i="66"/>
  <c r="D93" i="66"/>
  <c r="D92" i="66"/>
  <c r="D91" i="66"/>
  <c r="D90" i="66"/>
  <c r="D89" i="66"/>
  <c r="D88" i="66"/>
  <c r="D87" i="66"/>
  <c r="D86" i="66"/>
  <c r="D85" i="66"/>
  <c r="D84" i="66"/>
  <c r="D83" i="66"/>
  <c r="D82" i="66"/>
  <c r="D81" i="66"/>
  <c r="D80" i="66"/>
  <c r="D79" i="66"/>
  <c r="D78" i="66"/>
  <c r="D77" i="66"/>
  <c r="D76" i="66"/>
  <c r="D75" i="66"/>
  <c r="AH44" i="66"/>
  <c r="AG44" i="66"/>
  <c r="AF44" i="66"/>
  <c r="AE44" i="66"/>
  <c r="AC44" i="66"/>
  <c r="AB44" i="66"/>
  <c r="AA44" i="66"/>
  <c r="Z44" i="66"/>
  <c r="X44" i="66"/>
  <c r="W44" i="66"/>
  <c r="V44" i="66"/>
  <c r="U44" i="66"/>
  <c r="T44" i="66"/>
  <c r="R44" i="66"/>
  <c r="Q44" i="66"/>
  <c r="P44" i="66"/>
  <c r="N44" i="66"/>
  <c r="M44" i="66"/>
  <c r="L44" i="66"/>
  <c r="K44" i="66"/>
  <c r="J44" i="66"/>
  <c r="H44" i="66"/>
  <c r="G44" i="66"/>
  <c r="F44" i="66"/>
  <c r="E44" i="66"/>
  <c r="D44" i="66"/>
  <c r="I35" i="66"/>
  <c r="BF1" i="66"/>
  <c r="A207" i="64"/>
  <c r="D157" i="64"/>
  <c r="D156" i="64"/>
  <c r="D155" i="64"/>
  <c r="D154" i="64"/>
  <c r="D153" i="64"/>
  <c r="D152" i="64"/>
  <c r="D151" i="64"/>
  <c r="D150" i="64"/>
  <c r="D149" i="64"/>
  <c r="D148" i="64"/>
  <c r="D147" i="64"/>
  <c r="D146" i="64"/>
  <c r="D145" i="64"/>
  <c r="D144" i="64"/>
  <c r="D143" i="64"/>
  <c r="D142" i="64"/>
  <c r="D141" i="64"/>
  <c r="D140" i="64"/>
  <c r="D139" i="64"/>
  <c r="D138" i="64"/>
  <c r="D137" i="64"/>
  <c r="D136" i="64"/>
  <c r="D135" i="64"/>
  <c r="D134" i="64"/>
  <c r="D133" i="64"/>
  <c r="D132" i="64"/>
  <c r="D131" i="64"/>
  <c r="D130" i="64"/>
  <c r="D129" i="64"/>
  <c r="D128" i="64"/>
  <c r="D127" i="64"/>
  <c r="D126" i="64"/>
  <c r="D125" i="64"/>
  <c r="D124" i="64"/>
  <c r="D123" i="64"/>
  <c r="D122" i="64"/>
  <c r="D121" i="64"/>
  <c r="D120" i="64"/>
  <c r="D119" i="64"/>
  <c r="D118" i="64"/>
  <c r="D117" i="64"/>
  <c r="D116" i="64"/>
  <c r="D115" i="64"/>
  <c r="D114" i="64"/>
  <c r="D113" i="64"/>
  <c r="D112" i="64"/>
  <c r="D111" i="64"/>
  <c r="D110" i="64"/>
  <c r="D108" i="64"/>
  <c r="D107" i="64"/>
  <c r="D106" i="64"/>
  <c r="D105" i="64"/>
  <c r="D104" i="64"/>
  <c r="D103" i="64"/>
  <c r="D102" i="64"/>
  <c r="D101" i="64"/>
  <c r="D100" i="64"/>
  <c r="D99" i="64"/>
  <c r="D98" i="64"/>
  <c r="D97" i="64"/>
  <c r="D96" i="64"/>
  <c r="D95" i="64"/>
  <c r="D94" i="64"/>
  <c r="D93" i="64"/>
  <c r="D92" i="64"/>
  <c r="D91" i="64"/>
  <c r="D90" i="64"/>
  <c r="D89" i="64"/>
  <c r="AH58" i="64"/>
  <c r="AG58" i="64"/>
  <c r="AF58" i="64"/>
  <c r="AE58" i="64"/>
  <c r="AC58" i="64"/>
  <c r="AB58" i="64"/>
  <c r="AA58" i="64"/>
  <c r="Z58" i="64"/>
  <c r="X58" i="64"/>
  <c r="W58" i="64"/>
  <c r="V58" i="64"/>
  <c r="U58" i="64"/>
  <c r="T58" i="64"/>
  <c r="R58" i="64"/>
  <c r="Q58" i="64"/>
  <c r="P58" i="64"/>
  <c r="N58" i="64"/>
  <c r="M58" i="64"/>
  <c r="L58" i="64"/>
  <c r="K58" i="64"/>
  <c r="J58" i="64"/>
  <c r="H58" i="64"/>
  <c r="G58" i="64"/>
  <c r="F58" i="64"/>
  <c r="E58" i="64"/>
  <c r="D58" i="64"/>
  <c r="I35" i="64"/>
  <c r="BF1" i="64"/>
  <c r="AY58" i="41"/>
  <c r="AZ58" i="41"/>
  <c r="BA58" i="41"/>
  <c r="BB58" i="41"/>
  <c r="BC58" i="41"/>
  <c r="BD58" i="41"/>
  <c r="BE58" i="41"/>
  <c r="AX58" i="41"/>
  <c r="T77" i="41"/>
  <c r="T78" i="41"/>
  <c r="T79" i="41"/>
  <c r="W79" i="41"/>
  <c r="W78" i="41"/>
  <c r="T76" i="41"/>
  <c r="W77" i="41"/>
  <c r="W76" i="41"/>
  <c r="AH58" i="41"/>
  <c r="AG58" i="41"/>
  <c r="AF58" i="41"/>
  <c r="AE58" i="41"/>
  <c r="AC58" i="41"/>
  <c r="AB58" i="41"/>
  <c r="AA58" i="41"/>
  <c r="Z58" i="41"/>
  <c r="X58" i="41"/>
  <c r="W58" i="41"/>
  <c r="V58" i="41"/>
  <c r="U58" i="41"/>
  <c r="T58" i="41"/>
  <c r="R58" i="41"/>
  <c r="Q58" i="41"/>
  <c r="P58" i="41"/>
  <c r="N58" i="41"/>
  <c r="M58" i="41"/>
  <c r="L58" i="41"/>
  <c r="K58" i="41"/>
  <c r="J58" i="41"/>
  <c r="E58" i="41"/>
  <c r="F58" i="41"/>
  <c r="G58" i="41"/>
  <c r="H58" i="41"/>
  <c r="D58" i="41"/>
  <c r="C27" i="18"/>
  <c r="C26" i="18"/>
  <c r="C25" i="18"/>
  <c r="A17" i="57"/>
  <c r="B17" i="57"/>
  <c r="A18" i="57"/>
  <c r="B18" i="57"/>
  <c r="A19" i="57"/>
  <c r="B19" i="57"/>
  <c r="E19" i="57"/>
  <c r="G19" i="57"/>
  <c r="A20" i="57"/>
  <c r="B20" i="57"/>
  <c r="E20" i="57"/>
  <c r="G20" i="57"/>
  <c r="Q5" i="20"/>
  <c r="N42" i="18"/>
  <c r="Y5" i="18"/>
  <c r="Y6" i="18"/>
  <c r="U5" i="18"/>
  <c r="A207" i="41"/>
  <c r="B225" i="20"/>
  <c r="B226" i="20"/>
  <c r="B224" i="20"/>
  <c r="D141" i="41"/>
  <c r="C264" i="24"/>
  <c r="C263" i="24"/>
  <c r="C262" i="24"/>
  <c r="BF1" i="41"/>
  <c r="F64" i="8"/>
  <c r="C64" i="8"/>
  <c r="AC5" i="18"/>
  <c r="U8" i="18"/>
  <c r="C5" i="18"/>
  <c r="B306" i="20"/>
  <c r="B305" i="20"/>
  <c r="B304" i="20"/>
  <c r="B296" i="20"/>
  <c r="B295" i="20"/>
  <c r="B294" i="20"/>
  <c r="B286" i="20"/>
  <c r="B285" i="20"/>
  <c r="B284" i="20"/>
  <c r="B276" i="20"/>
  <c r="B275" i="20"/>
  <c r="B274" i="20"/>
  <c r="B266" i="20"/>
  <c r="B265" i="20"/>
  <c r="B264" i="20"/>
  <c r="B256" i="20"/>
  <c r="B255" i="20"/>
  <c r="B254" i="20"/>
  <c r="B246" i="20"/>
  <c r="B245" i="20"/>
  <c r="B244" i="20"/>
  <c r="B236" i="20"/>
  <c r="B235" i="20"/>
  <c r="B234" i="20"/>
  <c r="B216" i="20"/>
  <c r="B215" i="20"/>
  <c r="B214" i="20"/>
  <c r="B206" i="20"/>
  <c r="B205" i="20"/>
  <c r="B204" i="20"/>
  <c r="B196" i="20"/>
  <c r="B195" i="20"/>
  <c r="B194" i="20"/>
  <c r="B186" i="20"/>
  <c r="B185" i="20"/>
  <c r="B184" i="20"/>
  <c r="B176" i="20"/>
  <c r="B175" i="20"/>
  <c r="B174" i="20"/>
  <c r="B166" i="20"/>
  <c r="B165" i="20"/>
  <c r="B164" i="20"/>
  <c r="B156" i="20"/>
  <c r="B155" i="20"/>
  <c r="B154" i="20"/>
  <c r="B146" i="20"/>
  <c r="B145" i="20"/>
  <c r="B144" i="20"/>
  <c r="B136" i="20"/>
  <c r="B135" i="20"/>
  <c r="B134" i="20"/>
  <c r="B126" i="20"/>
  <c r="B125" i="20"/>
  <c r="B124" i="20"/>
  <c r="B116" i="20"/>
  <c r="B115" i="20"/>
  <c r="B114" i="20"/>
  <c r="B106" i="20"/>
  <c r="B105" i="20"/>
  <c r="B104" i="20"/>
  <c r="B96" i="20"/>
  <c r="B95" i="20"/>
  <c r="B94" i="20"/>
  <c r="B86" i="20"/>
  <c r="B85" i="20"/>
  <c r="B84" i="20"/>
  <c r="B76" i="20"/>
  <c r="B75" i="20"/>
  <c r="B74" i="20"/>
  <c r="B66" i="20"/>
  <c r="B65" i="20"/>
  <c r="B64" i="20"/>
  <c r="B316" i="20"/>
  <c r="B317" i="20"/>
  <c r="B318" i="20"/>
  <c r="B319" i="20"/>
  <c r="B315" i="20"/>
  <c r="B55" i="20"/>
  <c r="B56" i="20"/>
  <c r="B54" i="20"/>
  <c r="B47" i="20"/>
  <c r="B48" i="20"/>
  <c r="B49" i="20"/>
  <c r="B50" i="20"/>
  <c r="B51" i="20"/>
  <c r="B52" i="20"/>
  <c r="B46" i="20"/>
  <c r="B44" i="20"/>
  <c r="B41" i="20"/>
  <c r="B40" i="20"/>
  <c r="B39" i="20"/>
  <c r="B38" i="20"/>
  <c r="B37" i="20"/>
  <c r="B36" i="20"/>
  <c r="B35" i="20"/>
  <c r="B33" i="20"/>
  <c r="B32" i="20"/>
  <c r="B34" i="20"/>
  <c r="B31" i="20"/>
  <c r="B29" i="20"/>
  <c r="B28" i="20"/>
  <c r="B27" i="20"/>
  <c r="B26" i="20"/>
  <c r="B25" i="20"/>
  <c r="B24" i="20"/>
  <c r="B23" i="20"/>
  <c r="B22" i="20"/>
  <c r="B21" i="20"/>
  <c r="B20" i="20"/>
  <c r="B18" i="20"/>
  <c r="B17" i="20"/>
  <c r="B16" i="20"/>
  <c r="B15" i="20"/>
  <c r="B14" i="20"/>
  <c r="B13" i="20"/>
  <c r="B12" i="20"/>
  <c r="H44" i="20"/>
  <c r="H33" i="20"/>
  <c r="H34" i="20"/>
  <c r="H35" i="20"/>
  <c r="H36" i="20"/>
  <c r="H37" i="20"/>
  <c r="H38" i="20"/>
  <c r="H39" i="20"/>
  <c r="H40" i="20"/>
  <c r="H41" i="20"/>
  <c r="H22" i="20"/>
  <c r="H23" i="20"/>
  <c r="H24" i="20"/>
  <c r="H25" i="20"/>
  <c r="H26" i="20"/>
  <c r="H27" i="20"/>
  <c r="H28" i="20"/>
  <c r="H29" i="20"/>
  <c r="H32" i="20"/>
  <c r="H31" i="20"/>
  <c r="H21" i="20"/>
  <c r="H20" i="20"/>
  <c r="D157" i="41"/>
  <c r="D156" i="41"/>
  <c r="D155" i="41"/>
  <c r="D154" i="41"/>
  <c r="D153" i="41"/>
  <c r="D152" i="41"/>
  <c r="D151" i="41"/>
  <c r="D150" i="41"/>
  <c r="D149" i="41"/>
  <c r="D148" i="41"/>
  <c r="D147" i="41"/>
  <c r="D146" i="41"/>
  <c r="D145" i="41"/>
  <c r="D144" i="41"/>
  <c r="D143" i="41"/>
  <c r="D142" i="41"/>
  <c r="D140" i="41"/>
  <c r="D139" i="41"/>
  <c r="D138" i="41"/>
  <c r="D137" i="41"/>
  <c r="D136" i="41"/>
  <c r="D135" i="41"/>
  <c r="D134" i="41"/>
  <c r="D133" i="41"/>
  <c r="D132" i="41"/>
  <c r="D131" i="41"/>
  <c r="D130" i="41"/>
  <c r="D129" i="41"/>
  <c r="D128" i="41"/>
  <c r="D127" i="41"/>
  <c r="D126" i="41"/>
  <c r="D125" i="41"/>
  <c r="D124" i="41"/>
  <c r="D123" i="41"/>
  <c r="D122" i="41"/>
  <c r="D121" i="41"/>
  <c r="D120" i="41"/>
  <c r="D119" i="41"/>
  <c r="D118" i="41"/>
  <c r="D117" i="41"/>
  <c r="D116" i="41"/>
  <c r="D115" i="41"/>
  <c r="D114" i="41"/>
  <c r="D113" i="41"/>
  <c r="D112" i="41"/>
  <c r="D111" i="41"/>
  <c r="D110" i="41"/>
  <c r="D108" i="41"/>
  <c r="D107" i="41"/>
  <c r="D106" i="41"/>
  <c r="D105" i="41"/>
  <c r="D104" i="41"/>
  <c r="D103" i="41"/>
  <c r="D102" i="41"/>
  <c r="D101" i="41"/>
  <c r="D100" i="41"/>
  <c r="D99" i="41"/>
  <c r="D98" i="41"/>
  <c r="D97" i="41"/>
  <c r="D96" i="41"/>
  <c r="D95" i="41"/>
  <c r="D94" i="41"/>
  <c r="D93" i="41"/>
  <c r="D92" i="41"/>
  <c r="D91" i="41"/>
  <c r="D90" i="41"/>
  <c r="D89" i="41"/>
  <c r="H64" i="20"/>
  <c r="H55" i="20"/>
  <c r="H56" i="20"/>
  <c r="H54" i="20"/>
  <c r="C354" i="24"/>
  <c r="C353" i="24"/>
  <c r="C352" i="24"/>
  <c r="C343" i="24"/>
  <c r="C342" i="24"/>
  <c r="C341" i="24"/>
  <c r="C332" i="24"/>
  <c r="C331" i="24"/>
  <c r="C330" i="24"/>
  <c r="C321" i="24"/>
  <c r="C320" i="24"/>
  <c r="C319" i="24"/>
  <c r="C309" i="24"/>
  <c r="C308" i="24"/>
  <c r="C307" i="24"/>
  <c r="C298" i="24"/>
  <c r="C297" i="24"/>
  <c r="C296" i="24"/>
  <c r="C287" i="24"/>
  <c r="C286" i="24"/>
  <c r="C285" i="24"/>
  <c r="C276" i="24"/>
  <c r="C275" i="24"/>
  <c r="C274" i="24"/>
  <c r="C253" i="24"/>
  <c r="C252" i="24"/>
  <c r="C251" i="24"/>
  <c r="C242" i="24"/>
  <c r="C241" i="24"/>
  <c r="C240" i="24"/>
  <c r="C231" i="24"/>
  <c r="C230" i="24"/>
  <c r="C229" i="24"/>
  <c r="C220" i="24"/>
  <c r="C219" i="24"/>
  <c r="C218" i="24"/>
  <c r="C208" i="24"/>
  <c r="C207" i="24"/>
  <c r="C206" i="24"/>
  <c r="C197" i="24"/>
  <c r="C196" i="24"/>
  <c r="C195" i="24"/>
  <c r="C186" i="24"/>
  <c r="C185" i="24"/>
  <c r="C184" i="24"/>
  <c r="C174" i="24"/>
  <c r="C173" i="24"/>
  <c r="C172" i="24"/>
  <c r="C141" i="24"/>
  <c r="C140" i="24"/>
  <c r="C139" i="24"/>
  <c r="C163" i="24"/>
  <c r="C162" i="24"/>
  <c r="C161" i="24"/>
  <c r="C152" i="24"/>
  <c r="C151" i="24"/>
  <c r="C150" i="24"/>
  <c r="C130" i="24"/>
  <c r="C129" i="24"/>
  <c r="C128" i="24"/>
  <c r="C118" i="24"/>
  <c r="C117" i="24"/>
  <c r="C116" i="24"/>
  <c r="C106" i="24"/>
  <c r="C105" i="24"/>
  <c r="C96" i="24"/>
  <c r="C95" i="24"/>
  <c r="C94" i="24"/>
  <c r="C85" i="24"/>
  <c r="C84" i="24"/>
  <c r="C83" i="24"/>
  <c r="C74" i="24"/>
  <c r="C73" i="24"/>
  <c r="C72" i="24"/>
  <c r="H47" i="20"/>
  <c r="H48" i="20"/>
  <c r="H49" i="20"/>
  <c r="H50" i="20"/>
  <c r="H51" i="20"/>
  <c r="H52" i="20"/>
  <c r="H46" i="20"/>
  <c r="H12" i="20"/>
  <c r="H13" i="20"/>
  <c r="H15" i="20"/>
  <c r="H16" i="20"/>
  <c r="H17" i="20"/>
  <c r="H18" i="20"/>
  <c r="H14" i="20"/>
  <c r="J11" i="49"/>
  <c r="J12" i="49"/>
  <c r="J13" i="49"/>
  <c r="J14" i="49"/>
  <c r="J15" i="49"/>
  <c r="J16" i="49"/>
  <c r="J17" i="49"/>
  <c r="J18" i="49"/>
  <c r="J19" i="49"/>
  <c r="J20" i="49"/>
  <c r="J21" i="49"/>
  <c r="J22" i="49"/>
  <c r="J23" i="49"/>
  <c r="J24" i="49"/>
  <c r="J25" i="49"/>
  <c r="J26" i="49"/>
  <c r="J27" i="49"/>
  <c r="I35" i="41"/>
  <c r="L27" i="18"/>
  <c r="J27" i="18"/>
  <c r="L25" i="18"/>
  <c r="J26" i="18"/>
  <c r="J25" i="18"/>
  <c r="L24" i="18"/>
  <c r="J24" i="18"/>
  <c r="U6" i="18"/>
  <c r="L26" i="18"/>
  <c r="B63" i="8"/>
  <c r="B62" i="8"/>
  <c r="B61" i="8"/>
  <c r="B60" i="8"/>
  <c r="B59" i="8"/>
  <c r="B58" i="8"/>
  <c r="B55" i="8"/>
  <c r="C8" i="18"/>
  <c r="C9" i="18"/>
  <c r="C24" i="18"/>
  <c r="H24" i="18"/>
  <c r="H25" i="18"/>
  <c r="H26" i="18"/>
  <c r="H27" i="18"/>
  <c r="B54" i="8"/>
  <c r="D255" i="20" l="1"/>
  <c r="D265" i="20" s="1"/>
  <c r="D275" i="20" s="1"/>
  <c r="D285" i="20" s="1"/>
  <c r="D295" i="20" s="1"/>
  <c r="D305" i="20" s="1"/>
  <c r="D254" i="20"/>
  <c r="D264" i="20" s="1"/>
  <c r="D274" i="20" s="1"/>
  <c r="D284" i="20" s="1"/>
  <c r="D294" i="20" s="1"/>
  <c r="D304" i="20" s="1"/>
  <c r="D256" i="20"/>
  <c r="D266" i="20" s="1"/>
  <c r="D276" i="20" s="1"/>
  <c r="D286" i="20" s="1"/>
  <c r="D296" i="20" s="1"/>
  <c r="D306" i="20" s="1"/>
  <c r="P61" i="41"/>
  <c r="V61" i="41"/>
  <c r="AF61" i="41"/>
  <c r="F61" i="41"/>
  <c r="AA61" i="41"/>
  <c r="L61" i="41"/>
  <c r="C36" i="67"/>
  <c r="C46" i="64"/>
  <c r="C54" i="64"/>
  <c r="C44" i="64"/>
  <c r="C50" i="64"/>
  <c r="C42" i="64"/>
  <c r="C48" i="64"/>
  <c r="C52" i="64"/>
  <c r="C40" i="67"/>
  <c r="C40" i="64"/>
  <c r="C40" i="68"/>
  <c r="C40" i="66"/>
  <c r="C38" i="67"/>
  <c r="C38" i="64"/>
  <c r="C38" i="68"/>
  <c r="C38" i="66"/>
  <c r="E145" i="41"/>
  <c r="E137" i="41"/>
  <c r="K123" i="67"/>
  <c r="L116" i="68"/>
  <c r="C36" i="66"/>
  <c r="K116" i="67"/>
  <c r="L137" i="68"/>
  <c r="K119" i="67"/>
  <c r="C36" i="64"/>
  <c r="L125" i="68"/>
  <c r="L119" i="68"/>
  <c r="K130" i="64"/>
  <c r="L111" i="68"/>
  <c r="C36" i="68"/>
  <c r="L139" i="64"/>
  <c r="L151" i="64"/>
  <c r="K137" i="64"/>
  <c r="J123" i="68"/>
  <c r="J115" i="68"/>
  <c r="K133" i="64"/>
  <c r="K129" i="64"/>
  <c r="J125" i="68"/>
  <c r="L123" i="68"/>
  <c r="J116" i="68"/>
  <c r="J111" i="68"/>
  <c r="L137" i="67"/>
  <c r="K119" i="66"/>
  <c r="J137" i="68"/>
  <c r="J129" i="64"/>
  <c r="K125" i="68"/>
  <c r="K116" i="68"/>
  <c r="L137" i="66"/>
  <c r="K137" i="68"/>
  <c r="K119" i="68"/>
  <c r="K137" i="66"/>
  <c r="K125" i="66"/>
  <c r="K115" i="66"/>
  <c r="K123" i="68"/>
  <c r="K115" i="68"/>
  <c r="K123" i="66"/>
  <c r="K116" i="66"/>
  <c r="AZ62" i="41"/>
  <c r="E133" i="41"/>
  <c r="E130" i="41"/>
  <c r="E151" i="41"/>
  <c r="E125" i="41"/>
  <c r="E139" i="41"/>
  <c r="H45" i="20"/>
  <c r="E129" i="41"/>
  <c r="H19" i="20"/>
  <c r="H11" i="20"/>
  <c r="H30" i="20"/>
  <c r="E125" i="64"/>
  <c r="J111" i="67"/>
  <c r="J125" i="67"/>
  <c r="J137" i="67"/>
  <c r="J116" i="67"/>
  <c r="J119" i="67"/>
  <c r="J123" i="67"/>
  <c r="K151" i="64"/>
  <c r="K139" i="64"/>
  <c r="J137" i="64"/>
  <c r="J133" i="64"/>
  <c r="J130" i="64"/>
  <c r="J115" i="67"/>
  <c r="J151" i="64"/>
  <c r="J139" i="64"/>
  <c r="L129" i="64"/>
  <c r="L137" i="64"/>
  <c r="L133" i="64"/>
  <c r="L130" i="64"/>
  <c r="J111" i="66"/>
  <c r="J125" i="66"/>
  <c r="J137" i="66"/>
  <c r="J116" i="66"/>
  <c r="J119" i="66"/>
  <c r="J123" i="66"/>
  <c r="L111" i="66"/>
  <c r="L116" i="66"/>
  <c r="L119" i="66"/>
  <c r="L123" i="66"/>
  <c r="L115" i="66"/>
  <c r="L111" i="67"/>
  <c r="L116" i="67"/>
  <c r="L119" i="67"/>
  <c r="L123" i="67"/>
  <c r="L115" i="67"/>
  <c r="K137" i="67"/>
  <c r="K125" i="67"/>
  <c r="K111" i="67"/>
  <c r="A86" i="55"/>
  <c r="A239" i="55"/>
  <c r="A76" i="55"/>
  <c r="A83" i="55"/>
  <c r="A87" i="55"/>
  <c r="A85" i="55"/>
  <c r="A84" i="55"/>
  <c r="AK59" i="41" l="1"/>
  <c r="AZ62" i="64"/>
  <c r="AZ48" i="68"/>
  <c r="AZ48" i="67"/>
  <c r="AZ48" i="66"/>
  <c r="K138" i="66"/>
  <c r="T174" i="66" s="1"/>
  <c r="K152" i="64"/>
  <c r="T188" i="64" s="1"/>
  <c r="L138" i="68"/>
  <c r="U174" i="68" s="1"/>
  <c r="K138" i="68"/>
  <c r="T174" i="68" s="1"/>
  <c r="L138" i="67"/>
  <c r="U174" i="67" s="1"/>
  <c r="J138" i="68"/>
  <c r="S174" i="68" s="1"/>
  <c r="V61" i="64"/>
  <c r="F61" i="64"/>
  <c r="AA61" i="64"/>
  <c r="L61" i="64"/>
  <c r="AF61" i="64"/>
  <c r="P61" i="64"/>
  <c r="E111" i="68"/>
  <c r="E116" i="68"/>
  <c r="V47" i="66"/>
  <c r="F47" i="66"/>
  <c r="E119" i="68"/>
  <c r="E115" i="68"/>
  <c r="E125" i="68"/>
  <c r="P47" i="68"/>
  <c r="E137" i="68"/>
  <c r="E123" i="68"/>
  <c r="AF47" i="68"/>
  <c r="V47" i="68"/>
  <c r="E115" i="66"/>
  <c r="V47" i="67"/>
  <c r="AF47" i="66"/>
  <c r="L47" i="68"/>
  <c r="AA47" i="68"/>
  <c r="AA47" i="66"/>
  <c r="L47" i="66"/>
  <c r="P47" i="67"/>
  <c r="AF47" i="67"/>
  <c r="AA47" i="67"/>
  <c r="F47" i="68"/>
  <c r="P47" i="66"/>
  <c r="F47" i="67"/>
  <c r="L47" i="67"/>
  <c r="E129" i="64"/>
  <c r="E151" i="64"/>
  <c r="E137" i="66"/>
  <c r="E123" i="66"/>
  <c r="E125" i="66"/>
  <c r="E139" i="64"/>
  <c r="K138" i="67"/>
  <c r="T174" i="67" s="1"/>
  <c r="L138" i="66"/>
  <c r="U174" i="66" s="1"/>
  <c r="E116" i="66"/>
  <c r="E111" i="66"/>
  <c r="J138" i="66"/>
  <c r="S174" i="66" s="1"/>
  <c r="J152" i="64"/>
  <c r="S188" i="64" s="1"/>
  <c r="E133" i="64"/>
  <c r="E123" i="67"/>
  <c r="E125" i="67"/>
  <c r="L152" i="64"/>
  <c r="U188" i="64" s="1"/>
  <c r="E130" i="64"/>
  <c r="E119" i="67"/>
  <c r="E116" i="67"/>
  <c r="E111" i="67"/>
  <c r="J138" i="67"/>
  <c r="S174" i="67" s="1"/>
  <c r="E119" i="66"/>
  <c r="E115" i="67"/>
  <c r="E137" i="64"/>
  <c r="E137" i="67"/>
  <c r="AK45" i="68" l="1"/>
  <c r="AK45" i="67"/>
  <c r="AK45" i="66"/>
  <c r="AK59" i="64"/>
  <c r="H138" i="68"/>
  <c r="H152" i="64"/>
  <c r="H138" i="66"/>
  <c r="H138" i="67"/>
  <c r="AB188" i="41" l="1"/>
  <c r="Z188" i="41"/>
  <c r="V188" i="41"/>
  <c r="Y188" i="41"/>
  <c r="AA188" i="41"/>
  <c r="W188" i="41"/>
  <c r="X188" i="41"/>
  <c r="A220" i="55"/>
  <c r="A200" i="55"/>
  <c r="A71" i="55"/>
  <c r="A208" i="55"/>
  <c r="A251" i="55"/>
  <c r="A262" i="55"/>
  <c r="A11" i="55"/>
  <c r="A66" i="55"/>
  <c r="A283" i="55"/>
  <c r="A238" i="55"/>
  <c r="A277" i="55"/>
  <c r="A171" i="55"/>
  <c r="A40" i="55"/>
  <c r="A79" i="55"/>
  <c r="A67" i="55"/>
  <c r="A246" i="55"/>
  <c r="A287" i="55"/>
  <c r="A37" i="55"/>
  <c r="A61" i="55"/>
  <c r="A247" i="55"/>
  <c r="A127" i="55"/>
  <c r="A165" i="55"/>
  <c r="A189" i="55"/>
  <c r="A60" i="55"/>
  <c r="A263" i="55"/>
  <c r="A148" i="55"/>
  <c r="A150" i="55"/>
  <c r="A259" i="55"/>
  <c r="A270" i="55"/>
  <c r="A104" i="55"/>
  <c r="A125" i="55"/>
  <c r="A241" i="55"/>
  <c r="A124" i="55"/>
  <c r="A272" i="55"/>
  <c r="A147" i="55"/>
  <c r="A102" i="55"/>
  <c r="A58" i="55"/>
  <c r="A261" i="55"/>
  <c r="A242" i="55"/>
  <c r="A47" i="55"/>
  <c r="A256" i="55"/>
  <c r="A46" i="55"/>
  <c r="A129" i="55"/>
  <c r="A152" i="55"/>
  <c r="A32" i="55"/>
  <c r="A188" i="55"/>
  <c r="A260" i="55"/>
  <c r="A143" i="55"/>
  <c r="A282" i="55"/>
  <c r="A218" i="55"/>
  <c r="A265" i="55"/>
  <c r="A14" i="55"/>
  <c r="A160" i="55"/>
  <c r="A278" i="55"/>
  <c r="A21" i="55"/>
  <c r="A215" i="55"/>
  <c r="A24" i="55"/>
  <c r="A257" i="55"/>
  <c r="A224" i="55"/>
  <c r="A163" i="55"/>
  <c r="A266" i="55"/>
  <c r="A131" i="55"/>
  <c r="A275" i="55"/>
  <c r="A19" i="55"/>
  <c r="A162" i="55"/>
  <c r="A252" i="55"/>
  <c r="A41" i="55"/>
  <c r="A120" i="55"/>
  <c r="A230" i="55"/>
  <c r="A243" i="55"/>
  <c r="A216" i="55"/>
  <c r="A134" i="55"/>
  <c r="A121" i="55"/>
  <c r="A187" i="55"/>
  <c r="A13" i="55"/>
  <c r="A280" i="55"/>
  <c r="A122" i="55"/>
  <c r="A18" i="55"/>
  <c r="A39" i="55"/>
  <c r="A78" i="55"/>
  <c r="A137" i="55"/>
  <c r="A180" i="55"/>
  <c r="A161" i="55"/>
  <c r="A211" i="55"/>
  <c r="A203" i="55"/>
  <c r="A204" i="55"/>
  <c r="A190" i="55"/>
  <c r="A184" i="55"/>
  <c r="C12" i="18"/>
  <c r="J12" i="18"/>
  <c r="A240" i="55"/>
  <c r="A28" i="55"/>
  <c r="A164" i="55"/>
  <c r="A22" i="55"/>
  <c r="A221" i="55"/>
  <c r="A26" i="55"/>
  <c r="A69" i="55"/>
  <c r="A201" i="55"/>
  <c r="A16" i="55"/>
  <c r="A145" i="55"/>
  <c r="A138" i="55"/>
  <c r="A53" i="55"/>
  <c r="A226" i="55"/>
  <c r="A172" i="55"/>
  <c r="C2" i="24"/>
  <c r="A271" i="55"/>
  <c r="A5" i="55"/>
  <c r="A74" i="55"/>
  <c r="A52" i="55"/>
  <c r="A149" i="55"/>
  <c r="A65" i="55"/>
  <c r="A31" i="55"/>
  <c r="A237" i="55"/>
  <c r="A254" i="55"/>
  <c r="A174" i="55"/>
  <c r="A70" i="55"/>
  <c r="A185" i="55"/>
  <c r="A202" i="55"/>
  <c r="A12" i="55"/>
  <c r="A49" i="55"/>
  <c r="A8" i="55"/>
  <c r="A219" i="55"/>
  <c r="E27" i="41"/>
  <c r="A212" i="55"/>
  <c r="A264" i="55"/>
  <c r="A43" i="55"/>
  <c r="A245" i="55"/>
  <c r="A205" i="55"/>
  <c r="A284" i="55"/>
  <c r="A75" i="55"/>
  <c r="A228" i="55"/>
  <c r="A258" i="55"/>
  <c r="A170" i="55"/>
  <c r="A29" i="55"/>
  <c r="A20" i="55"/>
  <c r="A235" i="55"/>
  <c r="A73" i="55"/>
  <c r="A56" i="55"/>
  <c r="A100" i="55"/>
  <c r="A2" i="57" s="1"/>
  <c r="A7" i="55"/>
  <c r="A225" i="55"/>
  <c r="A236" i="55"/>
  <c r="A209" i="55"/>
  <c r="A103" i="55"/>
  <c r="A17" i="55"/>
  <c r="A101" i="55"/>
  <c r="A186" i="55"/>
  <c r="A35" i="55"/>
  <c r="A191" i="55"/>
  <c r="A207" i="55"/>
  <c r="A229" i="55"/>
  <c r="A55" i="55"/>
  <c r="A4" i="55"/>
  <c r="A169" i="55"/>
  <c r="A168" i="55"/>
  <c r="B3" i="20"/>
  <c r="A9" i="24"/>
  <c r="A68" i="55"/>
  <c r="A268" i="55"/>
  <c r="A231" i="55"/>
  <c r="A48" i="55"/>
  <c r="A173" i="55"/>
  <c r="A136" i="55"/>
  <c r="A72" i="55"/>
  <c r="A244" i="55"/>
  <c r="A255" i="55"/>
  <c r="A36" i="55"/>
  <c r="A248" i="55"/>
  <c r="A214" i="55"/>
  <c r="A62" i="55"/>
  <c r="A253" i="55"/>
  <c r="A276" i="55"/>
  <c r="A167" i="55"/>
  <c r="A181" i="55"/>
  <c r="A176" i="55"/>
  <c r="A128" i="55"/>
  <c r="A286" i="55"/>
  <c r="A15" i="55"/>
  <c r="A81" i="55"/>
  <c r="A50" i="55"/>
  <c r="A54" i="55"/>
  <c r="A146" i="55"/>
  <c r="A33" i="55"/>
  <c r="A123" i="55"/>
  <c r="A42" i="55"/>
  <c r="A192" i="55"/>
  <c r="A233" i="55"/>
  <c r="A34" i="55"/>
  <c r="S36" i="18"/>
  <c r="B9" i="24"/>
  <c r="A139" i="55"/>
  <c r="A281" i="55"/>
  <c r="A6" i="55"/>
  <c r="A269" i="55"/>
  <c r="A51" i="55"/>
  <c r="A182" i="55"/>
  <c r="A45" i="55"/>
  <c r="A250" i="55"/>
  <c r="A38" i="55"/>
  <c r="A193" i="55"/>
  <c r="A175" i="55"/>
  <c r="A285" i="55"/>
  <c r="A234" i="55"/>
  <c r="A44" i="55"/>
  <c r="A183" i="55"/>
  <c r="H9" i="20" s="1"/>
  <c r="A222" i="55"/>
  <c r="A140" i="55"/>
  <c r="A63" i="55"/>
  <c r="A206" i="55"/>
  <c r="A57" i="55"/>
  <c r="A144" i="55"/>
  <c r="A142" i="55"/>
  <c r="A10" i="55"/>
  <c r="A273" i="55"/>
  <c r="A151" i="55"/>
  <c r="A126" i="55"/>
  <c r="A232" i="55"/>
  <c r="A9" i="55"/>
  <c r="A141" i="55"/>
  <c r="A132" i="55"/>
  <c r="A213" i="55"/>
  <c r="A25" i="55"/>
  <c r="A177" i="55"/>
  <c r="A227" i="55"/>
  <c r="A223" i="55"/>
  <c r="A135" i="55"/>
  <c r="A130" i="55"/>
  <c r="A301" i="55"/>
  <c r="A288" i="55"/>
  <c r="A59" i="55"/>
  <c r="A133" i="55"/>
  <c r="AW76" i="41"/>
  <c r="AF74" i="41"/>
  <c r="A82" i="55"/>
  <c r="D12" i="24"/>
  <c r="AP75" i="41"/>
  <c r="AH2" i="41"/>
  <c r="AP79" i="41"/>
  <c r="AW2" i="41"/>
  <c r="D56" i="41"/>
  <c r="AM76" i="41"/>
  <c r="AR1" i="41"/>
  <c r="AR75" i="41"/>
  <c r="AQ79" i="41"/>
  <c r="AC1" i="41"/>
  <c r="J1" i="41"/>
  <c r="S34" i="18"/>
  <c r="B20" i="18"/>
  <c r="AO2" i="41"/>
  <c r="AG33" i="41"/>
  <c r="O10" i="20"/>
  <c r="AQ1" i="41"/>
  <c r="AN75" i="41"/>
  <c r="Z2" i="41"/>
  <c r="AN1" i="41"/>
  <c r="N2" i="41"/>
  <c r="AS75" i="41"/>
  <c r="AQ76" i="41"/>
  <c r="AJ2" i="41"/>
  <c r="D20" i="24"/>
  <c r="B23" i="8"/>
  <c r="B9" i="8"/>
  <c r="B18" i="8"/>
  <c r="B21" i="8"/>
  <c r="A217" i="55"/>
  <c r="A27" i="55"/>
  <c r="A23" i="55"/>
  <c r="A80" i="55"/>
  <c r="A64" i="55"/>
  <c r="A210" i="55"/>
  <c r="A267" i="55"/>
  <c r="A279" i="55"/>
  <c r="A166" i="55"/>
  <c r="A274" i="55"/>
  <c r="A249" i="55"/>
  <c r="AS76" i="41"/>
  <c r="C306" i="24"/>
  <c r="L1" i="41"/>
  <c r="O1" i="41"/>
  <c r="U28" i="18"/>
  <c r="W18" i="18"/>
  <c r="X33" i="41"/>
  <c r="O9" i="20"/>
  <c r="AR79" i="41"/>
  <c r="C317" i="24"/>
  <c r="L69" i="24"/>
  <c r="C71" i="24"/>
  <c r="C104" i="24"/>
  <c r="I9" i="8"/>
  <c r="D10" i="8"/>
  <c r="E33" i="8"/>
  <c r="B69" i="8"/>
  <c r="C17" i="24"/>
  <c r="C51" i="24"/>
  <c r="D21" i="8"/>
  <c r="B70" i="8"/>
  <c r="C423" i="69"/>
  <c r="C95" i="69"/>
  <c r="C755" i="69"/>
  <c r="C446" i="69"/>
  <c r="C904" i="69"/>
  <c r="C550" i="69"/>
  <c r="C395" i="69"/>
  <c r="C81" i="69"/>
  <c r="C745" i="69"/>
  <c r="C445" i="69"/>
  <c r="C499" i="69"/>
  <c r="C756" i="69"/>
  <c r="C397" i="69"/>
  <c r="C635" i="69"/>
  <c r="C573" i="69"/>
  <c r="C104" i="69"/>
  <c r="C998" i="69"/>
  <c r="C982" i="69"/>
  <c r="C386" i="69"/>
  <c r="C477" i="69"/>
  <c r="C720" i="69"/>
  <c r="C689" i="69"/>
  <c r="C91" i="69"/>
  <c r="C407" i="69"/>
  <c r="C630" i="69"/>
  <c r="C533" i="69"/>
  <c r="C935" i="69"/>
  <c r="C94" i="69"/>
  <c r="C1013" i="69"/>
  <c r="C143" i="69"/>
  <c r="C768" i="69"/>
  <c r="C733" i="69"/>
  <c r="C463" i="69"/>
  <c r="C1045" i="69"/>
  <c r="C627" i="69"/>
  <c r="C75" i="69"/>
  <c r="C968" i="69"/>
  <c r="C449" i="69"/>
  <c r="C716" i="69"/>
  <c r="C70" i="69"/>
  <c r="C712" i="69"/>
  <c r="C465" i="69"/>
  <c r="C368" i="69"/>
  <c r="C4" i="69"/>
  <c r="C485" i="69"/>
  <c r="C166" i="69"/>
  <c r="C510" i="69"/>
  <c r="C939" i="69"/>
  <c r="C1076" i="69"/>
  <c r="C949" i="69"/>
  <c r="C377" i="69"/>
  <c r="C232" i="69"/>
  <c r="C403" i="69"/>
  <c r="C1090" i="69"/>
  <c r="C363" i="69"/>
  <c r="C860" i="69"/>
  <c r="C557" i="69"/>
  <c r="C1059" i="69"/>
  <c r="C749" i="69"/>
  <c r="C475" i="69"/>
  <c r="C487" i="69"/>
  <c r="C945" i="69"/>
  <c r="C172" i="69"/>
  <c r="C668" i="69"/>
  <c r="C873" i="69"/>
  <c r="C840" i="69"/>
  <c r="C555" i="69"/>
  <c r="C681" i="69"/>
  <c r="C618" i="69"/>
  <c r="C126" i="69"/>
  <c r="C783" i="69"/>
  <c r="C899" i="69"/>
  <c r="C72" i="69"/>
  <c r="C1097" i="69"/>
  <c r="C586" i="69"/>
  <c r="C1061" i="69"/>
  <c r="C17" i="69"/>
  <c r="C421" i="69"/>
  <c r="C841" i="69"/>
  <c r="C613" i="69"/>
  <c r="C1087" i="69"/>
  <c r="C1002" i="69"/>
  <c r="C612" i="69"/>
  <c r="C521" i="69"/>
  <c r="C649" i="69"/>
  <c r="C82" i="69"/>
  <c r="C836" i="69"/>
  <c r="C489" i="69"/>
  <c r="C21" i="69"/>
  <c r="C125" i="69"/>
  <c r="C698" i="69"/>
  <c r="C948" i="69"/>
  <c r="C36" i="69"/>
  <c r="C839" i="69"/>
  <c r="C640" i="69"/>
  <c r="C133" i="69"/>
  <c r="C1036" i="69"/>
  <c r="C140" i="69"/>
  <c r="C600" i="69"/>
  <c r="C1010" i="69"/>
  <c r="C12" i="69"/>
  <c r="C525" i="69"/>
  <c r="C119" i="69"/>
  <c r="C159" i="69"/>
  <c r="C781" i="69"/>
  <c r="C1018" i="69"/>
  <c r="C110" i="69"/>
  <c r="C926" i="69"/>
  <c r="C1050" i="69"/>
  <c r="C1041" i="69"/>
  <c r="C878" i="69"/>
  <c r="C978" i="69"/>
  <c r="C96" i="69"/>
  <c r="C92" i="69"/>
  <c r="C727" i="69"/>
  <c r="C770" i="69"/>
  <c r="C393" i="69"/>
  <c r="C10" i="69"/>
  <c r="C568" i="69"/>
  <c r="C604" i="69"/>
  <c r="C146" i="69"/>
  <c r="C530" i="69"/>
  <c r="C541" i="69"/>
  <c r="C437" i="69"/>
  <c r="C874" i="69"/>
  <c r="C901" i="69"/>
  <c r="C114" i="69"/>
  <c r="C1005" i="69"/>
  <c r="C888" i="69"/>
  <c r="C43" i="69"/>
  <c r="C27" i="69"/>
  <c r="C605" i="69"/>
  <c r="C983" i="69"/>
  <c r="C656" i="69"/>
  <c r="C100" i="69"/>
  <c r="C68" i="69"/>
  <c r="C505" i="69"/>
  <c r="C51" i="69"/>
  <c r="C748" i="69"/>
  <c r="C988" i="69"/>
  <c r="C90" i="69"/>
  <c r="C1031" i="69"/>
  <c r="C26" i="69"/>
  <c r="C657" i="69"/>
  <c r="C719" i="69"/>
  <c r="C202" i="69"/>
  <c r="C507" i="69"/>
  <c r="C971" i="69"/>
  <c r="C544" i="69"/>
  <c r="C16" i="69"/>
  <c r="C909" i="69"/>
  <c r="C771" i="69"/>
  <c r="C452" i="69"/>
  <c r="C1067" i="69"/>
  <c r="C37" i="69"/>
  <c r="C844" i="69"/>
  <c r="C588" i="69"/>
  <c r="C651" i="69"/>
  <c r="C186" i="69"/>
  <c r="C103" i="69"/>
  <c r="C946" i="69"/>
  <c r="C865" i="69"/>
  <c r="C774" i="69"/>
  <c r="C468" i="69"/>
  <c r="C142" i="69"/>
  <c r="C1093" i="69"/>
  <c r="C58" i="69"/>
  <c r="C208" i="69"/>
  <c r="C842" i="69"/>
  <c r="C989" i="69"/>
  <c r="C501" i="69"/>
  <c r="C447" i="69"/>
  <c r="C784" i="69"/>
  <c r="C502" i="69"/>
  <c r="C664" i="69"/>
  <c r="C556" i="69"/>
  <c r="C723" i="69"/>
  <c r="C371" i="69"/>
  <c r="C610" i="69"/>
  <c r="C636" i="69"/>
  <c r="C786" i="69"/>
  <c r="C639" i="69"/>
  <c r="C221" i="69"/>
  <c r="C231" i="69"/>
  <c r="C655" i="69"/>
  <c r="C597" i="69"/>
  <c r="C13" i="69"/>
  <c r="C797" i="69"/>
  <c r="C435" i="69"/>
  <c r="C934" i="69"/>
  <c r="C545" i="69"/>
  <c r="C20" i="69"/>
  <c r="C752" i="69"/>
  <c r="C999" i="69"/>
  <c r="C38" i="69"/>
  <c r="C898" i="69"/>
  <c r="C569" i="69"/>
  <c r="C622" i="69"/>
  <c r="C1066" i="69"/>
  <c r="C908" i="69"/>
  <c r="C472" i="69"/>
  <c r="C451" i="69"/>
  <c r="C835" i="69"/>
  <c r="C1110" i="69"/>
  <c r="C1049" i="69"/>
  <c r="C2" i="69"/>
  <c r="C390" i="69"/>
  <c r="C22" i="69"/>
  <c r="C365" i="69"/>
  <c r="C623" i="69"/>
  <c r="C685" i="69"/>
  <c r="C182" i="69"/>
  <c r="C1057" i="69"/>
  <c r="C984" i="69"/>
  <c r="C896" i="69"/>
  <c r="C396" i="69"/>
  <c r="C76" i="69"/>
  <c r="C86" i="69"/>
  <c r="C375" i="69"/>
  <c r="C607" i="69"/>
  <c r="C922" i="69"/>
  <c r="C1070" i="69"/>
  <c r="C391" i="69"/>
  <c r="C602" i="69"/>
  <c r="C986" i="69"/>
  <c r="C708" i="69"/>
  <c r="C85" i="69"/>
  <c r="C122" i="69"/>
  <c r="C694" i="69"/>
  <c r="C191" i="69"/>
  <c r="C877" i="69"/>
  <c r="C498" i="69"/>
  <c r="C806" i="69"/>
  <c r="C35" i="69"/>
  <c r="C18" i="69"/>
  <c r="C410" i="69"/>
  <c r="C7" i="69"/>
  <c r="C39" i="69"/>
  <c r="C47" i="69"/>
  <c r="C383" i="69"/>
  <c r="C145" i="69"/>
  <c r="C725" i="69"/>
  <c r="C1044" i="69"/>
  <c r="C225" i="69"/>
  <c r="C696" i="69"/>
  <c r="C102" i="69"/>
  <c r="C1038" i="69"/>
  <c r="C905" i="69"/>
  <c r="C520" i="69"/>
  <c r="C855" i="69"/>
  <c r="C957" i="69"/>
  <c r="C746" i="69"/>
  <c r="C178" i="69"/>
  <c r="C382" i="69"/>
  <c r="C680" i="69"/>
  <c r="C60" i="69"/>
  <c r="C374" i="69"/>
  <c r="C162" i="69"/>
  <c r="C564" i="69"/>
  <c r="C674" i="69"/>
  <c r="C164" i="69"/>
  <c r="C914" i="69"/>
  <c r="C643" i="69"/>
  <c r="C1071" i="69"/>
  <c r="C818" i="69"/>
  <c r="C8" i="69"/>
  <c r="C187" i="69"/>
  <c r="C370" i="69"/>
  <c r="C428" i="69"/>
  <c r="C658" i="69"/>
  <c r="C185" i="69"/>
  <c r="C230" i="69"/>
  <c r="C137" i="69"/>
  <c r="C173" i="69"/>
  <c r="C849" i="69"/>
  <c r="C958" i="69"/>
  <c r="C514" i="69"/>
  <c r="C458" i="69"/>
  <c r="C660" i="69"/>
  <c r="C711" i="69"/>
  <c r="C652" i="69"/>
  <c r="C490" i="69"/>
  <c r="C994" i="69"/>
  <c r="C663" i="69"/>
  <c r="C581" i="69"/>
  <c r="C24" i="69"/>
  <c r="C84" i="69"/>
  <c r="C484" i="69"/>
  <c r="C633" i="69"/>
  <c r="C373" i="69"/>
  <c r="C1083" i="69"/>
  <c r="C653" i="69"/>
  <c r="C139" i="69"/>
  <c r="C864" i="69"/>
  <c r="C141" i="69"/>
  <c r="C203" i="69"/>
  <c r="C136" i="69"/>
  <c r="C1006" i="69"/>
  <c r="C925" i="69"/>
  <c r="C362" i="69"/>
  <c r="C168" i="69"/>
  <c r="C931" i="69"/>
  <c r="C693" i="69"/>
  <c r="C223" i="69"/>
  <c r="C687" i="69"/>
  <c r="C671" i="69"/>
  <c r="C387" i="69"/>
  <c r="C897" i="69"/>
  <c r="C852" i="69"/>
  <c r="C846" i="69"/>
  <c r="C594" i="69"/>
  <c r="C791" i="69"/>
  <c r="C883" i="69"/>
  <c r="C73" i="69"/>
  <c r="C495" i="69"/>
  <c r="C692" i="69"/>
  <c r="C42" i="69"/>
  <c r="C662" i="69"/>
  <c r="C546" i="69"/>
  <c r="C204" i="69"/>
  <c r="C587" i="69"/>
  <c r="C819" i="69"/>
  <c r="C641" i="69"/>
  <c r="C769" i="69"/>
  <c r="C193" i="69"/>
  <c r="C181" i="69"/>
  <c r="C822" i="69"/>
  <c r="C821" i="69"/>
  <c r="C372" i="69"/>
  <c r="C170" i="69"/>
  <c r="C785" i="69"/>
  <c r="C518" i="69"/>
  <c r="C676" i="69"/>
  <c r="C992" i="69"/>
  <c r="C1084" i="69"/>
  <c r="C592" i="69"/>
  <c r="C831" i="69"/>
  <c r="C985" i="69"/>
  <c r="C880" i="69"/>
  <c r="C464" i="69"/>
  <c r="C593" i="69"/>
  <c r="C153" i="69"/>
  <c r="C474" i="69"/>
  <c r="C112" i="69"/>
  <c r="C886" i="69"/>
  <c r="C1063" i="69"/>
  <c r="C197" i="69"/>
  <c r="C154" i="69"/>
  <c r="C962" i="69"/>
  <c r="C53" i="69"/>
  <c r="C1032" i="69"/>
  <c r="C155" i="69"/>
  <c r="C912" i="69"/>
  <c r="C800" i="69"/>
  <c r="C175" i="69"/>
  <c r="C19" i="69"/>
  <c r="C937" i="69"/>
  <c r="C547" i="69"/>
  <c r="C1004" i="69"/>
  <c r="C1051" i="69"/>
  <c r="C15" i="69"/>
  <c r="C71" i="69"/>
  <c r="C33" i="69"/>
  <c r="C969" i="69"/>
  <c r="C823" i="69"/>
  <c r="C63" i="69"/>
  <c r="C227" i="69"/>
  <c r="C41" i="69"/>
  <c r="C924" i="69"/>
  <c r="C952" i="69"/>
  <c r="C369" i="69"/>
  <c r="C894" i="69"/>
  <c r="C967" i="69"/>
  <c r="C399" i="69"/>
  <c r="C683" i="69"/>
  <c r="C1028" i="69"/>
  <c r="C32" i="69"/>
  <c r="C440" i="69"/>
  <c r="C670" i="69"/>
  <c r="C562" i="69"/>
  <c r="C436" i="69"/>
  <c r="C380" i="69"/>
  <c r="C213" i="69"/>
  <c r="C34" i="69"/>
  <c r="C789" i="69"/>
  <c r="C759" i="69"/>
  <c r="C815" i="69"/>
  <c r="C459" i="69"/>
  <c r="C881" i="69"/>
  <c r="C542" i="69"/>
  <c r="C654" i="69"/>
  <c r="C1100" i="69"/>
  <c r="C828" i="69"/>
  <c r="C1098" i="69"/>
  <c r="C522" i="69"/>
  <c r="C389" i="69"/>
  <c r="C795" i="69"/>
  <c r="C933" i="69"/>
  <c r="C589" i="69"/>
  <c r="C54" i="69"/>
  <c r="C760" i="69"/>
  <c r="C129" i="69"/>
  <c r="C871" i="69"/>
  <c r="C409" i="69"/>
  <c r="C416" i="69"/>
  <c r="C686" i="69"/>
  <c r="C808" i="69"/>
  <c r="C537" i="69"/>
  <c r="C644" i="69"/>
  <c r="C120" i="69"/>
  <c r="C1102" i="69"/>
  <c r="C722" i="69"/>
  <c r="C234" i="69"/>
  <c r="C506" i="69"/>
  <c r="C853" i="69"/>
  <c r="C584" i="69"/>
  <c r="C1052" i="69"/>
  <c r="C184" i="69"/>
  <c r="C870" i="69"/>
  <c r="C1000" i="69"/>
  <c r="C131" i="69"/>
  <c r="C188" i="69"/>
  <c r="C444" i="69"/>
  <c r="C645" i="69"/>
  <c r="C424" i="69"/>
  <c r="C678" i="69"/>
  <c r="C700" i="69"/>
  <c r="C1003" i="69"/>
  <c r="C79" i="69"/>
  <c r="C1055" i="69"/>
  <c r="C132" i="69"/>
  <c r="C673" i="69"/>
  <c r="C1048" i="69"/>
  <c r="C210" i="69"/>
  <c r="C23" i="69"/>
  <c r="C916" i="69"/>
  <c r="C25" i="69"/>
  <c r="C415" i="69"/>
  <c r="C106" i="69"/>
  <c r="C1068" i="69"/>
  <c r="C738" i="69"/>
  <c r="C516" i="69"/>
  <c r="C160" i="69"/>
  <c r="C879" i="69"/>
  <c r="C1017" i="69"/>
  <c r="C152" i="69"/>
  <c r="C805" i="69"/>
  <c r="C803" i="69"/>
  <c r="C149" i="69"/>
  <c r="C739" i="69"/>
  <c r="C1058" i="69"/>
  <c r="C575" i="69"/>
  <c r="C611" i="69"/>
  <c r="C148" i="69"/>
  <c r="C779" i="69"/>
  <c r="C648" i="69"/>
  <c r="C731" i="69"/>
  <c r="C778" i="69"/>
  <c r="C93" i="69"/>
  <c r="C411" i="69"/>
  <c r="C1060" i="69"/>
  <c r="C585" i="69"/>
  <c r="C183" i="69"/>
  <c r="C832" i="69"/>
  <c r="C625" i="69"/>
  <c r="C866" i="69"/>
  <c r="C659" i="69"/>
  <c r="C975" i="69"/>
  <c r="C432" i="69"/>
  <c r="C1069" i="69"/>
  <c r="C1033" i="69"/>
  <c r="C235" i="69"/>
  <c r="C980" i="69"/>
  <c r="C617" i="69"/>
  <c r="C430" i="69"/>
  <c r="C513" i="69"/>
  <c r="C923" i="69"/>
  <c r="C1022" i="69"/>
  <c r="C118" i="69"/>
  <c r="C940" i="69"/>
  <c r="C619" i="69"/>
  <c r="C462" i="69"/>
  <c r="C735" i="69"/>
  <c r="C218" i="69"/>
  <c r="C578" i="69"/>
  <c r="C917" i="69"/>
  <c r="C528" i="69"/>
  <c r="C743" i="69"/>
  <c r="C906" i="69"/>
  <c r="C903" i="69"/>
  <c r="C951" i="69"/>
  <c r="C1019" i="69"/>
  <c r="C488" i="69"/>
  <c r="C762" i="69"/>
  <c r="C78" i="69"/>
  <c r="C943" i="69"/>
  <c r="C638" i="69"/>
  <c r="C1092" i="69"/>
  <c r="C1021" i="69"/>
  <c r="C554" i="69"/>
  <c r="C385" i="69"/>
  <c r="C529" i="69"/>
  <c r="C859" i="69"/>
  <c r="C702" i="69"/>
  <c r="C494" i="69"/>
  <c r="C433" i="69"/>
  <c r="C205" i="69"/>
  <c r="C429" i="69"/>
  <c r="C637" i="69"/>
  <c r="C571" i="69"/>
  <c r="C820" i="69"/>
  <c r="C929" i="69"/>
  <c r="C675" i="69"/>
  <c r="C801" i="69"/>
  <c r="C67" i="69"/>
  <c r="C869" i="69"/>
  <c r="C469" i="69"/>
  <c r="C180" i="69"/>
  <c r="C579" i="69"/>
  <c r="C682" i="69"/>
  <c r="C1109" i="69"/>
  <c r="C615" i="69"/>
  <c r="C684" i="69"/>
  <c r="C972" i="69"/>
  <c r="C228" i="69"/>
  <c r="C144" i="69"/>
  <c r="C701" i="69"/>
  <c r="C848" i="69"/>
  <c r="C798" i="69"/>
  <c r="C107" i="69"/>
  <c r="C1023" i="69"/>
  <c r="C747" i="69"/>
  <c r="C388" i="69"/>
  <c r="C833" i="69"/>
  <c r="C1024" i="69"/>
  <c r="C62" i="69"/>
  <c r="C406" i="69"/>
  <c r="C1034" i="69"/>
  <c r="C101" i="69"/>
  <c r="C629" i="69"/>
  <c r="C222" i="69"/>
  <c r="C134" i="69"/>
  <c r="C767" i="69"/>
  <c r="C1043" i="69"/>
  <c r="C997" i="69"/>
  <c r="C796" i="69"/>
  <c r="C56" i="69"/>
  <c r="C974" i="69"/>
  <c r="C108" i="69"/>
  <c r="C1081" i="69"/>
  <c r="C825" i="69"/>
  <c r="C1040" i="69"/>
  <c r="C851" i="69"/>
  <c r="C412" i="69"/>
  <c r="C209" i="69"/>
  <c r="C471" i="69"/>
  <c r="C838" i="69"/>
  <c r="C740" i="69"/>
  <c r="C902" i="69"/>
  <c r="C609" i="69"/>
  <c r="C1001" i="69"/>
  <c r="C963" i="69"/>
  <c r="C456" i="69"/>
  <c r="C404" i="69"/>
  <c r="C709" i="69"/>
  <c r="C5" i="69"/>
  <c r="C190" i="69"/>
  <c r="C448" i="69"/>
  <c r="C721" i="69"/>
  <c r="C40" i="69"/>
  <c r="C359" i="69"/>
  <c r="C930" i="69"/>
  <c r="C1101" i="69"/>
  <c r="C201" i="69"/>
  <c r="C736" i="69"/>
  <c r="C804" i="69"/>
  <c r="C161" i="69"/>
  <c r="C165" i="69"/>
  <c r="C515" i="69"/>
  <c r="C758" i="69"/>
  <c r="C1103" i="69"/>
  <c r="C953" i="69"/>
  <c r="C503" i="69"/>
  <c r="C944" i="69"/>
  <c r="C981" i="69"/>
  <c r="C964" i="69"/>
  <c r="C882" i="69"/>
  <c r="C628" i="69"/>
  <c r="C650" i="69"/>
  <c r="C517" i="69"/>
  <c r="C601" i="69"/>
  <c r="C690" i="69"/>
  <c r="C705" i="69"/>
  <c r="C379" i="69"/>
  <c r="C1015" i="69"/>
  <c r="C1065" i="69"/>
  <c r="C540" i="69"/>
  <c r="C442" i="69"/>
  <c r="C761" i="69"/>
  <c r="C526" i="69"/>
  <c r="C1046" i="69"/>
  <c r="C811" i="69"/>
  <c r="C504" i="69"/>
  <c r="C121" i="69"/>
  <c r="C862" i="69"/>
  <c r="C790" i="69"/>
  <c r="C666" i="69"/>
  <c r="C772" i="69"/>
  <c r="C570" i="69"/>
  <c r="C995" i="69"/>
  <c r="C961" i="69"/>
  <c r="C1073" i="69"/>
  <c r="C977" i="69"/>
  <c r="C730" i="69"/>
  <c r="C715" i="69"/>
  <c r="C741" i="69"/>
  <c r="C61" i="69"/>
  <c r="C1047" i="69"/>
  <c r="C1115" i="69"/>
  <c r="C890" i="69"/>
  <c r="C632" i="69"/>
  <c r="C726" i="69"/>
  <c r="C543" i="69"/>
  <c r="C450" i="69"/>
  <c r="C212" i="69"/>
  <c r="C511" i="69"/>
  <c r="C960" i="69"/>
  <c r="C595" i="69"/>
  <c r="C891" i="69"/>
  <c r="C775" i="69"/>
  <c r="C523" i="69"/>
  <c r="C113" i="69"/>
  <c r="C198" i="69"/>
  <c r="C138" i="69"/>
  <c r="C89" i="69"/>
  <c r="C532" i="69"/>
  <c r="C620" i="69"/>
  <c r="C1012" i="69"/>
  <c r="C955" i="69"/>
  <c r="C827" i="69"/>
  <c r="C195" i="69"/>
  <c r="C987" i="69"/>
  <c r="C834" i="69"/>
  <c r="C111" i="69"/>
  <c r="C867" i="69"/>
  <c r="C565" i="69"/>
  <c r="C919" i="69"/>
  <c r="C773" i="69"/>
  <c r="C583" i="69"/>
  <c r="C824" i="69"/>
  <c r="C150" i="69"/>
  <c r="C603" i="69"/>
  <c r="C9" i="69"/>
  <c r="C52" i="69"/>
  <c r="C438" i="69"/>
  <c r="C724" i="69"/>
  <c r="C1075" i="69"/>
  <c r="C979" i="69"/>
  <c r="C1112" i="69"/>
  <c r="C426" i="69"/>
  <c r="C360" i="69"/>
  <c r="C1072" i="69"/>
  <c r="C431" i="69"/>
  <c r="C29" i="69"/>
  <c r="C220" i="69"/>
  <c r="C171" i="69"/>
  <c r="C561" i="69"/>
  <c r="C214" i="69"/>
  <c r="C217" i="69"/>
  <c r="C665" i="69"/>
  <c r="C606" i="69"/>
  <c r="C1035" i="69"/>
  <c r="C11" i="69"/>
  <c r="C74" i="69"/>
  <c r="C932" i="69"/>
  <c r="C679" i="69"/>
  <c r="C46" i="69"/>
  <c r="C211" i="69"/>
  <c r="C802" i="69"/>
  <c r="C718" i="69"/>
  <c r="C598" i="69"/>
  <c r="C192" i="69"/>
  <c r="C483" i="69"/>
  <c r="C915" i="69"/>
  <c r="C538" i="69"/>
  <c r="C116" i="69"/>
  <c r="C123" i="69"/>
  <c r="C920" i="69"/>
  <c r="C441" i="69"/>
  <c r="C401" i="69"/>
  <c r="C1077" i="69"/>
  <c r="C672" i="69"/>
  <c r="C750" i="69"/>
  <c r="C1078" i="69"/>
  <c r="C1099" i="69"/>
  <c r="C703" i="69"/>
  <c r="C439" i="69"/>
  <c r="C608" i="69"/>
  <c r="C830" i="69"/>
  <c r="C941" i="69"/>
  <c r="C216" i="69"/>
  <c r="C973" i="69"/>
  <c r="C1064" i="69"/>
  <c r="C728" i="69"/>
  <c r="C496" i="69"/>
  <c r="C158" i="69"/>
  <c r="C31" i="69"/>
  <c r="C661" i="69"/>
  <c r="C707" i="69"/>
  <c r="C695" i="69"/>
  <c r="C196" i="69"/>
  <c r="C714" i="69"/>
  <c r="C1011" i="69"/>
  <c r="C535" i="69"/>
  <c r="C572" i="69"/>
  <c r="C470" i="69"/>
  <c r="C434" i="69"/>
  <c r="C66" i="69"/>
  <c r="C527" i="69"/>
  <c r="C875" i="69"/>
  <c r="C717" i="69"/>
  <c r="C194" i="69"/>
  <c r="C1007" i="69"/>
  <c r="C560" i="69"/>
  <c r="C1027" i="69"/>
  <c r="C887" i="69"/>
  <c r="C384" i="69"/>
  <c r="C713" i="69"/>
  <c r="C381" i="69"/>
  <c r="C80" i="69"/>
  <c r="C512" i="69"/>
  <c r="C847" i="69"/>
  <c r="C405" i="69"/>
  <c r="C48" i="69"/>
  <c r="C177" i="69"/>
  <c r="C44" i="69"/>
  <c r="C872" i="69"/>
  <c r="C466" i="69"/>
  <c r="C734" i="69"/>
  <c r="C551" i="69"/>
  <c r="C176" i="69"/>
  <c r="C907" i="69"/>
  <c r="C1095" i="69"/>
  <c r="C744" i="69"/>
  <c r="C418" i="69"/>
  <c r="C1025" i="69"/>
  <c r="C1106" i="69"/>
  <c r="C206" i="69"/>
  <c r="C626" i="69"/>
  <c r="C524" i="69"/>
  <c r="C1085" i="69"/>
  <c r="C549" i="69"/>
  <c r="C558" i="69"/>
  <c r="C45" i="69"/>
  <c r="C539" i="69"/>
  <c r="C163" i="69"/>
  <c r="C1029" i="69"/>
  <c r="C226" i="69"/>
  <c r="C49" i="69"/>
  <c r="C419" i="69"/>
  <c r="C1104" i="69"/>
  <c r="C414" i="69"/>
  <c r="C590" i="69"/>
  <c r="C83" i="69"/>
  <c r="C788" i="69"/>
  <c r="C688" i="69"/>
  <c r="C486" i="69"/>
  <c r="C810" i="69"/>
  <c r="C233" i="69"/>
  <c r="C861" i="69"/>
  <c r="C642" i="69"/>
  <c r="C77" i="69"/>
  <c r="C461" i="69"/>
  <c r="C508" i="69"/>
  <c r="C763" i="69"/>
  <c r="C1105" i="69"/>
  <c r="C621" i="69"/>
  <c r="C812" i="69"/>
  <c r="C99" i="69"/>
  <c r="C858" i="69"/>
  <c r="C553" i="69"/>
  <c r="C59" i="69"/>
  <c r="C492" i="69"/>
  <c r="C697" i="69"/>
  <c r="C813" i="69"/>
  <c r="C732" i="69"/>
  <c r="C959" i="69"/>
  <c r="C199" i="69"/>
  <c r="C737" i="69"/>
  <c r="C850" i="69"/>
  <c r="C892" i="69"/>
  <c r="C614" i="69"/>
  <c r="C1089" i="69"/>
  <c r="C950" i="69"/>
  <c r="C534" i="69"/>
  <c r="C124" i="69"/>
  <c r="C1096" i="69"/>
  <c r="C14" i="69"/>
  <c r="C816" i="69"/>
  <c r="C669" i="69"/>
  <c r="C1079" i="69"/>
  <c r="C98" i="69"/>
  <c r="C729" i="69"/>
  <c r="C631" i="69"/>
  <c r="C776" i="69"/>
  <c r="C1020" i="69"/>
  <c r="C97" i="69"/>
  <c r="C376" i="69"/>
  <c r="C425" i="69"/>
  <c r="C889" i="69"/>
  <c r="C765" i="69"/>
  <c r="C757" i="69"/>
  <c r="C993" i="69"/>
  <c r="C1009" i="69"/>
  <c r="C580" i="69"/>
  <c r="C970" i="69"/>
  <c r="C900" i="69"/>
  <c r="C691" i="69"/>
  <c r="C857" i="69"/>
  <c r="C927" i="69"/>
  <c r="C559" i="69"/>
  <c r="C215" i="69"/>
  <c r="C531" i="69"/>
  <c r="C117" i="69"/>
  <c r="C427" i="69"/>
  <c r="C57" i="69"/>
  <c r="C577" i="69"/>
  <c r="C1082" i="69"/>
  <c r="C460" i="69"/>
  <c r="C1091" i="69"/>
  <c r="C1053" i="69"/>
  <c r="C28" i="69"/>
  <c r="C567" i="69"/>
  <c r="C392" i="69"/>
  <c r="C563" i="69"/>
  <c r="C921" i="69"/>
  <c r="C1113" i="69"/>
  <c r="C913" i="69"/>
  <c r="C936" i="69"/>
  <c r="C699" i="69"/>
  <c r="C1088" i="69"/>
  <c r="C947" i="69"/>
  <c r="C826" i="69"/>
  <c r="C366" i="69"/>
  <c r="C991" i="69"/>
  <c r="C3" i="69"/>
  <c r="C1116" i="69"/>
  <c r="C965" i="69"/>
  <c r="C69" i="69"/>
  <c r="C454" i="69"/>
  <c r="C128" i="69"/>
  <c r="C482" i="69"/>
  <c r="C1080" i="69"/>
  <c r="C443" i="69"/>
  <c r="C863" i="69"/>
  <c r="C910" i="69"/>
  <c r="C364" i="69"/>
  <c r="C782" i="69"/>
  <c r="C591" i="69"/>
  <c r="C358" i="69"/>
  <c r="C1086" i="69"/>
  <c r="C1037" i="69"/>
  <c r="C1026" i="69"/>
  <c r="C493" i="69"/>
  <c r="C814" i="69"/>
  <c r="C64" i="69"/>
  <c r="C777" i="69"/>
  <c r="C792" i="69"/>
  <c r="C65" i="69"/>
  <c r="C413" i="69"/>
  <c r="C207" i="69"/>
  <c r="C127" i="69"/>
  <c r="C893" i="69"/>
  <c r="C582" i="69"/>
  <c r="C710" i="69"/>
  <c r="C156" i="69"/>
  <c r="C1042" i="69"/>
  <c r="C845" i="69"/>
  <c r="C634" i="69"/>
  <c r="C854" i="69"/>
  <c r="C566" i="69"/>
  <c r="C787" i="69"/>
  <c r="C996" i="69"/>
  <c r="C497" i="69"/>
  <c r="C109" i="69"/>
  <c r="C179" i="69"/>
  <c r="C1062" i="69"/>
  <c r="C189" i="69"/>
  <c r="C1008" i="69"/>
  <c r="C753" i="69"/>
  <c r="C817" i="69"/>
  <c r="C219" i="69"/>
  <c r="C1108" i="69"/>
  <c r="C807" i="69"/>
  <c r="C829" i="69"/>
  <c r="C793" i="69"/>
  <c r="C646" i="69"/>
  <c r="C157" i="69"/>
  <c r="C667" i="69"/>
  <c r="C868" i="69"/>
  <c r="C1074" i="69"/>
  <c r="C88" i="69"/>
  <c r="C1039" i="69"/>
  <c r="C422" i="69"/>
  <c r="C200" i="69"/>
  <c r="C229" i="69"/>
  <c r="C911" i="69"/>
  <c r="C966" i="69"/>
  <c r="C794" i="69"/>
  <c r="C115" i="69"/>
  <c r="C1107" i="69"/>
  <c r="C942" i="69"/>
  <c r="C491" i="69"/>
  <c r="C394" i="69"/>
  <c r="C536" i="69"/>
  <c r="C55" i="69"/>
  <c r="C357" i="69"/>
  <c r="C548" i="69"/>
  <c r="C135" i="69"/>
  <c r="C976" i="69"/>
  <c r="C704" i="69"/>
  <c r="C885" i="69"/>
  <c r="C453" i="69"/>
  <c r="C616" i="69"/>
  <c r="C599" i="69"/>
  <c r="C457" i="69"/>
  <c r="C677" i="69"/>
  <c r="C938" i="69"/>
  <c r="C764" i="69"/>
  <c r="C837" i="69"/>
  <c r="C509" i="69"/>
  <c r="C574" i="69"/>
  <c r="C751" i="69"/>
  <c r="C918" i="69"/>
  <c r="C417" i="69"/>
  <c r="C809" i="69"/>
  <c r="C398" i="69"/>
  <c r="C1056" i="69"/>
  <c r="C473" i="69"/>
  <c r="C174" i="69"/>
  <c r="C576" i="69"/>
  <c r="C780" i="69"/>
  <c r="C895" i="69"/>
  <c r="C1030" i="69"/>
  <c r="C224" i="69"/>
  <c r="C130" i="69"/>
  <c r="C1016" i="69"/>
  <c r="C476" i="69"/>
  <c r="C799" i="69"/>
  <c r="C956" i="69"/>
  <c r="C990" i="69"/>
  <c r="C169" i="69"/>
  <c r="C50" i="69"/>
  <c r="C754" i="69"/>
  <c r="C151" i="69"/>
  <c r="C455" i="69"/>
  <c r="C1094" i="69"/>
  <c r="C400" i="69"/>
  <c r="C167" i="69"/>
  <c r="C706" i="69"/>
  <c r="C856" i="69"/>
  <c r="C402" i="69"/>
  <c r="C30" i="69"/>
  <c r="C742" i="69"/>
  <c r="C1114" i="69"/>
  <c r="C467" i="69"/>
  <c r="C408" i="69"/>
  <c r="C87" i="69"/>
  <c r="C147" i="69"/>
  <c r="C766" i="69"/>
  <c r="C500" i="69"/>
  <c r="C378" i="69"/>
  <c r="C552" i="69"/>
  <c r="C519" i="69"/>
  <c r="C647" i="69"/>
  <c r="C361" i="69"/>
  <c r="C596" i="69"/>
  <c r="C367" i="69"/>
  <c r="C884" i="69"/>
  <c r="C1014" i="69"/>
  <c r="C624" i="69"/>
  <c r="C876" i="69"/>
  <c r="C1054" i="69"/>
  <c r="C420" i="69"/>
  <c r="C843" i="69"/>
  <c r="C105" i="69"/>
  <c r="C928" i="69"/>
  <c r="C954" i="69"/>
  <c r="C1111" i="69"/>
  <c r="C6" i="69"/>
  <c r="Z2" i="18"/>
  <c r="AA12" i="18"/>
  <c r="C20" i="18"/>
  <c r="N2" i="18"/>
  <c r="AB18" i="18"/>
  <c r="AC18" i="18"/>
  <c r="X12" i="18"/>
  <c r="E20" i="18"/>
  <c r="F20" i="18"/>
  <c r="J20" i="18"/>
  <c r="S12" i="18"/>
  <c r="D2" i="18"/>
  <c r="W2" i="18"/>
  <c r="V12" i="18"/>
  <c r="AB12" i="18"/>
  <c r="W23" i="18"/>
  <c r="O2" i="41"/>
  <c r="AW1" i="41"/>
  <c r="AL76" i="41"/>
  <c r="S1" i="41"/>
  <c r="BC2" i="41"/>
  <c r="AL79" i="41"/>
  <c r="AT2" i="41"/>
  <c r="I2" i="41"/>
  <c r="AF2" i="41"/>
  <c r="C83" i="41"/>
  <c r="M7" i="41"/>
  <c r="Q33" i="41"/>
  <c r="AO79" i="41"/>
  <c r="AD1" i="41"/>
  <c r="AE1" i="41"/>
  <c r="AV76" i="41"/>
  <c r="AP78" i="41"/>
  <c r="K2" i="41"/>
  <c r="E3" i="41"/>
  <c r="M2" i="41"/>
  <c r="BA1" i="41"/>
  <c r="D71" i="41"/>
  <c r="AV2" i="41"/>
  <c r="AX2" i="41"/>
  <c r="O33" i="41"/>
  <c r="AN78" i="41"/>
  <c r="L7" i="41"/>
  <c r="T1" i="41"/>
  <c r="AV1" i="41"/>
  <c r="AX78" i="41"/>
  <c r="AH33" i="41"/>
  <c r="R2" i="41"/>
  <c r="K1" i="41"/>
  <c r="AM1" i="41"/>
  <c r="AW79" i="41"/>
  <c r="AR76" i="41"/>
  <c r="U1" i="41"/>
  <c r="AU71" i="41"/>
  <c r="P2" i="41"/>
  <c r="W1" i="41"/>
  <c r="AM78" i="41"/>
  <c r="P33" i="41"/>
  <c r="AF33" i="41"/>
  <c r="V2" i="41"/>
  <c r="AG2" i="41"/>
  <c r="AU76" i="41"/>
  <c r="AP76" i="41"/>
  <c r="T2" i="41"/>
  <c r="AJ1" i="41"/>
  <c r="AP2" i="41"/>
  <c r="AL78" i="41"/>
  <c r="V1" i="41"/>
  <c r="M10" i="20"/>
  <c r="D10" i="20"/>
  <c r="D20" i="18"/>
  <c r="AA23" i="18"/>
  <c r="S11" i="18"/>
  <c r="AA34" i="18"/>
  <c r="L30" i="18"/>
  <c r="F2" i="18"/>
  <c r="H20" i="18"/>
  <c r="E2" i="18"/>
  <c r="Z12" i="18"/>
  <c r="S2" i="18"/>
  <c r="AB23" i="18"/>
  <c r="X2" i="18"/>
  <c r="K2" i="18"/>
  <c r="AA28" i="18"/>
  <c r="Y23" i="18"/>
  <c r="S28" i="18"/>
  <c r="AA2" i="18"/>
  <c r="U34" i="18"/>
  <c r="C366" i="24"/>
  <c r="C54" i="24"/>
  <c r="C127" i="24"/>
  <c r="C37" i="24"/>
  <c r="C318" i="24"/>
  <c r="D21" i="24"/>
  <c r="C365" i="24"/>
  <c r="C126" i="24"/>
  <c r="C272" i="24"/>
  <c r="C160" i="24"/>
  <c r="C9" i="24"/>
  <c r="C62" i="24"/>
  <c r="C66" i="24"/>
  <c r="C367" i="24"/>
  <c r="C34" i="24"/>
  <c r="C93" i="24"/>
  <c r="C250" i="24"/>
  <c r="C295" i="24"/>
  <c r="L15" i="24"/>
  <c r="C261" i="24"/>
  <c r="C364" i="24"/>
  <c r="C239" i="24"/>
  <c r="C149" i="24"/>
  <c r="C48" i="24"/>
  <c r="L14" i="24"/>
  <c r="C273" i="24"/>
  <c r="C58" i="24"/>
  <c r="C205" i="24"/>
  <c r="C3" i="24"/>
  <c r="C82" i="24"/>
  <c r="C28" i="24"/>
  <c r="L3" i="24"/>
  <c r="E9" i="24"/>
  <c r="C340" i="24"/>
  <c r="C217" i="24"/>
  <c r="C13" i="24"/>
  <c r="L7" i="24"/>
  <c r="C45" i="24"/>
  <c r="C68" i="24"/>
  <c r="C63" i="24"/>
  <c r="L2" i="24"/>
  <c r="C12" i="24"/>
  <c r="C182" i="24"/>
  <c r="C31" i="24"/>
  <c r="C16" i="24"/>
  <c r="I10" i="8"/>
  <c r="B30" i="8"/>
  <c r="B15" i="8"/>
  <c r="C36" i="8"/>
  <c r="B24" i="8"/>
  <c r="H9" i="8"/>
  <c r="B12" i="8"/>
  <c r="B51" i="8"/>
  <c r="B72" i="8"/>
  <c r="B64" i="8"/>
  <c r="D37" i="8"/>
  <c r="B33" i="8"/>
  <c r="D52" i="8"/>
  <c r="B34" i="8"/>
  <c r="E17" i="8"/>
  <c r="C51" i="8"/>
  <c r="E66" i="8"/>
  <c r="B6" i="8"/>
  <c r="B50" i="8"/>
  <c r="B66" i="8"/>
  <c r="J2" i="8"/>
  <c r="B20" i="8"/>
  <c r="D19" i="8"/>
  <c r="B27" i="8"/>
  <c r="B2" i="8"/>
  <c r="B68" i="8"/>
  <c r="B1" i="8"/>
  <c r="B22" i="8"/>
  <c r="D3" i="8"/>
  <c r="J1" i="8"/>
  <c r="F33" i="8"/>
  <c r="E67" i="8"/>
  <c r="B29" i="8"/>
  <c r="B13" i="8"/>
  <c r="K10" i="20"/>
  <c r="H10" i="20"/>
  <c r="AT75" i="41"/>
  <c r="V33" i="41"/>
  <c r="K33" i="41"/>
  <c r="J2" i="41"/>
  <c r="AM79" i="41"/>
  <c r="AN2" i="41"/>
  <c r="J33" i="41"/>
  <c r="AE2" i="41"/>
  <c r="AC2" i="41"/>
  <c r="AS1" i="41"/>
  <c r="AQ75" i="41"/>
  <c r="AQ5" i="41"/>
  <c r="AF75" i="41"/>
  <c r="AD75" i="41"/>
  <c r="AK2" i="41"/>
  <c r="AF1" i="41"/>
  <c r="AX75" i="41"/>
  <c r="AT33" i="41"/>
  <c r="AZ2" i="41"/>
  <c r="N33" i="41"/>
  <c r="AI2" i="41"/>
  <c r="AR78" i="41"/>
  <c r="AU79" i="41"/>
  <c r="E75" i="41"/>
  <c r="AE74" i="41"/>
  <c r="AD2" i="41"/>
  <c r="AB1" i="41"/>
  <c r="AU2" i="41"/>
  <c r="AA1" i="41"/>
  <c r="AM75" i="41"/>
  <c r="AX1" i="41"/>
  <c r="AO76" i="41"/>
  <c r="T33" i="41"/>
  <c r="AX76" i="41"/>
  <c r="Q2" i="41"/>
  <c r="AW75" i="41"/>
  <c r="AS2" i="41"/>
  <c r="AT79" i="41"/>
  <c r="AO1" i="41"/>
  <c r="AY1" i="41"/>
  <c r="AW78" i="41"/>
  <c r="U2" i="41"/>
  <c r="AV79" i="41"/>
  <c r="AO75" i="41"/>
  <c r="AB33" i="41"/>
  <c r="Z33" i="41"/>
  <c r="AP1" i="41"/>
  <c r="U33" i="41"/>
  <c r="AR33" i="41"/>
  <c r="AY2" i="41"/>
  <c r="E78" i="41"/>
  <c r="E74" i="41"/>
  <c r="BB2" i="41"/>
  <c r="M1" i="41"/>
  <c r="AX79" i="41"/>
  <c r="W33" i="41"/>
  <c r="Y1" i="41"/>
  <c r="P1" i="41"/>
  <c r="AI1" i="41"/>
  <c r="R1" i="41"/>
  <c r="AA33" i="41"/>
  <c r="AX33" i="41"/>
  <c r="AT76" i="41"/>
  <c r="L33" i="41"/>
  <c r="AA2" i="41"/>
  <c r="N1" i="41"/>
  <c r="BC1" i="41"/>
  <c r="M33" i="41"/>
  <c r="AH1" i="41"/>
  <c r="AN76" i="41"/>
  <c r="AQ2" i="41"/>
  <c r="BB1" i="41"/>
  <c r="AQ78" i="41"/>
  <c r="AU1" i="41"/>
  <c r="R33" i="41"/>
  <c r="AR2" i="41"/>
  <c r="AU75" i="41"/>
  <c r="AM2" i="41"/>
  <c r="AT1" i="41"/>
  <c r="L2" i="41"/>
  <c r="W2" i="41"/>
  <c r="E73" i="41"/>
  <c r="E76" i="41"/>
  <c r="D33" i="8"/>
  <c r="D22" i="8"/>
  <c r="D20" i="8"/>
  <c r="B26" i="8"/>
  <c r="B19" i="8"/>
  <c r="B14" i="8"/>
  <c r="B5" i="8"/>
  <c r="B73" i="8"/>
  <c r="E74" i="8"/>
  <c r="C27" i="8"/>
  <c r="B3" i="8"/>
  <c r="C52" i="8"/>
  <c r="B17" i="8"/>
  <c r="B28" i="8"/>
  <c r="G14" i="8"/>
  <c r="C50" i="8"/>
  <c r="B65" i="8"/>
  <c r="F52" i="8"/>
  <c r="H10" i="8"/>
  <c r="B10" i="8"/>
  <c r="D18" i="8"/>
  <c r="B25" i="8"/>
  <c r="B71" i="8"/>
  <c r="C19" i="24"/>
  <c r="C228" i="24"/>
  <c r="C67" i="24"/>
  <c r="C171" i="24"/>
  <c r="C363" i="24"/>
  <c r="L4" i="24"/>
  <c r="C20" i="24"/>
  <c r="C69" i="24"/>
  <c r="C284" i="24"/>
  <c r="D382" i="24"/>
  <c r="C22" i="24"/>
  <c r="C56" i="24"/>
  <c r="C39" i="24"/>
  <c r="C14" i="24"/>
  <c r="C362" i="24"/>
  <c r="C18" i="24"/>
  <c r="C329" i="24"/>
  <c r="C70" i="24"/>
  <c r="C65" i="24"/>
  <c r="C138" i="24"/>
  <c r="C351" i="24"/>
  <c r="C194" i="24"/>
  <c r="D33" i="41"/>
  <c r="X1" i="41"/>
  <c r="AS79" i="41"/>
  <c r="AS33" i="41"/>
  <c r="I1" i="41"/>
  <c r="Q1" i="41"/>
  <c r="AC33" i="41"/>
  <c r="AK1" i="41"/>
  <c r="AO78" i="41"/>
  <c r="AL75" i="41"/>
  <c r="AU78" i="41"/>
  <c r="Z1" i="41"/>
  <c r="AL2" i="41"/>
  <c r="AN79" i="41"/>
  <c r="AG83" i="41"/>
  <c r="AZ1" i="41"/>
  <c r="U71" i="41"/>
  <c r="AV75" i="41"/>
  <c r="AQ33" i="41"/>
  <c r="AB2" i="41"/>
  <c r="AE75" i="41"/>
  <c r="Y2" i="41"/>
  <c r="AE33" i="41"/>
  <c r="N7" i="41"/>
  <c r="AV78" i="41"/>
  <c r="AT78" i="41"/>
  <c r="X2" i="41"/>
  <c r="AS78" i="41"/>
  <c r="AL1" i="41"/>
  <c r="BA2" i="41"/>
  <c r="AD74" i="41"/>
  <c r="E77" i="41"/>
  <c r="S2" i="41"/>
  <c r="AG1" i="41"/>
  <c r="E52" i="8"/>
  <c r="C33" i="8"/>
  <c r="B36" i="8"/>
  <c r="B31" i="8"/>
  <c r="B4" i="8"/>
  <c r="C15" i="24"/>
  <c r="C42" i="24"/>
  <c r="C216" i="24"/>
  <c r="C115" i="24"/>
  <c r="C61" i="24"/>
  <c r="C183" i="24"/>
  <c r="C25" i="24"/>
  <c r="C64" i="24"/>
  <c r="L13" i="24"/>
  <c r="Z34" i="18"/>
  <c r="M20" i="18"/>
  <c r="K20" i="18"/>
  <c r="AC12" i="18"/>
  <c r="T28" i="18"/>
  <c r="T23" i="18"/>
  <c r="V28" i="18"/>
  <c r="W34" i="18"/>
  <c r="G2" i="18"/>
  <c r="M2" i="18"/>
  <c r="U18" i="18"/>
  <c r="AC23" i="18"/>
  <c r="AC28" i="18"/>
  <c r="C2" i="18"/>
  <c r="O20" i="18"/>
  <c r="T34" i="18"/>
  <c r="C14" i="18"/>
  <c r="Y2" i="18"/>
  <c r="O2" i="18"/>
  <c r="AA18" i="18"/>
  <c r="N20" i="18"/>
  <c r="S18" i="18"/>
  <c r="X23" i="18"/>
  <c r="I2" i="18"/>
  <c r="AB2" i="18"/>
  <c r="Q2" i="18"/>
  <c r="W28" i="18"/>
  <c r="J2" i="18"/>
  <c r="T18" i="18"/>
  <c r="T12" i="18"/>
  <c r="X28" i="18"/>
  <c r="C11" i="18"/>
  <c r="S23" i="18"/>
  <c r="Y12" i="18"/>
  <c r="U23" i="18"/>
  <c r="V2" i="18"/>
  <c r="L20" i="18"/>
  <c r="V23" i="18"/>
  <c r="T2" i="18"/>
  <c r="Z28" i="18"/>
  <c r="X18" i="18"/>
  <c r="P2" i="18"/>
  <c r="U2" i="18"/>
  <c r="G20" i="18"/>
  <c r="H2" i="18"/>
  <c r="Y28" i="18"/>
  <c r="V18" i="18"/>
  <c r="L2" i="18"/>
  <c r="V34" i="18"/>
  <c r="J14" i="18"/>
  <c r="I20" i="18"/>
  <c r="W12" i="18"/>
  <c r="S33" i="18"/>
  <c r="Y18" i="18"/>
  <c r="U12" i="18"/>
  <c r="AB28" i="18"/>
  <c r="Z23" i="18"/>
  <c r="Z18" i="18"/>
  <c r="R2" i="18"/>
  <c r="E285" i="24" l="1"/>
  <c r="E96" i="24"/>
  <c r="F76" i="20" s="1"/>
  <c r="E98" i="24"/>
  <c r="F78" i="20" s="1"/>
  <c r="E109" i="24"/>
  <c r="E85" i="24"/>
  <c r="E87" i="24"/>
  <c r="F68" i="20" s="1"/>
  <c r="AS65" i="67"/>
  <c r="AS79" i="64"/>
  <c r="AS65" i="66"/>
  <c r="AS65" i="68"/>
  <c r="AU79" i="64"/>
  <c r="AU65" i="66"/>
  <c r="AU65" i="67"/>
  <c r="AU65" i="68"/>
  <c r="T74" i="41"/>
  <c r="O6" i="20"/>
  <c r="AB5" i="18"/>
  <c r="E3" i="24"/>
  <c r="A11" i="57"/>
  <c r="AL76" i="64"/>
  <c r="AL62" i="67"/>
  <c r="AL62" i="68"/>
  <c r="AL62" i="66"/>
  <c r="AN61" i="67"/>
  <c r="AN61" i="66"/>
  <c r="AN75" i="64"/>
  <c r="AN61" i="68"/>
  <c r="M33" i="67"/>
  <c r="M33" i="66"/>
  <c r="M33" i="64"/>
  <c r="M33" i="68"/>
  <c r="AO65" i="67"/>
  <c r="AO65" i="68"/>
  <c r="AO79" i="64"/>
  <c r="AO65" i="66"/>
  <c r="E79" i="41"/>
  <c r="E65" i="66" s="1"/>
  <c r="AU57" i="67"/>
  <c r="AU57" i="66"/>
  <c r="AU57" i="68"/>
  <c r="AU71" i="64"/>
  <c r="D33" i="68"/>
  <c r="D33" i="64"/>
  <c r="D33" i="67"/>
  <c r="D33" i="66"/>
  <c r="AO76" i="64"/>
  <c r="AO62" i="68"/>
  <c r="AO62" i="67"/>
  <c r="AO62" i="66"/>
  <c r="Z33" i="64"/>
  <c r="Z33" i="67"/>
  <c r="Z33" i="68"/>
  <c r="Z33" i="66"/>
  <c r="K7" i="41"/>
  <c r="Z65" i="41" s="1"/>
  <c r="U66" i="41" s="1"/>
  <c r="C31" i="18"/>
  <c r="H23" i="18"/>
  <c r="S5" i="18"/>
  <c r="AF33" i="68"/>
  <c r="AF33" i="64"/>
  <c r="AF33" i="67"/>
  <c r="AF33" i="66"/>
  <c r="AQ61" i="66"/>
  <c r="AQ61" i="68"/>
  <c r="AQ61" i="67"/>
  <c r="AQ75" i="64"/>
  <c r="C30" i="18"/>
  <c r="E64" i="68"/>
  <c r="E78" i="64"/>
  <c r="E64" i="67"/>
  <c r="E64" i="66"/>
  <c r="B10" i="20"/>
  <c r="AV61" i="67"/>
  <c r="AV75" i="64"/>
  <c r="AV61" i="68"/>
  <c r="AV61" i="66"/>
  <c r="AR64" i="68"/>
  <c r="AR64" i="66"/>
  <c r="AR64" i="67"/>
  <c r="AR78" i="64"/>
  <c r="AR33" i="64"/>
  <c r="AR33" i="66"/>
  <c r="AR33" i="68"/>
  <c r="AR33" i="67"/>
  <c r="AM78" i="64"/>
  <c r="AM64" i="66"/>
  <c r="AM64" i="68"/>
  <c r="AM64" i="67"/>
  <c r="Q33" i="67"/>
  <c r="Q33" i="66"/>
  <c r="Q33" i="68"/>
  <c r="Q33" i="64"/>
  <c r="AW62" i="67"/>
  <c r="AW76" i="64"/>
  <c r="AW62" i="66"/>
  <c r="AW62" i="68"/>
  <c r="AS33" i="67"/>
  <c r="AS33" i="64"/>
  <c r="AS33" i="68"/>
  <c r="AS33" i="66"/>
  <c r="E60" i="66"/>
  <c r="E60" i="68"/>
  <c r="E74" i="64"/>
  <c r="E60" i="67"/>
  <c r="AQ33" i="66"/>
  <c r="AQ33" i="68"/>
  <c r="AQ33" i="67"/>
  <c r="AQ33" i="64"/>
  <c r="AU62" i="68"/>
  <c r="AU62" i="66"/>
  <c r="AU62" i="67"/>
  <c r="AU76" i="64"/>
  <c r="AV76" i="64"/>
  <c r="AV62" i="66"/>
  <c r="AV62" i="67"/>
  <c r="AV62" i="68"/>
  <c r="AP76" i="64"/>
  <c r="AP62" i="68"/>
  <c r="AP62" i="66"/>
  <c r="AP62" i="67"/>
  <c r="AX33" i="66"/>
  <c r="AX33" i="67"/>
  <c r="AX33" i="68"/>
  <c r="AX33" i="64"/>
  <c r="AQ76" i="64"/>
  <c r="AQ62" i="67"/>
  <c r="AQ62" i="68"/>
  <c r="AQ62" i="66"/>
  <c r="O33" i="68"/>
  <c r="O33" i="66"/>
  <c r="O33" i="67"/>
  <c r="O33" i="64"/>
  <c r="AR65" i="67"/>
  <c r="AR79" i="64"/>
  <c r="AR65" i="68"/>
  <c r="AR65" i="66"/>
  <c r="AX64" i="67"/>
  <c r="AX78" i="64"/>
  <c r="AX64" i="68"/>
  <c r="AX64" i="66"/>
  <c r="AE33" i="67"/>
  <c r="AE33" i="66"/>
  <c r="AE33" i="64"/>
  <c r="AE33" i="68"/>
  <c r="AS75" i="64"/>
  <c r="AS61" i="68"/>
  <c r="AS61" i="66"/>
  <c r="AS61" i="67"/>
  <c r="AB33" i="68"/>
  <c r="AB33" i="64"/>
  <c r="AB33" i="66"/>
  <c r="AB33" i="67"/>
  <c r="AM65" i="67"/>
  <c r="AM65" i="68"/>
  <c r="AM79" i="64"/>
  <c r="AM65" i="66"/>
  <c r="D31" i="64"/>
  <c r="D31" i="41"/>
  <c r="D31" i="68"/>
  <c r="D31" i="67"/>
  <c r="D31" i="66"/>
  <c r="D10" i="67"/>
  <c r="D10" i="66"/>
  <c r="D10" i="68"/>
  <c r="D10" i="64"/>
  <c r="D10" i="41"/>
  <c r="F19" i="20"/>
  <c r="D29" i="67"/>
  <c r="D29" i="68"/>
  <c r="D29" i="64"/>
  <c r="D29" i="66"/>
  <c r="D29" i="41"/>
  <c r="F45" i="20"/>
  <c r="F10" i="20"/>
  <c r="A14" i="57"/>
  <c r="L33" i="18"/>
  <c r="S6" i="18"/>
  <c r="C7" i="18"/>
  <c r="C4" i="24"/>
  <c r="D6" i="20"/>
  <c r="L23" i="18"/>
  <c r="B53" i="8"/>
  <c r="W33" i="68"/>
  <c r="W33" i="64"/>
  <c r="W33" i="67"/>
  <c r="W33" i="66"/>
  <c r="E3" i="68"/>
  <c r="E3" i="66"/>
  <c r="E3" i="67"/>
  <c r="E3" i="64"/>
  <c r="C23" i="24"/>
  <c r="C59" i="24" s="1"/>
  <c r="D37" i="24"/>
  <c r="AS76" i="64"/>
  <c r="AS62" i="68"/>
  <c r="AS62" i="66"/>
  <c r="AS62" i="67"/>
  <c r="AP64" i="68"/>
  <c r="AP78" i="64"/>
  <c r="AP64" i="66"/>
  <c r="AP64" i="67"/>
  <c r="AN76" i="64"/>
  <c r="AN62" i="67"/>
  <c r="AN62" i="68"/>
  <c r="AN62" i="66"/>
  <c r="AN65" i="67"/>
  <c r="AN65" i="66"/>
  <c r="AN79" i="64"/>
  <c r="AN65" i="68"/>
  <c r="E62" i="66"/>
  <c r="E76" i="64"/>
  <c r="E62" i="68"/>
  <c r="E62" i="67"/>
  <c r="AX75" i="64"/>
  <c r="AX61" i="67"/>
  <c r="AX61" i="66"/>
  <c r="AX61" i="68"/>
  <c r="T33" i="64"/>
  <c r="T33" i="66"/>
  <c r="T33" i="67"/>
  <c r="T33" i="68"/>
  <c r="J33" i="68"/>
  <c r="J33" i="64"/>
  <c r="J33" i="66"/>
  <c r="J33" i="67"/>
  <c r="K33" i="64"/>
  <c r="K33" i="67"/>
  <c r="K33" i="66"/>
  <c r="K33" i="68"/>
  <c r="AK37" i="41"/>
  <c r="K13" i="41"/>
  <c r="K13" i="67" s="1"/>
  <c r="AK47" i="41"/>
  <c r="F60" i="41"/>
  <c r="AK53" i="41"/>
  <c r="AK35" i="41"/>
  <c r="AK45" i="41"/>
  <c r="AK58" i="41"/>
  <c r="AK44" i="68" s="1"/>
  <c r="AN21" i="41"/>
  <c r="AN21" i="64" s="1"/>
  <c r="AK43" i="41"/>
  <c r="AZ61" i="41"/>
  <c r="AA60" i="41"/>
  <c r="V13" i="41"/>
  <c r="V13" i="68" s="1"/>
  <c r="N21" i="41"/>
  <c r="N21" i="68" s="1"/>
  <c r="U28" i="41"/>
  <c r="AK51" i="41"/>
  <c r="M7" i="66"/>
  <c r="U28" i="66" s="1"/>
  <c r="M7" i="64"/>
  <c r="AK45" i="64" s="1"/>
  <c r="AG13" i="41"/>
  <c r="AG13" i="67" s="1"/>
  <c r="AB65" i="41"/>
  <c r="AB51" i="66" s="1"/>
  <c r="AA21" i="41"/>
  <c r="AA21" i="64" s="1"/>
  <c r="M7" i="68"/>
  <c r="AA46" i="68" s="1"/>
  <c r="V60" i="41"/>
  <c r="AK41" i="41"/>
  <c r="AK39" i="41"/>
  <c r="L60" i="41"/>
  <c r="AF60" i="41"/>
  <c r="M7" i="67"/>
  <c r="AZ47" i="67" s="1"/>
  <c r="P60" i="41"/>
  <c r="AK49" i="41"/>
  <c r="AL64" i="67"/>
  <c r="AL64" i="66"/>
  <c r="AL78" i="64"/>
  <c r="AL64" i="68"/>
  <c r="E27" i="67"/>
  <c r="E27" i="66"/>
  <c r="E27" i="64"/>
  <c r="E27" i="68"/>
  <c r="D5" i="41"/>
  <c r="F11" i="20"/>
  <c r="D5" i="67"/>
  <c r="D5" i="64"/>
  <c r="D5" i="68"/>
  <c r="D5" i="66"/>
  <c r="E14" i="57"/>
  <c r="J23" i="18"/>
  <c r="AB6" i="18"/>
  <c r="L41" i="18"/>
  <c r="AW64" i="67"/>
  <c r="AW64" i="66"/>
  <c r="AW78" i="64"/>
  <c r="AW64" i="68"/>
  <c r="AX62" i="67"/>
  <c r="AX62" i="68"/>
  <c r="AX76" i="64"/>
  <c r="AX62" i="66"/>
  <c r="AA33" i="67"/>
  <c r="AA33" i="64"/>
  <c r="AA33" i="68"/>
  <c r="AA33" i="66"/>
  <c r="X33" i="64"/>
  <c r="X33" i="68"/>
  <c r="X33" i="66"/>
  <c r="X33" i="67"/>
  <c r="AT78" i="64"/>
  <c r="AT64" i="66"/>
  <c r="AT64" i="68"/>
  <c r="AT64" i="67"/>
  <c r="I1" i="66"/>
  <c r="I1" i="68"/>
  <c r="I1" i="67"/>
  <c r="I1" i="64"/>
  <c r="AQ5" i="64"/>
  <c r="AQ5" i="68"/>
  <c r="AQ5" i="67"/>
  <c r="AQ5" i="66"/>
  <c r="AM61" i="67"/>
  <c r="AM61" i="66"/>
  <c r="AM75" i="64"/>
  <c r="AM61" i="68"/>
  <c r="D57" i="68"/>
  <c r="D71" i="64"/>
  <c r="D57" i="66"/>
  <c r="D57" i="67"/>
  <c r="C83" i="64"/>
  <c r="C69" i="67"/>
  <c r="C69" i="66"/>
  <c r="C69" i="68"/>
  <c r="D42" i="66"/>
  <c r="D56" i="64"/>
  <c r="D42" i="68"/>
  <c r="D42" i="67"/>
  <c r="AG33" i="66"/>
  <c r="AG33" i="64"/>
  <c r="AG33" i="67"/>
  <c r="AG33" i="68"/>
  <c r="U33" i="67"/>
  <c r="U33" i="64"/>
  <c r="U33" i="66"/>
  <c r="U33" i="68"/>
  <c r="D18" i="67"/>
  <c r="D18" i="68"/>
  <c r="F30" i="20"/>
  <c r="D18" i="66"/>
  <c r="D18" i="64"/>
  <c r="D18" i="41"/>
  <c r="D52" i="68"/>
  <c r="D66" i="41"/>
  <c r="F314" i="20"/>
  <c r="D52" i="67"/>
  <c r="D52" i="66"/>
  <c r="D66" i="64"/>
  <c r="E367" i="24"/>
  <c r="F319" i="20" s="1"/>
  <c r="E358" i="24"/>
  <c r="F310" i="20" s="1"/>
  <c r="E349" i="24"/>
  <c r="F302" i="20" s="1"/>
  <c r="F294" i="20"/>
  <c r="E332" i="24"/>
  <c r="F286" i="20" s="1"/>
  <c r="E323" i="24"/>
  <c r="F278" i="20" s="1"/>
  <c r="E313" i="24"/>
  <c r="F270" i="20" s="1"/>
  <c r="E304" i="24"/>
  <c r="F262" i="20" s="1"/>
  <c r="E296" i="24"/>
  <c r="E287" i="24"/>
  <c r="F246" i="20" s="1"/>
  <c r="E278" i="24"/>
  <c r="F238" i="20" s="1"/>
  <c r="E268" i="24"/>
  <c r="F230" i="20" s="1"/>
  <c r="E259" i="24"/>
  <c r="F222" i="20" s="1"/>
  <c r="F214" i="20"/>
  <c r="E233" i="24"/>
  <c r="F198" i="20" s="1"/>
  <c r="E224" i="24"/>
  <c r="F190" i="20" s="1"/>
  <c r="E214" i="24"/>
  <c r="F182" i="20" s="1"/>
  <c r="E206" i="24"/>
  <c r="F166" i="20"/>
  <c r="E188" i="24"/>
  <c r="F158" i="20" s="1"/>
  <c r="E178" i="24"/>
  <c r="F150" i="20" s="1"/>
  <c r="E359" i="24"/>
  <c r="F311" i="20" s="1"/>
  <c r="E350" i="24"/>
  <c r="F303" i="20" s="1"/>
  <c r="F295" i="20"/>
  <c r="E333" i="24"/>
  <c r="F287" i="20" s="1"/>
  <c r="E324" i="24"/>
  <c r="F279" i="20" s="1"/>
  <c r="E314" i="24"/>
  <c r="F271" i="20" s="1"/>
  <c r="E305" i="24"/>
  <c r="F263" i="20" s="1"/>
  <c r="E297" i="24"/>
  <c r="F255" i="20" s="1"/>
  <c r="E288" i="24"/>
  <c r="F247" i="20" s="1"/>
  <c r="E279" i="24"/>
  <c r="F239" i="20" s="1"/>
  <c r="E269" i="24"/>
  <c r="F231" i="20" s="1"/>
  <c r="E260" i="24"/>
  <c r="F223" i="20" s="1"/>
  <c r="F207" i="20"/>
  <c r="E234" i="24"/>
  <c r="F199" i="20" s="1"/>
  <c r="E225" i="24"/>
  <c r="F191" i="20" s="1"/>
  <c r="E215" i="24"/>
  <c r="F183" i="20" s="1"/>
  <c r="E207" i="24"/>
  <c r="F167" i="20"/>
  <c r="E189" i="24"/>
  <c r="F159" i="20" s="1"/>
  <c r="E179" i="24"/>
  <c r="F151" i="20" s="1"/>
  <c r="F144" i="20"/>
  <c r="F136" i="20"/>
  <c r="E154" i="24"/>
  <c r="F128" i="20" s="1"/>
  <c r="E145" i="24"/>
  <c r="F120" i="20" s="1"/>
  <c r="E136" i="24"/>
  <c r="F112" i="20" s="1"/>
  <c r="E128" i="24"/>
  <c r="F104" i="20" s="1"/>
  <c r="E118" i="24"/>
  <c r="F96" i="20" s="1"/>
  <c r="F88" i="20"/>
  <c r="E100" i="24"/>
  <c r="F80" i="20" s="1"/>
  <c r="E91" i="24"/>
  <c r="F72" i="20" s="1"/>
  <c r="F64" i="20"/>
  <c r="E67" i="24"/>
  <c r="E57" i="24"/>
  <c r="F42" i="20" s="1"/>
  <c r="E44" i="24"/>
  <c r="F34" i="20" s="1"/>
  <c r="E30" i="24"/>
  <c r="F25" i="20" s="1"/>
  <c r="E17" i="24"/>
  <c r="E173" i="24"/>
  <c r="F145" i="20" s="1"/>
  <c r="F137" i="20"/>
  <c r="E155" i="24"/>
  <c r="F129" i="20" s="1"/>
  <c r="E146" i="24"/>
  <c r="F121" i="20" s="1"/>
  <c r="E137" i="24"/>
  <c r="F113" i="20" s="1"/>
  <c r="E129" i="24"/>
  <c r="F105" i="20" s="1"/>
  <c r="E119" i="24"/>
  <c r="F97" i="20" s="1"/>
  <c r="E110" i="24"/>
  <c r="F89" i="20" s="1"/>
  <c r="E101" i="24"/>
  <c r="F81" i="20" s="1"/>
  <c r="E92" i="24"/>
  <c r="F73" i="20" s="1"/>
  <c r="E75" i="24"/>
  <c r="F57" i="20" s="1"/>
  <c r="E62" i="24"/>
  <c r="F46" i="20" s="1"/>
  <c r="E49" i="24"/>
  <c r="F37" i="20" s="1"/>
  <c r="E35" i="24"/>
  <c r="F28" i="20" s="1"/>
  <c r="E23" i="24"/>
  <c r="E365" i="24"/>
  <c r="F317" i="20" s="1"/>
  <c r="E356" i="24"/>
  <c r="F308" i="20" s="1"/>
  <c r="E347" i="24"/>
  <c r="F300" i="20" s="1"/>
  <c r="E338" i="24"/>
  <c r="F292" i="20" s="1"/>
  <c r="E330" i="24"/>
  <c r="F284" i="20" s="1"/>
  <c r="E321" i="24"/>
  <c r="F276" i="20" s="1"/>
  <c r="F268" i="20"/>
  <c r="E302" i="24"/>
  <c r="F260" i="20" s="1"/>
  <c r="E293" i="24"/>
  <c r="F252" i="20" s="1"/>
  <c r="F244" i="20"/>
  <c r="E276" i="24"/>
  <c r="F236" i="20" s="1"/>
  <c r="F228" i="20"/>
  <c r="E257" i="24"/>
  <c r="F220" i="20" s="1"/>
  <c r="E248" i="24"/>
  <c r="F212" i="20" s="1"/>
  <c r="F204" i="20"/>
  <c r="E231" i="24"/>
  <c r="E222" i="24"/>
  <c r="F188" i="20" s="1"/>
  <c r="E212" i="24"/>
  <c r="F180" i="20" s="1"/>
  <c r="E203" i="24"/>
  <c r="F172" i="20" s="1"/>
  <c r="E186" i="24"/>
  <c r="E366" i="24"/>
  <c r="F318" i="20" s="1"/>
  <c r="E357" i="24"/>
  <c r="F309" i="20" s="1"/>
  <c r="E348" i="24"/>
  <c r="F301" i="20" s="1"/>
  <c r="E339" i="24"/>
  <c r="F293" i="20" s="1"/>
  <c r="F285" i="20"/>
  <c r="E322" i="24"/>
  <c r="F277" i="20" s="1"/>
  <c r="E312" i="24"/>
  <c r="F269" i="20" s="1"/>
  <c r="E303" i="24"/>
  <c r="F261" i="20" s="1"/>
  <c r="E294" i="24"/>
  <c r="F253" i="20" s="1"/>
  <c r="E286" i="24"/>
  <c r="F245" i="20" s="1"/>
  <c r="E277" i="24"/>
  <c r="F237" i="20" s="1"/>
  <c r="E267" i="24"/>
  <c r="F229" i="20" s="1"/>
  <c r="E258" i="24"/>
  <c r="F221" i="20" s="1"/>
  <c r="E249" i="24"/>
  <c r="F213" i="20" s="1"/>
  <c r="F205" i="20"/>
  <c r="E232" i="24"/>
  <c r="F197" i="20" s="1"/>
  <c r="E223" i="24"/>
  <c r="F189" i="20" s="1"/>
  <c r="E213" i="24"/>
  <c r="F181" i="20" s="1"/>
  <c r="E204" i="24"/>
  <c r="F173" i="20" s="1"/>
  <c r="F165" i="20"/>
  <c r="E187" i="24"/>
  <c r="F157" i="20" s="1"/>
  <c r="E177" i="24"/>
  <c r="F149" i="20" s="1"/>
  <c r="E169" i="24"/>
  <c r="F142" i="20" s="1"/>
  <c r="F134" i="20"/>
  <c r="E152" i="24"/>
  <c r="F126" i="20" s="1"/>
  <c r="E143" i="24"/>
  <c r="F118" i="20" s="1"/>
  <c r="E134" i="24"/>
  <c r="F110" i="20" s="1"/>
  <c r="E124" i="24"/>
  <c r="F102" i="20" s="1"/>
  <c r="E116" i="24"/>
  <c r="F94" i="20" s="1"/>
  <c r="E107" i="24"/>
  <c r="E89" i="24"/>
  <c r="F70" i="20" s="1"/>
  <c r="E80" i="24"/>
  <c r="F62" i="20" s="1"/>
  <c r="E65" i="24"/>
  <c r="F49" i="20" s="1"/>
  <c r="E53" i="24"/>
  <c r="E41" i="24"/>
  <c r="E27" i="24"/>
  <c r="E15" i="24"/>
  <c r="E170" i="24"/>
  <c r="F143" i="20" s="1"/>
  <c r="E162" i="24"/>
  <c r="F135" i="20" s="1"/>
  <c r="E153" i="24"/>
  <c r="F127" i="20" s="1"/>
  <c r="E144" i="24"/>
  <c r="F119" i="20" s="1"/>
  <c r="E135" i="24"/>
  <c r="F111" i="20" s="1"/>
  <c r="E125" i="24"/>
  <c r="F103" i="20" s="1"/>
  <c r="E117" i="24"/>
  <c r="F95" i="20" s="1"/>
  <c r="E108" i="24"/>
  <c r="F87" i="20" s="1"/>
  <c r="E99" i="24"/>
  <c r="F79" i="20" s="1"/>
  <c r="E90" i="24"/>
  <c r="F71" i="20" s="1"/>
  <c r="E81" i="24"/>
  <c r="F63" i="20" s="1"/>
  <c r="E68" i="24"/>
  <c r="E59" i="24"/>
  <c r="E46" i="24"/>
  <c r="E32" i="24"/>
  <c r="F26" i="20" s="1"/>
  <c r="E18" i="24"/>
  <c r="F17" i="20" s="1"/>
  <c r="E363" i="24"/>
  <c r="E354" i="24"/>
  <c r="F306" i="20" s="1"/>
  <c r="F298" i="20"/>
  <c r="E336" i="24"/>
  <c r="F290" i="20" s="1"/>
  <c r="E327" i="24"/>
  <c r="F282" i="20" s="1"/>
  <c r="E319" i="24"/>
  <c r="F274" i="20" s="1"/>
  <c r="F266" i="20"/>
  <c r="E300" i="24"/>
  <c r="F258" i="20" s="1"/>
  <c r="E291" i="24"/>
  <c r="F250" i="20" s="1"/>
  <c r="E282" i="24"/>
  <c r="F242" i="20" s="1"/>
  <c r="E274" i="24"/>
  <c r="F234" i="20" s="1"/>
  <c r="F226" i="20"/>
  <c r="E255" i="24"/>
  <c r="F218" i="20" s="1"/>
  <c r="E246" i="24"/>
  <c r="F210" i="20" s="1"/>
  <c r="E237" i="24"/>
  <c r="F202" i="20" s="1"/>
  <c r="F194" i="20"/>
  <c r="E220" i="24"/>
  <c r="F186" i="20" s="1"/>
  <c r="E210" i="24"/>
  <c r="F178" i="20" s="1"/>
  <c r="E201" i="24"/>
  <c r="F170" i="20" s="1"/>
  <c r="E192" i="24"/>
  <c r="F162" i="20" s="1"/>
  <c r="E184" i="24"/>
  <c r="E364" i="24"/>
  <c r="F316" i="20" s="1"/>
  <c r="E355" i="24"/>
  <c r="F307" i="20" s="1"/>
  <c r="E346" i="24"/>
  <c r="F299" i="20" s="1"/>
  <c r="E337" i="24"/>
  <c r="F291" i="20" s="1"/>
  <c r="E328" i="24"/>
  <c r="F283" i="20" s="1"/>
  <c r="E320" i="24"/>
  <c r="F275" i="20" s="1"/>
  <c r="F267" i="20"/>
  <c r="E301" i="24"/>
  <c r="F259" i="20" s="1"/>
  <c r="E292" i="24"/>
  <c r="F251" i="20" s="1"/>
  <c r="E283" i="24"/>
  <c r="F243" i="20" s="1"/>
  <c r="E275" i="24"/>
  <c r="F235" i="20" s="1"/>
  <c r="E265" i="24"/>
  <c r="F227" i="20" s="1"/>
  <c r="E256" i="24"/>
  <c r="F219" i="20" s="1"/>
  <c r="E247" i="24"/>
  <c r="F211" i="20" s="1"/>
  <c r="E238" i="24"/>
  <c r="F203" i="20" s="1"/>
  <c r="E230" i="24"/>
  <c r="F195" i="20" s="1"/>
  <c r="E221" i="24"/>
  <c r="F187" i="20" s="1"/>
  <c r="E211" i="24"/>
  <c r="F179" i="20" s="1"/>
  <c r="E202" i="24"/>
  <c r="F171" i="20" s="1"/>
  <c r="E193" i="24"/>
  <c r="F163" i="20" s="1"/>
  <c r="E185" i="24"/>
  <c r="F155" i="20" s="1"/>
  <c r="E176" i="24"/>
  <c r="F148" i="20" s="1"/>
  <c r="E167" i="24"/>
  <c r="F140" i="20" s="1"/>
  <c r="E158" i="24"/>
  <c r="F132" i="20" s="1"/>
  <c r="E150" i="24"/>
  <c r="F124" i="20" s="1"/>
  <c r="E141" i="24"/>
  <c r="F116" i="20" s="1"/>
  <c r="E132" i="24"/>
  <c r="F108" i="20" s="1"/>
  <c r="E122" i="24"/>
  <c r="F100" i="20" s="1"/>
  <c r="E113" i="24"/>
  <c r="F92" i="20" s="1"/>
  <c r="E105" i="24"/>
  <c r="F84" i="20" s="1"/>
  <c r="E78" i="24"/>
  <c r="F60" i="20" s="1"/>
  <c r="E63" i="24"/>
  <c r="F47" i="20" s="1"/>
  <c r="E50" i="24"/>
  <c r="F38" i="20" s="1"/>
  <c r="E36" i="24"/>
  <c r="E24" i="24"/>
  <c r="F21" i="20" s="1"/>
  <c r="E13" i="24"/>
  <c r="F12" i="20" s="1"/>
  <c r="E168" i="24"/>
  <c r="F141" i="20" s="1"/>
  <c r="E159" i="24"/>
  <c r="F133" i="20" s="1"/>
  <c r="E151" i="24"/>
  <c r="E142" i="24"/>
  <c r="F117" i="20" s="1"/>
  <c r="E133" i="24"/>
  <c r="F109" i="20" s="1"/>
  <c r="E123" i="24"/>
  <c r="F101" i="20" s="1"/>
  <c r="E114" i="24"/>
  <c r="F93" i="20" s="1"/>
  <c r="F85" i="20"/>
  <c r="E97" i="24"/>
  <c r="F77" i="20" s="1"/>
  <c r="E88" i="24"/>
  <c r="F69" i="20" s="1"/>
  <c r="E79" i="24"/>
  <c r="F61" i="20" s="1"/>
  <c r="E66" i="24"/>
  <c r="F50" i="20" s="1"/>
  <c r="E55" i="24"/>
  <c r="F41" i="20" s="1"/>
  <c r="E43" i="24"/>
  <c r="E29" i="24"/>
  <c r="F24" i="20" s="1"/>
  <c r="E16" i="24"/>
  <c r="F15" i="20" s="1"/>
  <c r="E360" i="24"/>
  <c r="F312" i="20" s="1"/>
  <c r="E325" i="24"/>
  <c r="F280" i="20" s="1"/>
  <c r="E289" i="24"/>
  <c r="F248" i="20" s="1"/>
  <c r="F216" i="20"/>
  <c r="E218" i="24"/>
  <c r="F184" i="20" s="1"/>
  <c r="E180" i="24"/>
  <c r="F152" i="20" s="1"/>
  <c r="E335" i="24"/>
  <c r="F289" i="20" s="1"/>
  <c r="E299" i="24"/>
  <c r="F257" i="20" s="1"/>
  <c r="E263" i="24"/>
  <c r="F225" i="20" s="1"/>
  <c r="E227" i="24"/>
  <c r="F193" i="20" s="1"/>
  <c r="E191" i="24"/>
  <c r="F161" i="20" s="1"/>
  <c r="E156" i="24"/>
  <c r="F130" i="20" s="1"/>
  <c r="E120" i="24"/>
  <c r="F98" i="20" s="1"/>
  <c r="E33" i="24"/>
  <c r="F27" i="20" s="1"/>
  <c r="E157" i="24"/>
  <c r="F131" i="20" s="1"/>
  <c r="E121" i="24"/>
  <c r="F99" i="20" s="1"/>
  <c r="E86" i="24"/>
  <c r="F67" i="20" s="1"/>
  <c r="E40" i="24"/>
  <c r="F31" i="20" s="1"/>
  <c r="E262" i="24"/>
  <c r="F224" i="20" s="1"/>
  <c r="E130" i="24"/>
  <c r="F106" i="20" s="1"/>
  <c r="E131" i="24"/>
  <c r="F107" i="20" s="1"/>
  <c r="E352" i="24"/>
  <c r="F304" i="20" s="1"/>
  <c r="E315" i="24"/>
  <c r="F272" i="20" s="1"/>
  <c r="E280" i="24"/>
  <c r="F240" i="20" s="1"/>
  <c r="F208" i="20"/>
  <c r="E208" i="24"/>
  <c r="F176" i="20" s="1"/>
  <c r="E361" i="24"/>
  <c r="F313" i="20" s="1"/>
  <c r="E326" i="24"/>
  <c r="F281" i="20" s="1"/>
  <c r="E290" i="24"/>
  <c r="F249" i="20" s="1"/>
  <c r="E254" i="24"/>
  <c r="F217" i="20" s="1"/>
  <c r="E219" i="24"/>
  <c r="F185" i="20" s="1"/>
  <c r="E181" i="24"/>
  <c r="F153" i="20" s="1"/>
  <c r="E147" i="24"/>
  <c r="F122" i="20" s="1"/>
  <c r="E111" i="24"/>
  <c r="F90" i="20" s="1"/>
  <c r="E76" i="24"/>
  <c r="F58" i="20" s="1"/>
  <c r="E19" i="24"/>
  <c r="F18" i="20" s="1"/>
  <c r="E148" i="24"/>
  <c r="F123" i="20" s="1"/>
  <c r="E112" i="24"/>
  <c r="F91" i="20" s="1"/>
  <c r="E77" i="24"/>
  <c r="F59" i="20" s="1"/>
  <c r="E26" i="24"/>
  <c r="F22" i="20" s="1"/>
  <c r="E298" i="24"/>
  <c r="F256" i="20" s="1"/>
  <c r="F297" i="20"/>
  <c r="E271" i="24"/>
  <c r="F233" i="20" s="1"/>
  <c r="E200" i="24"/>
  <c r="F169" i="20" s="1"/>
  <c r="E166" i="24"/>
  <c r="F139" i="20" s="1"/>
  <c r="E52" i="24"/>
  <c r="F39" i="20" s="1"/>
  <c r="F296" i="20"/>
  <c r="E270" i="24"/>
  <c r="F232" i="20" s="1"/>
  <c r="E235" i="24"/>
  <c r="F200" i="20" s="1"/>
  <c r="F168" i="20"/>
  <c r="E353" i="24"/>
  <c r="E316" i="24"/>
  <c r="F273" i="20" s="1"/>
  <c r="E281" i="24"/>
  <c r="F241" i="20" s="1"/>
  <c r="E245" i="24"/>
  <c r="F209" i="20" s="1"/>
  <c r="E209" i="24"/>
  <c r="F177" i="20" s="1"/>
  <c r="F146" i="20"/>
  <c r="E139" i="24"/>
  <c r="F114" i="20" s="1"/>
  <c r="E102" i="24"/>
  <c r="F82" i="20" s="1"/>
  <c r="E60" i="24"/>
  <c r="E175" i="24"/>
  <c r="F147" i="20" s="1"/>
  <c r="E140" i="24"/>
  <c r="F115" i="20" s="1"/>
  <c r="E103" i="24"/>
  <c r="F83" i="20" s="1"/>
  <c r="E64" i="24"/>
  <c r="E14" i="24"/>
  <c r="F13" i="20" s="1"/>
  <c r="F288" i="20"/>
  <c r="E226" i="24"/>
  <c r="F192" i="20" s="1"/>
  <c r="E190" i="24"/>
  <c r="F160" i="20" s="1"/>
  <c r="F265" i="20"/>
  <c r="E236" i="24"/>
  <c r="F201" i="20" s="1"/>
  <c r="E165" i="24"/>
  <c r="F138" i="20" s="1"/>
  <c r="E47" i="24"/>
  <c r="F75" i="20"/>
  <c r="L34" i="18"/>
  <c r="F5" i="57"/>
  <c r="D5" i="20"/>
  <c r="C4" i="18"/>
  <c r="S8" i="18"/>
  <c r="AH33" i="64"/>
  <c r="AH33" i="68"/>
  <c r="AH33" i="67"/>
  <c r="AH33" i="66"/>
  <c r="AT65" i="66"/>
  <c r="AT65" i="67"/>
  <c r="AT79" i="64"/>
  <c r="AT65" i="68"/>
  <c r="D69" i="24"/>
  <c r="D61" i="24"/>
  <c r="D362" i="24"/>
  <c r="C23" i="18"/>
  <c r="BD1" i="41"/>
  <c r="BD1" i="64" s="1"/>
  <c r="E2" i="24"/>
  <c r="O5" i="20"/>
  <c r="F11" i="57"/>
  <c r="AB8" i="18"/>
  <c r="C42" i="18"/>
  <c r="AO64" i="66"/>
  <c r="AO64" i="68"/>
  <c r="AO64" i="67"/>
  <c r="AO78" i="64"/>
  <c r="AP75" i="64"/>
  <c r="AP61" i="66"/>
  <c r="AP61" i="67"/>
  <c r="AP61" i="68"/>
  <c r="AO61" i="68"/>
  <c r="AO61" i="67"/>
  <c r="AO61" i="66"/>
  <c r="AO75" i="64"/>
  <c r="AV64" i="68"/>
  <c r="AV64" i="66"/>
  <c r="AV64" i="67"/>
  <c r="AV78" i="64"/>
  <c r="AX65" i="68"/>
  <c r="AX79" i="64"/>
  <c r="AX65" i="67"/>
  <c r="AX65" i="66"/>
  <c r="E74" i="24"/>
  <c r="F56" i="20" s="1"/>
  <c r="E72" i="24"/>
  <c r="F54" i="20" s="1"/>
  <c r="E73" i="24"/>
  <c r="N33" i="66"/>
  <c r="N33" i="64"/>
  <c r="N33" i="67"/>
  <c r="N33" i="68"/>
  <c r="AR62" i="66"/>
  <c r="AR76" i="64"/>
  <c r="AR62" i="67"/>
  <c r="AR62" i="68"/>
  <c r="AQ79" i="64"/>
  <c r="AQ65" i="66"/>
  <c r="AQ65" i="67"/>
  <c r="AQ65" i="68"/>
  <c r="AS64" i="66"/>
  <c r="AS64" i="68"/>
  <c r="AS64" i="67"/>
  <c r="AS78" i="64"/>
  <c r="R33" i="68"/>
  <c r="R33" i="66"/>
  <c r="R33" i="64"/>
  <c r="R33" i="67"/>
  <c r="AV65" i="68"/>
  <c r="AV65" i="66"/>
  <c r="AV65" i="67"/>
  <c r="AV79" i="64"/>
  <c r="AJ37" i="41"/>
  <c r="AJ41" i="41"/>
  <c r="AJ39" i="41"/>
  <c r="AJ53" i="41"/>
  <c r="AJ43" i="41"/>
  <c r="L7" i="67"/>
  <c r="T28" i="67" s="1"/>
  <c r="AA65" i="41"/>
  <c r="AA51" i="68" s="1"/>
  <c r="AE60" i="41"/>
  <c r="M21" i="41"/>
  <c r="M21" i="66" s="1"/>
  <c r="O7" i="41"/>
  <c r="H60" i="41" s="1"/>
  <c r="AJ49" i="41"/>
  <c r="K60" i="41"/>
  <c r="U13" i="41"/>
  <c r="U13" i="67" s="1"/>
  <c r="AJ45" i="41"/>
  <c r="AJ47" i="41"/>
  <c r="Z21" i="41"/>
  <c r="Z21" i="66" s="1"/>
  <c r="L7" i="68"/>
  <c r="AY47" i="68" s="1"/>
  <c r="AY61" i="41"/>
  <c r="U60" i="41"/>
  <c r="E60" i="41"/>
  <c r="L7" i="66"/>
  <c r="U46" i="66" s="1"/>
  <c r="Z60" i="41"/>
  <c r="AJ51" i="41"/>
  <c r="L7" i="64"/>
  <c r="AJ49" i="64" s="1"/>
  <c r="AJ35" i="41"/>
  <c r="AJ58" i="41"/>
  <c r="AJ44" i="67" s="1"/>
  <c r="T28" i="41"/>
  <c r="AF13" i="41"/>
  <c r="AF13" i="68" s="1"/>
  <c r="O60" i="41"/>
  <c r="J13" i="41"/>
  <c r="J13" i="68" s="1"/>
  <c r="AM21" i="41"/>
  <c r="AM21" i="64" s="1"/>
  <c r="AR61" i="68"/>
  <c r="AR61" i="66"/>
  <c r="AR61" i="67"/>
  <c r="AR75" i="64"/>
  <c r="AU61" i="66"/>
  <c r="AU61" i="67"/>
  <c r="AU61" i="68"/>
  <c r="AU75" i="64"/>
  <c r="W74" i="41"/>
  <c r="C22" i="18"/>
  <c r="Y41" i="18"/>
  <c r="C65" i="8"/>
  <c r="F73" i="8" s="1"/>
  <c r="AQ64" i="68"/>
  <c r="AQ64" i="67"/>
  <c r="AQ64" i="66"/>
  <c r="AQ78" i="64"/>
  <c r="AP65" i="66"/>
  <c r="AP79" i="64"/>
  <c r="AP65" i="67"/>
  <c r="AP65" i="68"/>
  <c r="AG83" i="64"/>
  <c r="AG69" i="68"/>
  <c r="AG69" i="66"/>
  <c r="AG69" i="67"/>
  <c r="BE75" i="41"/>
  <c r="BE61" i="66" s="1"/>
  <c r="AN64" i="66"/>
  <c r="AN64" i="68"/>
  <c r="AN64" i="67"/>
  <c r="AN78" i="64"/>
  <c r="P33" i="66"/>
  <c r="P33" i="67"/>
  <c r="P33" i="64"/>
  <c r="P33" i="68"/>
  <c r="AL65" i="67"/>
  <c r="AL79" i="64"/>
  <c r="AL65" i="68"/>
  <c r="AL65" i="66"/>
  <c r="E63" i="66"/>
  <c r="E63" i="68"/>
  <c r="E77" i="64"/>
  <c r="E63" i="67"/>
  <c r="D38" i="24"/>
  <c r="C24" i="24"/>
  <c r="C57" i="24" s="1"/>
  <c r="AM62" i="67"/>
  <c r="AM62" i="66"/>
  <c r="AM62" i="68"/>
  <c r="AM76" i="64"/>
  <c r="V33" i="68"/>
  <c r="V33" i="64"/>
  <c r="V33" i="67"/>
  <c r="V33" i="66"/>
  <c r="AT62" i="67"/>
  <c r="AT62" i="66"/>
  <c r="AT76" i="64"/>
  <c r="AT62" i="68"/>
  <c r="C41" i="18"/>
  <c r="X5" i="18"/>
  <c r="C37" i="8"/>
  <c r="L32" i="18"/>
  <c r="AL61" i="67"/>
  <c r="AL61" i="68"/>
  <c r="AL75" i="64"/>
  <c r="AL61" i="66"/>
  <c r="E59" i="66"/>
  <c r="E73" i="64"/>
  <c r="E59" i="67"/>
  <c r="E59" i="68"/>
  <c r="AW65" i="66"/>
  <c r="AW79" i="64"/>
  <c r="AW65" i="68"/>
  <c r="AW65" i="67"/>
  <c r="AT61" i="68"/>
  <c r="AT75" i="64"/>
  <c r="AT61" i="66"/>
  <c r="AT61" i="67"/>
  <c r="AU64" i="67"/>
  <c r="AU64" i="66"/>
  <c r="AU64" i="68"/>
  <c r="AU78" i="64"/>
  <c r="AC33" i="66"/>
  <c r="AC33" i="68"/>
  <c r="AC33" i="67"/>
  <c r="AC33" i="64"/>
  <c r="E61" i="66"/>
  <c r="E61" i="68"/>
  <c r="E75" i="64"/>
  <c r="E61" i="67"/>
  <c r="AW61" i="66"/>
  <c r="AW61" i="67"/>
  <c r="AW61" i="68"/>
  <c r="AW75" i="64"/>
  <c r="L33" i="67"/>
  <c r="L33" i="66"/>
  <c r="L33" i="64"/>
  <c r="L33" i="68"/>
  <c r="AL39" i="41"/>
  <c r="AL37" i="41"/>
  <c r="AL51" i="41"/>
  <c r="AL53" i="41"/>
  <c r="AB21" i="41"/>
  <c r="AB21" i="66" s="1"/>
  <c r="N7" i="68"/>
  <c r="AL35" i="68" s="1"/>
  <c r="AL58" i="41"/>
  <c r="AL44" i="67" s="1"/>
  <c r="W60" i="41"/>
  <c r="N7" i="66"/>
  <c r="AL35" i="66" s="1"/>
  <c r="AL47" i="41"/>
  <c r="V28" i="41"/>
  <c r="L13" i="41"/>
  <c r="L13" i="66" s="1"/>
  <c r="AL49" i="41"/>
  <c r="AC65" i="41"/>
  <c r="AC51" i="67" s="1"/>
  <c r="N7" i="67"/>
  <c r="AL35" i="67" s="1"/>
  <c r="W13" i="41"/>
  <c r="W13" i="67" s="1"/>
  <c r="AL35" i="41"/>
  <c r="N7" i="64"/>
  <c r="AL35" i="64" s="1"/>
  <c r="G60" i="41"/>
  <c r="BA61" i="41"/>
  <c r="AB60" i="41"/>
  <c r="AL45" i="41"/>
  <c r="AL43" i="41"/>
  <c r="AG60" i="41"/>
  <c r="M60" i="41"/>
  <c r="AO21" i="41"/>
  <c r="AO21" i="67" s="1"/>
  <c r="O21" i="41"/>
  <c r="O21" i="68" s="1"/>
  <c r="Q60" i="41"/>
  <c r="AL41" i="41"/>
  <c r="AH13" i="41"/>
  <c r="AH13" i="64" s="1"/>
  <c r="AT33" i="64"/>
  <c r="AT33" i="66"/>
  <c r="AT33" i="68"/>
  <c r="AT33" i="67"/>
  <c r="AI39" i="41"/>
  <c r="S10" i="20"/>
  <c r="A13" i="57"/>
  <c r="D13" i="8"/>
  <c r="AB10" i="20"/>
  <c r="I10" i="20"/>
  <c r="F9" i="20"/>
  <c r="E2" i="57"/>
  <c r="AB3" i="20"/>
  <c r="A1" i="48"/>
  <c r="G9" i="20"/>
  <c r="A5" i="57"/>
  <c r="B67" i="8"/>
  <c r="Q10" i="20"/>
  <c r="A7" i="57"/>
  <c r="C297" i="69"/>
  <c r="C244" i="69"/>
  <c r="C277" i="69"/>
  <c r="C252" i="69"/>
  <c r="C312" i="69"/>
  <c r="C341" i="69"/>
  <c r="C240" i="69"/>
  <c r="C300" i="69"/>
  <c r="C274" i="69"/>
  <c r="C295" i="69"/>
  <c r="C333" i="69"/>
  <c r="C316" i="69"/>
  <c r="C332" i="69"/>
  <c r="C296" i="69"/>
  <c r="C268" i="69"/>
  <c r="C346" i="69"/>
  <c r="C271" i="69"/>
  <c r="C339" i="69"/>
  <c r="C282" i="69"/>
  <c r="C241" i="69"/>
  <c r="C347" i="69"/>
  <c r="C323" i="69"/>
  <c r="C257" i="69"/>
  <c r="C303" i="69"/>
  <c r="C324" i="69"/>
  <c r="C354" i="69"/>
  <c r="C353" i="69"/>
  <c r="C242" i="69"/>
  <c r="C342" i="69"/>
  <c r="C278" i="69"/>
  <c r="C250" i="69"/>
  <c r="C344" i="69"/>
  <c r="C288" i="69"/>
  <c r="C246" i="69"/>
  <c r="C352" i="69"/>
  <c r="C270" i="69"/>
  <c r="C272" i="69"/>
  <c r="C255" i="69"/>
  <c r="C279" i="69"/>
  <c r="C302" i="69"/>
  <c r="C254" i="69"/>
  <c r="C340" i="69"/>
  <c r="C299" i="69"/>
  <c r="C314" i="69"/>
  <c r="C322" i="69"/>
  <c r="C320" i="69"/>
  <c r="C281" i="69"/>
  <c r="C331" i="69"/>
  <c r="C304" i="69"/>
  <c r="C311" i="69"/>
  <c r="C298" i="69"/>
  <c r="C292" i="69"/>
  <c r="C238" i="69"/>
  <c r="C334" i="69"/>
  <c r="C261" i="69"/>
  <c r="C321" i="69"/>
  <c r="C330" i="69"/>
  <c r="C285" i="69"/>
  <c r="C309" i="69"/>
  <c r="C249" i="69"/>
  <c r="C273" i="69"/>
  <c r="C275" i="69"/>
  <c r="C319" i="69"/>
  <c r="C258" i="69"/>
  <c r="C247" i="69"/>
  <c r="C305" i="69"/>
  <c r="C291" i="69"/>
  <c r="C308" i="69"/>
  <c r="C253" i="69"/>
  <c r="C317" i="69"/>
  <c r="C315" i="69"/>
  <c r="C237" i="69"/>
  <c r="C266" i="69"/>
  <c r="C259" i="69"/>
  <c r="C260" i="69"/>
  <c r="C345" i="69"/>
  <c r="C276" i="69"/>
  <c r="C343" i="69"/>
  <c r="C328" i="69"/>
  <c r="C239" i="69"/>
  <c r="C327" i="69"/>
  <c r="C318" i="69"/>
  <c r="C267" i="69"/>
  <c r="C290" i="69"/>
  <c r="C245" i="69"/>
  <c r="C310" i="69"/>
  <c r="C356" i="69"/>
  <c r="C287" i="69"/>
  <c r="C294" i="69"/>
  <c r="C243" i="69"/>
  <c r="C338" i="69"/>
  <c r="C289" i="69"/>
  <c r="C335" i="69"/>
  <c r="C248" i="69"/>
  <c r="C351" i="69"/>
  <c r="C325" i="69"/>
  <c r="C301" i="69"/>
  <c r="C286" i="69"/>
  <c r="C349" i="69"/>
  <c r="C283" i="69"/>
  <c r="C313" i="69"/>
  <c r="C280" i="69"/>
  <c r="C336" i="69"/>
  <c r="C307" i="69"/>
  <c r="C355" i="69"/>
  <c r="C256" i="69"/>
  <c r="C337" i="69"/>
  <c r="C236" i="69"/>
  <c r="C284" i="69"/>
  <c r="C264" i="69"/>
  <c r="C329" i="69"/>
  <c r="C251" i="69"/>
  <c r="C269" i="69"/>
  <c r="C262" i="69"/>
  <c r="C293" i="69"/>
  <c r="C348" i="69"/>
  <c r="C326" i="69"/>
  <c r="C350" i="69"/>
  <c r="C306" i="69"/>
  <c r="C263" i="69"/>
  <c r="C265" i="69"/>
  <c r="F8" i="24" l="1"/>
  <c r="L21" i="41"/>
  <c r="F22" i="41" s="1"/>
  <c r="AI41" i="41"/>
  <c r="AA46" i="67"/>
  <c r="AZ47" i="66"/>
  <c r="AK53" i="64"/>
  <c r="AB51" i="67"/>
  <c r="AB65" i="64"/>
  <c r="D8" i="41"/>
  <c r="AI53" i="41"/>
  <c r="AL21" i="41"/>
  <c r="AL21" i="67" s="1"/>
  <c r="AI51" i="41"/>
  <c r="AX61" i="41"/>
  <c r="AI37" i="41"/>
  <c r="V46" i="67"/>
  <c r="AK44" i="67"/>
  <c r="V13" i="66"/>
  <c r="AA21" i="66"/>
  <c r="AK35" i="64"/>
  <c r="AA21" i="68"/>
  <c r="AK43" i="64"/>
  <c r="D14" i="8"/>
  <c r="D15" i="8"/>
  <c r="F17" i="8"/>
  <c r="X6" i="18"/>
  <c r="D66" i="8"/>
  <c r="G73" i="8" s="1"/>
  <c r="AK35" i="67"/>
  <c r="L46" i="67"/>
  <c r="S28" i="41"/>
  <c r="M29" i="41" s="1"/>
  <c r="AA21" i="67"/>
  <c r="K7" i="64"/>
  <c r="E8" i="64" s="1"/>
  <c r="AF60" i="64"/>
  <c r="O46" i="67"/>
  <c r="AB51" i="68"/>
  <c r="I8" i="41"/>
  <c r="E94" i="41" s="1"/>
  <c r="K7" i="68"/>
  <c r="E8" i="68" s="1"/>
  <c r="F46" i="67"/>
  <c r="V13" i="67"/>
  <c r="AI58" i="41"/>
  <c r="AI44" i="67" s="1"/>
  <c r="V60" i="64"/>
  <c r="U28" i="67"/>
  <c r="U28" i="64"/>
  <c r="V13" i="64"/>
  <c r="H8" i="41"/>
  <c r="E93" i="41" s="1"/>
  <c r="I13" i="41"/>
  <c r="H14" i="41" s="1"/>
  <c r="P60" i="64"/>
  <c r="P46" i="67"/>
  <c r="AF46" i="67"/>
  <c r="AE13" i="41"/>
  <c r="AE13" i="68" s="1"/>
  <c r="K13" i="66"/>
  <c r="AK41" i="64"/>
  <c r="N21" i="66"/>
  <c r="AZ47" i="68"/>
  <c r="N21" i="67"/>
  <c r="AK49" i="64"/>
  <c r="L46" i="68"/>
  <c r="AK58" i="64"/>
  <c r="AK44" i="66"/>
  <c r="AK35" i="66"/>
  <c r="AN21" i="67"/>
  <c r="AN21" i="68"/>
  <c r="L46" i="66"/>
  <c r="E65" i="68"/>
  <c r="X13" i="41"/>
  <c r="X13" i="64" s="1"/>
  <c r="AF46" i="66"/>
  <c r="E79" i="64"/>
  <c r="V46" i="66"/>
  <c r="O7" i="68"/>
  <c r="BB47" i="68" s="1"/>
  <c r="F46" i="66"/>
  <c r="E65" i="67"/>
  <c r="AA46" i="66"/>
  <c r="AN21" i="66"/>
  <c r="P46" i="66"/>
  <c r="J13" i="64"/>
  <c r="AM21" i="68"/>
  <c r="AJ35" i="66"/>
  <c r="N12" i="18"/>
  <c r="O7" i="64"/>
  <c r="BB61" i="64" s="1"/>
  <c r="BB61" i="41"/>
  <c r="AJ44" i="66"/>
  <c r="AC21" i="41"/>
  <c r="AC21" i="64" s="1"/>
  <c r="AI13" i="41"/>
  <c r="AI13" i="67" s="1"/>
  <c r="AH13" i="66"/>
  <c r="Z46" i="66"/>
  <c r="Z46" i="67"/>
  <c r="W28" i="41"/>
  <c r="AL44" i="68"/>
  <c r="AP21" i="41"/>
  <c r="AP21" i="66" s="1"/>
  <c r="U46" i="68"/>
  <c r="U13" i="64"/>
  <c r="K46" i="66"/>
  <c r="BE61" i="67"/>
  <c r="T28" i="68"/>
  <c r="O46" i="68"/>
  <c r="M21" i="67"/>
  <c r="AJ35" i="68"/>
  <c r="AY47" i="66"/>
  <c r="AE46" i="66"/>
  <c r="AO21" i="64"/>
  <c r="M21" i="68"/>
  <c r="AC51" i="68"/>
  <c r="M21" i="64"/>
  <c r="AE46" i="68"/>
  <c r="E46" i="68"/>
  <c r="Z46" i="68"/>
  <c r="U13" i="68"/>
  <c r="K46" i="68"/>
  <c r="BE75" i="64"/>
  <c r="O46" i="66"/>
  <c r="AM53" i="41"/>
  <c r="P21" i="41"/>
  <c r="P21" i="64" s="1"/>
  <c r="AM35" i="41"/>
  <c r="E46" i="67"/>
  <c r="AY47" i="67"/>
  <c r="AH60" i="41"/>
  <c r="AJ35" i="67"/>
  <c r="AM47" i="41"/>
  <c r="AM51" i="41"/>
  <c r="AM41" i="41"/>
  <c r="J13" i="67"/>
  <c r="AA65" i="64"/>
  <c r="AA51" i="66"/>
  <c r="O21" i="67"/>
  <c r="U28" i="68"/>
  <c r="D40" i="20"/>
  <c r="C36" i="24"/>
  <c r="AK51" i="64"/>
  <c r="AA51" i="67"/>
  <c r="AK47" i="64"/>
  <c r="AZ61" i="64"/>
  <c r="W13" i="66"/>
  <c r="N21" i="64"/>
  <c r="AL49" i="64" s="1"/>
  <c r="AI49" i="41"/>
  <c r="G8" i="41"/>
  <c r="E8" i="41"/>
  <c r="K7" i="67"/>
  <c r="AI35" i="67" s="1"/>
  <c r="AG38" i="67" s="1"/>
  <c r="BE38" i="67" s="1"/>
  <c r="K13" i="64"/>
  <c r="AI47" i="41"/>
  <c r="J8" i="41"/>
  <c r="P46" i="68"/>
  <c r="V46" i="68"/>
  <c r="Y21" i="41"/>
  <c r="Y21" i="64" s="1"/>
  <c r="V22" i="64" s="1"/>
  <c r="AI35" i="41"/>
  <c r="X191" i="41" s="1"/>
  <c r="AK35" i="68"/>
  <c r="L60" i="64"/>
  <c r="L13" i="68"/>
  <c r="C33" i="24"/>
  <c r="L13" i="64"/>
  <c r="AF46" i="68"/>
  <c r="F46" i="68"/>
  <c r="AM21" i="66"/>
  <c r="AM21" i="67"/>
  <c r="C32" i="24"/>
  <c r="AI43" i="41"/>
  <c r="F8" i="41"/>
  <c r="T13" i="41"/>
  <c r="Q14" i="41" s="1"/>
  <c r="K7" i="66"/>
  <c r="D8" i="66" s="1"/>
  <c r="K13" i="68"/>
  <c r="AI45" i="41"/>
  <c r="F60" i="64"/>
  <c r="AA60" i="64"/>
  <c r="AM45" i="41"/>
  <c r="AC60" i="41"/>
  <c r="M13" i="41"/>
  <c r="M13" i="64" s="1"/>
  <c r="U46" i="67"/>
  <c r="AE46" i="67"/>
  <c r="AJ44" i="68"/>
  <c r="AM58" i="41"/>
  <c r="AM58" i="64" s="1"/>
  <c r="N60" i="41"/>
  <c r="O21" i="66"/>
  <c r="O7" i="67"/>
  <c r="BB47" i="67" s="1"/>
  <c r="J13" i="66"/>
  <c r="AJ58" i="64"/>
  <c r="Z48" i="41"/>
  <c r="Z54" i="41"/>
  <c r="R52" i="41"/>
  <c r="J44" i="41"/>
  <c r="D44" i="41"/>
  <c r="X54" i="41"/>
  <c r="M48" i="41"/>
  <c r="BA48" i="41" s="1"/>
  <c r="R42" i="41"/>
  <c r="Z46" i="41"/>
  <c r="M54" i="41"/>
  <c r="BA54" i="41" s="1"/>
  <c r="AF54" i="41"/>
  <c r="BD54" i="41" s="1"/>
  <c r="U48" i="41"/>
  <c r="J46" i="41"/>
  <c r="U54" i="41"/>
  <c r="T52" i="41"/>
  <c r="E48" i="41"/>
  <c r="AX48" i="41" s="1"/>
  <c r="R50" i="41"/>
  <c r="F50" i="41"/>
  <c r="AY50" i="41" s="1"/>
  <c r="G50" i="41"/>
  <c r="AZ50" i="41" s="1"/>
  <c r="F54" i="41"/>
  <c r="AY54" i="41" s="1"/>
  <c r="AC54" i="41"/>
  <c r="R48" i="41"/>
  <c r="G46" i="41"/>
  <c r="AZ46" i="41" s="1"/>
  <c r="AB42" i="41"/>
  <c r="W48" i="41"/>
  <c r="E54" i="41"/>
  <c r="AX54" i="41" s="1"/>
  <c r="AC46" i="41"/>
  <c r="R46" i="41"/>
  <c r="G48" i="41"/>
  <c r="AZ48" i="41" s="1"/>
  <c r="J36" i="41"/>
  <c r="X36" i="41"/>
  <c r="U36" i="41"/>
  <c r="Z36" i="41"/>
  <c r="R40" i="41"/>
  <c r="O7" i="66"/>
  <c r="BB47" i="66" s="1"/>
  <c r="X60" i="41"/>
  <c r="R60" i="41"/>
  <c r="AD65" i="41"/>
  <c r="AD51" i="66" s="1"/>
  <c r="AM49" i="41"/>
  <c r="K46" i="67"/>
  <c r="AM43" i="41"/>
  <c r="E36" i="41"/>
  <c r="AX36" i="41" s="1"/>
  <c r="H48" i="41"/>
  <c r="H54" i="41"/>
  <c r="M50" i="41"/>
  <c r="BA50" i="41" s="1"/>
  <c r="E50" i="41"/>
  <c r="AX50" i="41" s="1"/>
  <c r="AE48" i="41"/>
  <c r="BC48" i="41" s="1"/>
  <c r="T42" i="41"/>
  <c r="G54" i="41"/>
  <c r="AZ54" i="41" s="1"/>
  <c r="AE54" i="41"/>
  <c r="BC54" i="41" s="1"/>
  <c r="T48" i="41"/>
  <c r="H46" i="41"/>
  <c r="AA46" i="41"/>
  <c r="N54" i="41"/>
  <c r="BB54" i="41" s="1"/>
  <c r="M42" i="41"/>
  <c r="BA42" i="41" s="1"/>
  <c r="U46" i="41"/>
  <c r="E52" i="41"/>
  <c r="AX52" i="41" s="1"/>
  <c r="T50" i="41"/>
  <c r="U42" i="41"/>
  <c r="V42" i="41"/>
  <c r="W54" i="41"/>
  <c r="D52" i="41"/>
  <c r="X46" i="41"/>
  <c r="L54" i="41"/>
  <c r="H50" i="41"/>
  <c r="P50" i="41"/>
  <c r="AG46" i="41"/>
  <c r="BE46" i="41" s="1"/>
  <c r="L44" i="41"/>
  <c r="F52" i="41"/>
  <c r="AY52" i="41" s="1"/>
  <c r="Z44" i="41"/>
  <c r="E46" i="41"/>
  <c r="AX46" i="41" s="1"/>
  <c r="N36" i="41"/>
  <c r="BB36" i="41" s="1"/>
  <c r="T38" i="41"/>
  <c r="AE38" i="41"/>
  <c r="BC38" i="41" s="1"/>
  <c r="V40" i="41"/>
  <c r="AO21" i="66"/>
  <c r="BE61" i="68"/>
  <c r="AC65" i="64"/>
  <c r="E46" i="66"/>
  <c r="U13" i="66"/>
  <c r="AH13" i="67"/>
  <c r="AH13" i="68"/>
  <c r="AC51" i="66"/>
  <c r="T28" i="66"/>
  <c r="AG50" i="41"/>
  <c r="BE50" i="41" s="1"/>
  <c r="V44" i="41"/>
  <c r="K42" i="41"/>
  <c r="AC42" i="41"/>
  <c r="Q50" i="41"/>
  <c r="F48" i="41"/>
  <c r="AY48" i="41" s="1"/>
  <c r="AF52" i="41"/>
  <c r="BD52" i="41" s="1"/>
  <c r="AA44" i="41"/>
  <c r="AF42" i="41"/>
  <c r="BD42" i="41" s="1"/>
  <c r="AF48" i="41"/>
  <c r="BD48" i="41" s="1"/>
  <c r="X50" i="41"/>
  <c r="AH54" i="41"/>
  <c r="W52" i="41"/>
  <c r="L46" i="41"/>
  <c r="H42" i="41"/>
  <c r="X44" i="41"/>
  <c r="L52" i="41"/>
  <c r="AE52" i="41"/>
  <c r="BC52" i="41" s="1"/>
  <c r="T46" i="41"/>
  <c r="H44" i="41"/>
  <c r="N44" i="41"/>
  <c r="BB44" i="41" s="1"/>
  <c r="AA52" i="41"/>
  <c r="AF36" i="41"/>
  <c r="BD36" i="41" s="1"/>
  <c r="AG36" i="41"/>
  <c r="BE36" i="41" s="1"/>
  <c r="F40" i="41"/>
  <c r="AY40" i="41" s="1"/>
  <c r="W40" i="41"/>
  <c r="T36" i="41"/>
  <c r="AB36" i="41"/>
  <c r="R38" i="41"/>
  <c r="G40" i="41"/>
  <c r="AZ40" i="41" s="1"/>
  <c r="G36" i="41"/>
  <c r="AZ36" i="41" s="1"/>
  <c r="P40" i="41"/>
  <c r="F38" i="41"/>
  <c r="AY38" i="41" s="1"/>
  <c r="E38" i="41"/>
  <c r="AX38" i="41" s="1"/>
  <c r="X40" i="41"/>
  <c r="W38" i="41"/>
  <c r="H40" i="41"/>
  <c r="J38" i="41"/>
  <c r="D40" i="41"/>
  <c r="AF38" i="41"/>
  <c r="BD38" i="41" s="1"/>
  <c r="R54" i="41"/>
  <c r="G52" i="41"/>
  <c r="AZ52" i="41" s="1"/>
  <c r="Z52" i="41"/>
  <c r="N46" i="41"/>
  <c r="BB46" i="41" s="1"/>
  <c r="AH48" i="41"/>
  <c r="P54" i="41"/>
  <c r="E44" i="41"/>
  <c r="AX44" i="41" s="1"/>
  <c r="W44" i="41"/>
  <c r="W50" i="41"/>
  <c r="M44" i="41"/>
  <c r="BA44" i="41" s="1"/>
  <c r="AF50" i="41"/>
  <c r="BD50" i="41" s="1"/>
  <c r="U44" i="41"/>
  <c r="J42" i="41"/>
  <c r="AG42" i="41"/>
  <c r="BE42" i="41" s="1"/>
  <c r="U50" i="41"/>
  <c r="J48" i="41"/>
  <c r="AB48" i="41"/>
  <c r="Q42" i="41"/>
  <c r="Z50" i="41"/>
  <c r="AB46" i="41"/>
  <c r="P46" i="41"/>
  <c r="F36" i="41"/>
  <c r="AY36" i="41" s="1"/>
  <c r="AH38" i="41"/>
  <c r="K36" i="41"/>
  <c r="AC40" i="41"/>
  <c r="M36" i="41"/>
  <c r="BA36" i="41" s="1"/>
  <c r="N40" i="41"/>
  <c r="BB40" i="41" s="1"/>
  <c r="L38" i="41"/>
  <c r="K40" i="41"/>
  <c r="AB40" i="41"/>
  <c r="AA40" i="41"/>
  <c r="P38" i="41"/>
  <c r="M40" i="41"/>
  <c r="BA40" i="41" s="1"/>
  <c r="V38" i="41"/>
  <c r="Z40" i="41"/>
  <c r="AG40" i="41"/>
  <c r="BE40" i="41" s="1"/>
  <c r="L36" i="41"/>
  <c r="P36" i="41"/>
  <c r="M46" i="41"/>
  <c r="BA46" i="41" s="1"/>
  <c r="AF46" i="41"/>
  <c r="BD46" i="41" s="1"/>
  <c r="T54" i="41"/>
  <c r="H52" i="41"/>
  <c r="Q48" i="41"/>
  <c r="K54" i="41"/>
  <c r="D54" i="41"/>
  <c r="F44" i="41"/>
  <c r="AY44" i="41" s="1"/>
  <c r="AG48" i="41"/>
  <c r="BE48" i="41" s="1"/>
  <c r="D42" i="41"/>
  <c r="AA42" i="41"/>
  <c r="N50" i="41"/>
  <c r="BB50" i="41" s="1"/>
  <c r="Z42" i="41"/>
  <c r="AA48" i="41"/>
  <c r="P42" i="41"/>
  <c r="AH42" i="41"/>
  <c r="V50" i="41"/>
  <c r="K48" i="41"/>
  <c r="AB54" i="41"/>
  <c r="N52" i="41"/>
  <c r="BB52" i="41" s="1"/>
  <c r="D48" i="41"/>
  <c r="AC38" i="41"/>
  <c r="U38" i="41"/>
  <c r="H36" i="41"/>
  <c r="Z38" i="41"/>
  <c r="L40" i="41"/>
  <c r="X38" i="41"/>
  <c r="AA38" i="41"/>
  <c r="AG38" i="41"/>
  <c r="BE38" i="41" s="1"/>
  <c r="W36" i="41"/>
  <c r="AH36" i="41"/>
  <c r="Q36" i="41"/>
  <c r="D36" i="41"/>
  <c r="AE36" i="41"/>
  <c r="BC36" i="41" s="1"/>
  <c r="AB38" i="41"/>
  <c r="K38" i="41"/>
  <c r="V36" i="41"/>
  <c r="R36" i="41"/>
  <c r="BA47" i="68"/>
  <c r="AO21" i="68"/>
  <c r="AE40" i="41"/>
  <c r="BC40" i="41" s="1"/>
  <c r="M38" i="41"/>
  <c r="BA38" i="41" s="1"/>
  <c r="AA36" i="41"/>
  <c r="D38" i="41"/>
  <c r="BA61" i="64"/>
  <c r="AC36" i="41"/>
  <c r="V52" i="41"/>
  <c r="V54" i="41"/>
  <c r="J40" i="41"/>
  <c r="N38" i="41"/>
  <c r="BB38" i="41" s="1"/>
  <c r="C47" i="24"/>
  <c r="C44" i="24"/>
  <c r="D27" i="20"/>
  <c r="D12" i="67"/>
  <c r="O12" i="67"/>
  <c r="D38" i="20"/>
  <c r="C41" i="24"/>
  <c r="D36" i="20"/>
  <c r="C52" i="24"/>
  <c r="D44" i="20"/>
  <c r="D29" i="20"/>
  <c r="D23" i="20"/>
  <c r="W13" i="68"/>
  <c r="C35" i="24"/>
  <c r="AL58" i="64"/>
  <c r="D28" i="20"/>
  <c r="C55" i="24"/>
  <c r="D34" i="20"/>
  <c r="D42" i="20"/>
  <c r="D41" i="20"/>
  <c r="O12" i="41"/>
  <c r="Q20" i="41" s="1"/>
  <c r="Q20" i="64" s="1"/>
  <c r="C60" i="24"/>
  <c r="C27" i="24"/>
  <c r="C53" i="24"/>
  <c r="C50" i="24"/>
  <c r="D25" i="20"/>
  <c r="L13" i="67"/>
  <c r="O12" i="68"/>
  <c r="O12" i="64"/>
  <c r="O12" i="66"/>
  <c r="D21" i="20"/>
  <c r="D32" i="20"/>
  <c r="W13" i="64"/>
  <c r="AY61" i="64"/>
  <c r="AB21" i="67"/>
  <c r="AJ35" i="64"/>
  <c r="AM39" i="41"/>
  <c r="F36" i="20"/>
  <c r="F48" i="20"/>
  <c r="F305" i="20"/>
  <c r="F264" i="20"/>
  <c r="F74" i="20"/>
  <c r="F66" i="20"/>
  <c r="F33" i="20"/>
  <c r="F29" i="20"/>
  <c r="F154" i="20"/>
  <c r="F315" i="20"/>
  <c r="F43" i="20"/>
  <c r="F40" i="20"/>
  <c r="F164" i="20"/>
  <c r="F196" i="20"/>
  <c r="F20" i="20"/>
  <c r="F16" i="20"/>
  <c r="F51" i="20"/>
  <c r="F215" i="20"/>
  <c r="F174" i="20"/>
  <c r="F206" i="20"/>
  <c r="F55" i="20"/>
  <c r="F44" i="20"/>
  <c r="Z60" i="64"/>
  <c r="K60" i="64"/>
  <c r="AB195" i="41"/>
  <c r="BA47" i="67"/>
  <c r="O21" i="64"/>
  <c r="AM49" i="64" s="1"/>
  <c r="AM37" i="41"/>
  <c r="F52" i="20"/>
  <c r="F14" i="20"/>
  <c r="F86" i="20"/>
  <c r="F65" i="20"/>
  <c r="F23" i="20"/>
  <c r="F254" i="20"/>
  <c r="AL44" i="66"/>
  <c r="F65" i="8"/>
  <c r="F125" i="20"/>
  <c r="F35" i="20"/>
  <c r="F32" i="20"/>
  <c r="F156" i="20"/>
  <c r="F175" i="20"/>
  <c r="H31" i="18"/>
  <c r="AJ43" i="64"/>
  <c r="Z21" i="64"/>
  <c r="Z21" i="68"/>
  <c r="AJ41" i="64"/>
  <c r="AJ45" i="64"/>
  <c r="AG13" i="68"/>
  <c r="AG13" i="66"/>
  <c r="BA47" i="66"/>
  <c r="AF13" i="66"/>
  <c r="C49" i="24"/>
  <c r="D37" i="20"/>
  <c r="D26" i="20"/>
  <c r="D12" i="68"/>
  <c r="C40" i="24"/>
  <c r="AB21" i="64"/>
  <c r="D31" i="20"/>
  <c r="AG13" i="64"/>
  <c r="BD1" i="66"/>
  <c r="BD1" i="68"/>
  <c r="AJ53" i="64"/>
  <c r="AF13" i="64"/>
  <c r="O60" i="64"/>
  <c r="U60" i="64"/>
  <c r="C43" i="24"/>
  <c r="D12" i="41"/>
  <c r="D20" i="41" s="1"/>
  <c r="D20" i="67" s="1"/>
  <c r="D33" i="20"/>
  <c r="D43" i="20"/>
  <c r="T28" i="64"/>
  <c r="D20" i="20"/>
  <c r="C46" i="24"/>
  <c r="AB21" i="68"/>
  <c r="BD1" i="67"/>
  <c r="C73" i="8"/>
  <c r="AJ51" i="64"/>
  <c r="AJ47" i="64"/>
  <c r="Z21" i="67"/>
  <c r="E60" i="64"/>
  <c r="AE60" i="64"/>
  <c r="AF13" i="67"/>
  <c r="D24" i="20"/>
  <c r="D22" i="20"/>
  <c r="D39" i="20"/>
  <c r="D35" i="20"/>
  <c r="D12" i="64"/>
  <c r="D12" i="66"/>
  <c r="C26" i="24"/>
  <c r="N36" i="67"/>
  <c r="BB36" i="67" s="1"/>
  <c r="U38" i="67"/>
  <c r="P38" i="67"/>
  <c r="AF36" i="67"/>
  <c r="BD36" i="67" s="1"/>
  <c r="W36" i="67"/>
  <c r="T38" i="67"/>
  <c r="F40" i="67"/>
  <c r="AY40" i="67" s="1"/>
  <c r="H36" i="67"/>
  <c r="V40" i="67"/>
  <c r="X36" i="67"/>
  <c r="N38" i="67"/>
  <c r="BB38" i="67" s="1"/>
  <c r="AC38" i="67"/>
  <c r="Z36" i="67"/>
  <c r="L36" i="67"/>
  <c r="R36" i="67"/>
  <c r="R40" i="67"/>
  <c r="K38" i="67"/>
  <c r="W66" i="41"/>
  <c r="E155" i="41" s="1"/>
  <c r="V66" i="41"/>
  <c r="Z65" i="64"/>
  <c r="Y66" i="64" s="1"/>
  <c r="Z51" i="68"/>
  <c r="V52" i="68" s="1"/>
  <c r="X38" i="67"/>
  <c r="F38" i="67"/>
  <c r="AY38" i="67" s="1"/>
  <c r="Z38" i="67"/>
  <c r="W38" i="67"/>
  <c r="E36" i="67"/>
  <c r="AX36" i="67" s="1"/>
  <c r="AH36" i="67"/>
  <c r="AF40" i="67"/>
  <c r="BD40" i="67" s="1"/>
  <c r="H40" i="67"/>
  <c r="AE38" i="67"/>
  <c r="X40" i="67"/>
  <c r="G38" i="67"/>
  <c r="AZ38" i="67" s="1"/>
  <c r="AA40" i="67"/>
  <c r="AB38" i="67"/>
  <c r="H38" i="67"/>
  <c r="AA36" i="67"/>
  <c r="G40" i="67"/>
  <c r="AZ40" i="67" s="1"/>
  <c r="M38" i="67"/>
  <c r="BA38" i="67" s="1"/>
  <c r="E38" i="67"/>
  <c r="AX38" i="67" s="1"/>
  <c r="M36" i="67"/>
  <c r="BA36" i="67" s="1"/>
  <c r="T40" i="67"/>
  <c r="AF38" i="67"/>
  <c r="BD38" i="67" s="1"/>
  <c r="AG36" i="67"/>
  <c r="BE36" i="67" s="1"/>
  <c r="W40" i="67"/>
  <c r="AB36" i="67"/>
  <c r="K40" i="67"/>
  <c r="J40" i="67"/>
  <c r="D38" i="67"/>
  <c r="P40" i="67"/>
  <c r="X66" i="41"/>
  <c r="E156" i="41" s="1"/>
  <c r="Z51" i="66"/>
  <c r="Y52" i="66" s="1"/>
  <c r="Z51" i="67"/>
  <c r="Y52" i="67" s="1"/>
  <c r="Y66" i="41"/>
  <c r="D22" i="41"/>
  <c r="J103" i="41" s="1"/>
  <c r="L21" i="66" l="1"/>
  <c r="I22" i="66" s="1"/>
  <c r="H22" i="41"/>
  <c r="AI44" i="66"/>
  <c r="AI43" i="64"/>
  <c r="J22" i="41"/>
  <c r="AI47" i="64"/>
  <c r="AI51" i="64"/>
  <c r="P29" i="41"/>
  <c r="E116" i="41" s="1"/>
  <c r="H8" i="68"/>
  <c r="E79" i="68" s="1"/>
  <c r="Y189" i="41"/>
  <c r="K22" i="41"/>
  <c r="J110" i="41" s="1"/>
  <c r="L21" i="68"/>
  <c r="G22" i="68" s="1"/>
  <c r="J92" i="68" s="1"/>
  <c r="G8" i="64"/>
  <c r="X189" i="41"/>
  <c r="L21" i="64"/>
  <c r="I22" i="64" s="1"/>
  <c r="L21" i="67"/>
  <c r="H22" i="67" s="1"/>
  <c r="I8" i="68"/>
  <c r="E80" i="68" s="1"/>
  <c r="AD65" i="64"/>
  <c r="AD51" i="68"/>
  <c r="H8" i="64"/>
  <c r="E93" i="64" s="1"/>
  <c r="AP21" i="64"/>
  <c r="I22" i="41"/>
  <c r="G22" i="41"/>
  <c r="J106" i="41" s="1"/>
  <c r="AI49" i="64"/>
  <c r="F8" i="64"/>
  <c r="AI44" i="68"/>
  <c r="E22" i="41"/>
  <c r="AX47" i="68"/>
  <c r="D8" i="68"/>
  <c r="S28" i="64"/>
  <c r="R29" i="64" s="1"/>
  <c r="I13" i="66"/>
  <c r="D14" i="66" s="1"/>
  <c r="S28" i="68"/>
  <c r="O29" i="68" s="1"/>
  <c r="E101" i="68" s="1"/>
  <c r="AC21" i="68"/>
  <c r="AC21" i="67"/>
  <c r="AE13" i="67"/>
  <c r="E14" i="41"/>
  <c r="J98" i="41" s="1"/>
  <c r="I13" i="68"/>
  <c r="H14" i="68" s="1"/>
  <c r="N29" i="41"/>
  <c r="X13" i="66"/>
  <c r="I13" i="67"/>
  <c r="D14" i="67" s="1"/>
  <c r="AE13" i="66"/>
  <c r="AA38" i="67"/>
  <c r="T179" i="67" s="1"/>
  <c r="AH40" i="67"/>
  <c r="E40" i="67"/>
  <c r="AX40" i="67" s="1"/>
  <c r="AX45" i="67" s="1"/>
  <c r="F36" i="67"/>
  <c r="AY36" i="67" s="1"/>
  <c r="AY45" i="67" s="1"/>
  <c r="AE40" i="67"/>
  <c r="BC40" i="67" s="1"/>
  <c r="J36" i="67"/>
  <c r="V36" i="67"/>
  <c r="AC36" i="67"/>
  <c r="S179" i="67" s="1"/>
  <c r="R38" i="67"/>
  <c r="R45" i="67" s="1"/>
  <c r="P36" i="67"/>
  <c r="Q36" i="67"/>
  <c r="AH38" i="67"/>
  <c r="T180" i="67" s="1"/>
  <c r="Z40" i="67"/>
  <c r="Z45" i="67" s="1"/>
  <c r="AE36" i="67"/>
  <c r="BC36" i="67" s="1"/>
  <c r="Q40" i="67"/>
  <c r="U177" i="67" s="1"/>
  <c r="L38" i="67"/>
  <c r="U36" i="67"/>
  <c r="AC40" i="67"/>
  <c r="G36" i="67"/>
  <c r="AZ36" i="67" s="1"/>
  <c r="AZ45" i="67" s="1"/>
  <c r="Q38" i="67"/>
  <c r="J38" i="67"/>
  <c r="D40" i="67"/>
  <c r="V38" i="67"/>
  <c r="T178" i="67" s="1"/>
  <c r="AB40" i="67"/>
  <c r="AB45" i="67" s="1"/>
  <c r="T13" i="66"/>
  <c r="Q14" i="66" s="1"/>
  <c r="AE13" i="64"/>
  <c r="G14" i="41"/>
  <c r="D36" i="67"/>
  <c r="N40" i="67"/>
  <c r="BB40" i="67" s="1"/>
  <c r="BB45" i="67" s="1"/>
  <c r="K36" i="67"/>
  <c r="K45" i="67" s="1"/>
  <c r="T36" i="67"/>
  <c r="T45" i="67" s="1"/>
  <c r="U40" i="67"/>
  <c r="U178" i="67" s="1"/>
  <c r="J8" i="68"/>
  <c r="AG40" i="67"/>
  <c r="BE40" i="67" s="1"/>
  <c r="BE45" i="67" s="1"/>
  <c r="M40" i="67"/>
  <c r="BA40" i="67" s="1"/>
  <c r="BA45" i="67" s="1"/>
  <c r="L40" i="67"/>
  <c r="AA195" i="41"/>
  <c r="AH40" i="41"/>
  <c r="L50" i="41"/>
  <c r="D50" i="41"/>
  <c r="AH44" i="41"/>
  <c r="AC52" i="41"/>
  <c r="AE50" i="41"/>
  <c r="BC50" i="41" s="1"/>
  <c r="G44" i="41"/>
  <c r="AZ44" i="41" s="1"/>
  <c r="E40" i="41"/>
  <c r="AX40" i="41" s="1"/>
  <c r="X42" i="41"/>
  <c r="E42" i="41"/>
  <c r="AX42" i="41" s="1"/>
  <c r="G38" i="41"/>
  <c r="AZ38" i="41" s="1"/>
  <c r="T195" i="41" s="1"/>
  <c r="Q54" i="41"/>
  <c r="AE42" i="41"/>
  <c r="BC42" i="41" s="1"/>
  <c r="AC48" i="41"/>
  <c r="K46" i="41"/>
  <c r="AC50" i="41"/>
  <c r="K44" i="41"/>
  <c r="J54" i="41"/>
  <c r="AF40" i="41"/>
  <c r="BD40" i="41" s="1"/>
  <c r="J50" i="41"/>
  <c r="P48" i="41"/>
  <c r="F42" i="41"/>
  <c r="AY42" i="41" s="1"/>
  <c r="P52" i="41"/>
  <c r="Q40" i="41"/>
  <c r="U191" i="41" s="1"/>
  <c r="P44" i="41"/>
  <c r="F46" i="41"/>
  <c r="AY46" i="41" s="1"/>
  <c r="N48" i="41"/>
  <c r="BB48" i="41" s="1"/>
  <c r="J52" i="41"/>
  <c r="AG54" i="41"/>
  <c r="BE54" i="41" s="1"/>
  <c r="AE44" i="41"/>
  <c r="BC44" i="41" s="1"/>
  <c r="N42" i="41"/>
  <c r="BB42" i="41" s="1"/>
  <c r="AA54" i="41"/>
  <c r="K50" i="41"/>
  <c r="V46" i="41"/>
  <c r="T40" i="41"/>
  <c r="W46" i="41"/>
  <c r="U52" i="41"/>
  <c r="Q52" i="41"/>
  <c r="V48" i="41"/>
  <c r="Q44" i="41"/>
  <c r="AB44" i="41"/>
  <c r="AH52" i="41"/>
  <c r="AF44" i="41"/>
  <c r="BD44" i="41" s="1"/>
  <c r="H38" i="41"/>
  <c r="H59" i="41" s="1"/>
  <c r="L48" i="41"/>
  <c r="L42" i="41"/>
  <c r="AA50" i="41"/>
  <c r="AC44" i="41"/>
  <c r="G42" i="41"/>
  <c r="AZ42" i="41" s="1"/>
  <c r="W42" i="41"/>
  <c r="AG52" i="41"/>
  <c r="BE52" i="41" s="1"/>
  <c r="Q46" i="41"/>
  <c r="M52" i="41"/>
  <c r="BA52" i="41" s="1"/>
  <c r="BA59" i="41" s="1"/>
  <c r="AH50" i="41"/>
  <c r="AG44" i="41"/>
  <c r="BE44" i="41" s="1"/>
  <c r="K52" i="41"/>
  <c r="AB50" i="41"/>
  <c r="D46" i="41"/>
  <c r="AH46" i="41"/>
  <c r="U40" i="41"/>
  <c r="X52" i="41"/>
  <c r="AB52" i="41"/>
  <c r="R44" i="41"/>
  <c r="R59" i="41" s="1"/>
  <c r="T44" i="41"/>
  <c r="AE46" i="41"/>
  <c r="BC46" i="41" s="1"/>
  <c r="X48" i="41"/>
  <c r="M13" i="66"/>
  <c r="AC21" i="66"/>
  <c r="G65" i="8"/>
  <c r="Z193" i="41"/>
  <c r="M13" i="68"/>
  <c r="AI35" i="68"/>
  <c r="K8" i="41"/>
  <c r="Y21" i="67"/>
  <c r="S22" i="67" s="1"/>
  <c r="T22" i="64"/>
  <c r="K106" i="64" s="1"/>
  <c r="R22" i="41"/>
  <c r="AI35" i="66"/>
  <c r="AX61" i="64"/>
  <c r="H8" i="66"/>
  <c r="E79" i="66" s="1"/>
  <c r="D8" i="64"/>
  <c r="AI41" i="64"/>
  <c r="AL21" i="68"/>
  <c r="AL21" i="64"/>
  <c r="L29" i="41"/>
  <c r="J8" i="64"/>
  <c r="W22" i="64"/>
  <c r="W192" i="41"/>
  <c r="D73" i="8"/>
  <c r="H96" i="41"/>
  <c r="AL21" i="66"/>
  <c r="AM44" i="66"/>
  <c r="P14" i="41"/>
  <c r="K98" i="41" s="1"/>
  <c r="P21" i="68"/>
  <c r="S28" i="66"/>
  <c r="R29" i="66" s="1"/>
  <c r="Q29" i="41"/>
  <c r="D14" i="41"/>
  <c r="AI35" i="64"/>
  <c r="AI53" i="64"/>
  <c r="I8" i="64"/>
  <c r="E94" i="64" s="1"/>
  <c r="Y190" i="41"/>
  <c r="AI45" i="64"/>
  <c r="AM35" i="66"/>
  <c r="AM35" i="68"/>
  <c r="O29" i="41"/>
  <c r="E115" i="41" s="1"/>
  <c r="R29" i="41"/>
  <c r="F8" i="68"/>
  <c r="AA190" i="41"/>
  <c r="G8" i="68"/>
  <c r="AA194" i="41"/>
  <c r="AM35" i="64"/>
  <c r="AI58" i="64"/>
  <c r="I13" i="64"/>
  <c r="G14" i="64" s="1"/>
  <c r="AB194" i="41"/>
  <c r="W189" i="41"/>
  <c r="F14" i="41"/>
  <c r="AB14" i="41" s="1"/>
  <c r="V192" i="41"/>
  <c r="Z194" i="41"/>
  <c r="W194" i="41"/>
  <c r="R14" i="41"/>
  <c r="AB192" i="41"/>
  <c r="AM44" i="67"/>
  <c r="AM44" i="68"/>
  <c r="Y192" i="41"/>
  <c r="J152" i="41"/>
  <c r="S188" i="41" s="1"/>
  <c r="AM35" i="67"/>
  <c r="Z192" i="41"/>
  <c r="Z189" i="41"/>
  <c r="F8" i="67"/>
  <c r="H152" i="41"/>
  <c r="X195" i="41"/>
  <c r="V190" i="41"/>
  <c r="A8" i="41"/>
  <c r="I96" i="41" s="1"/>
  <c r="J8" i="67"/>
  <c r="X192" i="41"/>
  <c r="W191" i="41"/>
  <c r="Z191" i="41"/>
  <c r="Y193" i="41"/>
  <c r="AP21" i="68"/>
  <c r="D8" i="67"/>
  <c r="F8" i="66"/>
  <c r="W22" i="41"/>
  <c r="AI13" i="68"/>
  <c r="E8" i="67"/>
  <c r="D20" i="64"/>
  <c r="H8" i="67"/>
  <c r="E79" i="67" s="1"/>
  <c r="L8" i="41"/>
  <c r="N8" i="41" s="1"/>
  <c r="Y21" i="68"/>
  <c r="V22" i="68" s="1"/>
  <c r="Y21" i="66"/>
  <c r="S22" i="66" s="1"/>
  <c r="X22" i="64"/>
  <c r="K110" i="64" s="1"/>
  <c r="I8" i="67"/>
  <c r="E80" i="67" s="1"/>
  <c r="AI13" i="64"/>
  <c r="AX47" i="66"/>
  <c r="I8" i="66"/>
  <c r="E80" i="66" s="1"/>
  <c r="S22" i="41"/>
  <c r="AF22" i="41" s="1"/>
  <c r="U22" i="41"/>
  <c r="Q22" i="41"/>
  <c r="K103" i="41" s="1"/>
  <c r="E103" i="41" s="1"/>
  <c r="AX47" i="67"/>
  <c r="S22" i="64"/>
  <c r="X190" i="41"/>
  <c r="G8" i="67"/>
  <c r="S28" i="67"/>
  <c r="L29" i="67" s="1"/>
  <c r="X13" i="68"/>
  <c r="X22" i="41"/>
  <c r="K110" i="41" s="1"/>
  <c r="G8" i="66"/>
  <c r="Q22" i="64"/>
  <c r="K103" i="64" s="1"/>
  <c r="D20" i="66"/>
  <c r="AP21" i="67"/>
  <c r="AI13" i="66"/>
  <c r="X13" i="67"/>
  <c r="U22" i="64"/>
  <c r="Y195" i="41"/>
  <c r="Q20" i="68"/>
  <c r="P21" i="67"/>
  <c r="Q20" i="67"/>
  <c r="M13" i="67"/>
  <c r="T13" i="68"/>
  <c r="O14" i="68" s="1"/>
  <c r="P21" i="66"/>
  <c r="T13" i="67"/>
  <c r="O14" i="67" s="1"/>
  <c r="S14" i="41"/>
  <c r="AD14" i="41" s="1"/>
  <c r="O14" i="41"/>
  <c r="Z14" i="41" s="1"/>
  <c r="Q20" i="66"/>
  <c r="T13" i="64"/>
  <c r="O14" i="64" s="1"/>
  <c r="AD51" i="67"/>
  <c r="AB190" i="41"/>
  <c r="W190" i="41"/>
  <c r="Z59" i="41"/>
  <c r="S191" i="41"/>
  <c r="S189" i="41"/>
  <c r="Y194" i="41"/>
  <c r="W195" i="41"/>
  <c r="X193" i="41"/>
  <c r="AA189" i="41"/>
  <c r="T190" i="41"/>
  <c r="J8" i="66"/>
  <c r="T22" i="41"/>
  <c r="K106" i="41" s="1"/>
  <c r="R22" i="64"/>
  <c r="V22" i="41"/>
  <c r="E8" i="66"/>
  <c r="Y191" i="41"/>
  <c r="AA193" i="41"/>
  <c r="Z195" i="41"/>
  <c r="Q38" i="41"/>
  <c r="V195" i="41"/>
  <c r="AA192" i="41"/>
  <c r="AB191" i="41"/>
  <c r="AB189" i="41"/>
  <c r="Z190" i="41"/>
  <c r="AA191" i="41"/>
  <c r="V194" i="41"/>
  <c r="V189" i="41"/>
  <c r="L152" i="41"/>
  <c r="U188" i="41" s="1"/>
  <c r="K152" i="41"/>
  <c r="T188" i="41" s="1"/>
  <c r="W193" i="41"/>
  <c r="AB193" i="41"/>
  <c r="X194" i="41"/>
  <c r="V193" i="41"/>
  <c r="V191" i="41"/>
  <c r="AJ36" i="41"/>
  <c r="AL36" i="41" s="1"/>
  <c r="S192" i="41"/>
  <c r="T194" i="41"/>
  <c r="S194" i="41"/>
  <c r="P36" i="68"/>
  <c r="T36" i="68"/>
  <c r="J38" i="68"/>
  <c r="AG36" i="68"/>
  <c r="BE36" i="68" s="1"/>
  <c r="H38" i="68"/>
  <c r="AE36" i="68"/>
  <c r="BC36" i="68" s="1"/>
  <c r="J40" i="68"/>
  <c r="AF38" i="68"/>
  <c r="BD38" i="68" s="1"/>
  <c r="P38" i="68"/>
  <c r="N38" i="68"/>
  <c r="BB38" i="68" s="1"/>
  <c r="N40" i="68"/>
  <c r="BB40" i="68" s="1"/>
  <c r="V38" i="68"/>
  <c r="D20" i="68"/>
  <c r="F38" i="68"/>
  <c r="AY38" i="68" s="1"/>
  <c r="Z36" i="68"/>
  <c r="X36" i="68"/>
  <c r="E36" i="68"/>
  <c r="AX36" i="68" s="1"/>
  <c r="AC38" i="68"/>
  <c r="U36" i="68"/>
  <c r="AA40" i="68"/>
  <c r="Q38" i="68"/>
  <c r="E38" i="68"/>
  <c r="AX38" i="68" s="1"/>
  <c r="AH36" i="68"/>
  <c r="R36" i="68"/>
  <c r="V40" i="68"/>
  <c r="AH38" i="68"/>
  <c r="AG40" i="68"/>
  <c r="BE40" i="68" s="1"/>
  <c r="R40" i="68"/>
  <c r="U38" i="68"/>
  <c r="D38" i="68"/>
  <c r="Z40" i="68"/>
  <c r="N36" i="68"/>
  <c r="BB36" i="68" s="1"/>
  <c r="V36" i="68"/>
  <c r="R38" i="68"/>
  <c r="AF40" i="68"/>
  <c r="BD40" i="68" s="1"/>
  <c r="K38" i="68"/>
  <c r="K36" i="68"/>
  <c r="AC36" i="68"/>
  <c r="M36" i="68"/>
  <c r="BA36" i="68" s="1"/>
  <c r="F36" i="68"/>
  <c r="AY36" i="68" s="1"/>
  <c r="AE40" i="68"/>
  <c r="BC40" i="68" s="1"/>
  <c r="G36" i="68"/>
  <c r="AZ36" i="68" s="1"/>
  <c r="T38" i="68"/>
  <c r="M38" i="68"/>
  <c r="BA38" i="68" s="1"/>
  <c r="A36" i="41"/>
  <c r="T193" i="41"/>
  <c r="S190" i="41"/>
  <c r="U193" i="41"/>
  <c r="H38" i="66"/>
  <c r="L36" i="66"/>
  <c r="E38" i="66"/>
  <c r="AX38" i="66" s="1"/>
  <c r="U38" i="66"/>
  <c r="G38" i="66"/>
  <c r="AZ38" i="66" s="1"/>
  <c r="E36" i="66"/>
  <c r="AX36" i="66" s="1"/>
  <c r="AG38" i="66"/>
  <c r="BE38" i="66" s="1"/>
  <c r="V38" i="66"/>
  <c r="E40" i="66"/>
  <c r="AX40" i="66" s="1"/>
  <c r="J36" i="66"/>
  <c r="AF36" i="66"/>
  <c r="BD36" i="66" s="1"/>
  <c r="X38" i="66"/>
  <c r="T192" i="41"/>
  <c r="Z38" i="66"/>
  <c r="N40" i="66"/>
  <c r="BB40" i="66" s="1"/>
  <c r="T36" i="66"/>
  <c r="U190" i="41"/>
  <c r="AC36" i="66"/>
  <c r="R40" i="66"/>
  <c r="AE40" i="66"/>
  <c r="BC40" i="66" s="1"/>
  <c r="AA40" i="66"/>
  <c r="M38" i="66"/>
  <c r="BA38" i="66" s="1"/>
  <c r="J38" i="66"/>
  <c r="L40" i="66"/>
  <c r="AH36" i="66"/>
  <c r="AC38" i="66"/>
  <c r="AF40" i="66"/>
  <c r="BD40" i="66" s="1"/>
  <c r="W40" i="66"/>
  <c r="Z40" i="66"/>
  <c r="R36" i="66"/>
  <c r="AE38" i="66"/>
  <c r="BC38" i="66" s="1"/>
  <c r="W38" i="66"/>
  <c r="X40" i="66"/>
  <c r="G36" i="66"/>
  <c r="AZ36" i="66" s="1"/>
  <c r="AI36" i="41"/>
  <c r="S193" i="41"/>
  <c r="F36" i="66"/>
  <c r="AY36" i="66" s="1"/>
  <c r="AB40" i="66"/>
  <c r="AB36" i="66"/>
  <c r="AC40" i="66"/>
  <c r="Z36" i="66"/>
  <c r="D36" i="66"/>
  <c r="X36" i="66"/>
  <c r="Q38" i="66"/>
  <c r="M36" i="66"/>
  <c r="BA36" i="66" s="1"/>
  <c r="AE36" i="66"/>
  <c r="BC36" i="66" s="1"/>
  <c r="W36" i="66"/>
  <c r="AH40" i="66"/>
  <c r="M40" i="66"/>
  <c r="BA40" i="66" s="1"/>
  <c r="AF38" i="66"/>
  <c r="BD38" i="66" s="1"/>
  <c r="N36" i="66"/>
  <c r="BB36" i="66" s="1"/>
  <c r="AG36" i="66"/>
  <c r="BE36" i="66" s="1"/>
  <c r="Q29" i="68"/>
  <c r="P29" i="68"/>
  <c r="E102" i="68" s="1"/>
  <c r="H104" i="68" s="1"/>
  <c r="L29" i="64"/>
  <c r="W52" i="68"/>
  <c r="E141" i="68" s="1"/>
  <c r="U52" i="68"/>
  <c r="X52" i="68"/>
  <c r="E142" i="68" s="1"/>
  <c r="Y52" i="68"/>
  <c r="V66" i="64"/>
  <c r="W66" i="64"/>
  <c r="E155" i="64" s="1"/>
  <c r="X66" i="64"/>
  <c r="E156" i="64" s="1"/>
  <c r="U66" i="64"/>
  <c r="H82" i="68"/>
  <c r="G14" i="68"/>
  <c r="N29" i="64"/>
  <c r="P29" i="64"/>
  <c r="E116" i="64" s="1"/>
  <c r="D40" i="66"/>
  <c r="H40" i="66"/>
  <c r="D38" i="66"/>
  <c r="Z36" i="64"/>
  <c r="K36" i="66"/>
  <c r="R38" i="66"/>
  <c r="K38" i="66"/>
  <c r="H36" i="66"/>
  <c r="Q36" i="66"/>
  <c r="V36" i="66"/>
  <c r="T40" i="66"/>
  <c r="D40" i="64"/>
  <c r="P38" i="66"/>
  <c r="J36" i="64"/>
  <c r="P36" i="66"/>
  <c r="P40" i="64"/>
  <c r="G40" i="66"/>
  <c r="AZ40" i="66" s="1"/>
  <c r="H45" i="67"/>
  <c r="BD45" i="67"/>
  <c r="H36" i="68"/>
  <c r="F14" i="68"/>
  <c r="U52" i="67"/>
  <c r="AE40" i="64"/>
  <c r="BC40" i="64" s="1"/>
  <c r="G38" i="64"/>
  <c r="AZ38" i="64" s="1"/>
  <c r="H158" i="41"/>
  <c r="X45" i="67"/>
  <c r="M29" i="64"/>
  <c r="Q29" i="64"/>
  <c r="O29" i="64"/>
  <c r="E115" i="64" s="1"/>
  <c r="E14" i="68"/>
  <c r="J84" i="68" s="1"/>
  <c r="G14" i="66"/>
  <c r="AA36" i="68"/>
  <c r="Q40" i="68"/>
  <c r="D36" i="68"/>
  <c r="W36" i="68"/>
  <c r="D38" i="64"/>
  <c r="N36" i="64"/>
  <c r="BB36" i="64" s="1"/>
  <c r="AA38" i="64"/>
  <c r="H40" i="68"/>
  <c r="N38" i="64"/>
  <c r="BB38" i="64" s="1"/>
  <c r="X40" i="64"/>
  <c r="L36" i="68"/>
  <c r="H36" i="64"/>
  <c r="L40" i="68"/>
  <c r="AF40" i="64"/>
  <c r="BD40" i="64" s="1"/>
  <c r="R38" i="64"/>
  <c r="E40" i="64"/>
  <c r="AX40" i="64" s="1"/>
  <c r="P40" i="68"/>
  <c r="AH40" i="68"/>
  <c r="D40" i="68"/>
  <c r="G38" i="68"/>
  <c r="AZ38" i="68" s="1"/>
  <c r="M40" i="68"/>
  <c r="BA40" i="68" s="1"/>
  <c r="Z38" i="64"/>
  <c r="U38" i="64"/>
  <c r="W38" i="68"/>
  <c r="K40" i="64"/>
  <c r="AH40" i="64"/>
  <c r="R40" i="64"/>
  <c r="E38" i="64"/>
  <c r="AX38" i="64" s="1"/>
  <c r="T38" i="64"/>
  <c r="F38" i="64"/>
  <c r="AY38" i="64" s="1"/>
  <c r="AE36" i="64"/>
  <c r="BC36" i="64" s="1"/>
  <c r="K38" i="64"/>
  <c r="J40" i="64"/>
  <c r="W38" i="64"/>
  <c r="W40" i="64"/>
  <c r="U40" i="64"/>
  <c r="W36" i="64"/>
  <c r="AB40" i="64"/>
  <c r="AG40" i="66"/>
  <c r="BE40" i="66" s="1"/>
  <c r="T38" i="66"/>
  <c r="S195" i="41"/>
  <c r="T175" i="67"/>
  <c r="X52" i="66"/>
  <c r="E142" i="66" s="1"/>
  <c r="W45" i="67"/>
  <c r="AF45" i="67"/>
  <c r="V52" i="67"/>
  <c r="W52" i="66"/>
  <c r="E141" i="66" s="1"/>
  <c r="U52" i="66"/>
  <c r="V52" i="66"/>
  <c r="W52" i="67"/>
  <c r="E141" i="67" s="1"/>
  <c r="X52" i="67"/>
  <c r="E142" i="67" s="1"/>
  <c r="BC38" i="67"/>
  <c r="T181" i="67" s="1"/>
  <c r="A66" i="41"/>
  <c r="I158" i="41" s="1"/>
  <c r="AE22" i="41"/>
  <c r="Z66" i="41"/>
  <c r="AA66" i="41"/>
  <c r="AS66" i="41" s="1"/>
  <c r="B362" i="24" s="1"/>
  <c r="D14" i="68"/>
  <c r="E14" i="66"/>
  <c r="J84" i="66" s="1"/>
  <c r="H14" i="66"/>
  <c r="F14" i="64"/>
  <c r="H14" i="64"/>
  <c r="S29" i="41"/>
  <c r="D22" i="64"/>
  <c r="J103" i="64" s="1"/>
  <c r="O14" i="66"/>
  <c r="Z14" i="66" s="1"/>
  <c r="J22" i="68"/>
  <c r="H22" i="66"/>
  <c r="H22" i="68"/>
  <c r="E22" i="66"/>
  <c r="D22" i="66"/>
  <c r="D22" i="68"/>
  <c r="J89" i="68" s="1"/>
  <c r="J22" i="66"/>
  <c r="G22" i="66"/>
  <c r="J92" i="66" s="1"/>
  <c r="F22" i="68"/>
  <c r="J22" i="67"/>
  <c r="S14" i="66"/>
  <c r="L22" i="41"/>
  <c r="R14" i="66"/>
  <c r="K22" i="66"/>
  <c r="J96" i="66" s="1"/>
  <c r="F22" i="66"/>
  <c r="P14" i="66"/>
  <c r="K84" i="66" s="1"/>
  <c r="H118" i="41" l="1"/>
  <c r="G22" i="67"/>
  <c r="J92" i="67" s="1"/>
  <c r="K22" i="67"/>
  <c r="J96" i="67" s="1"/>
  <c r="E22" i="67"/>
  <c r="F14" i="67"/>
  <c r="I22" i="67"/>
  <c r="G14" i="67"/>
  <c r="E14" i="67"/>
  <c r="J84" i="67" s="1"/>
  <c r="H14" i="67"/>
  <c r="F22" i="67"/>
  <c r="AF22" i="67" s="1"/>
  <c r="D22" i="67"/>
  <c r="J89" i="67" s="1"/>
  <c r="N29" i="68"/>
  <c r="Z14" i="67"/>
  <c r="E103" i="64"/>
  <c r="T29" i="41"/>
  <c r="AS29" i="41" s="1"/>
  <c r="A17" i="18" s="1"/>
  <c r="K8" i="67"/>
  <c r="D59" i="41"/>
  <c r="T22" i="68"/>
  <c r="S22" i="68"/>
  <c r="H82" i="66"/>
  <c r="D14" i="64"/>
  <c r="AC14" i="41"/>
  <c r="E14" i="64"/>
  <c r="J98" i="64" s="1"/>
  <c r="AJ22" i="41"/>
  <c r="S180" i="67"/>
  <c r="T176" i="67"/>
  <c r="N45" i="67"/>
  <c r="AG45" i="67"/>
  <c r="V45" i="67"/>
  <c r="E110" i="41"/>
  <c r="AH22" i="41"/>
  <c r="L29" i="68"/>
  <c r="A8" i="64"/>
  <c r="I96" i="64" s="1"/>
  <c r="K8" i="68"/>
  <c r="AK22" i="41"/>
  <c r="J14" i="41"/>
  <c r="L14" i="41" s="1"/>
  <c r="L45" i="67"/>
  <c r="S175" i="67"/>
  <c r="F45" i="67"/>
  <c r="K22" i="68"/>
  <c r="J96" i="68" s="1"/>
  <c r="I22" i="68"/>
  <c r="AI22" i="68" s="1"/>
  <c r="M45" i="67"/>
  <c r="L29" i="66"/>
  <c r="P14" i="64"/>
  <c r="K98" i="64" s="1"/>
  <c r="E22" i="68"/>
  <c r="K8" i="64"/>
  <c r="AA14" i="41"/>
  <c r="I14" i="41"/>
  <c r="AI22" i="64"/>
  <c r="F14" i="66"/>
  <c r="AB14" i="66" s="1"/>
  <c r="O29" i="67"/>
  <c r="E101" i="67" s="1"/>
  <c r="Q29" i="67"/>
  <c r="F22" i="64"/>
  <c r="AF22" i="64" s="1"/>
  <c r="M22" i="41"/>
  <c r="O22" i="41" s="1"/>
  <c r="H22" i="64"/>
  <c r="AH22" i="64" s="1"/>
  <c r="J22" i="64"/>
  <c r="AJ22" i="64" s="1"/>
  <c r="G22" i="64"/>
  <c r="J106" i="64" s="1"/>
  <c r="E106" i="64" s="1"/>
  <c r="E22" i="64"/>
  <c r="AE22" i="64" s="1"/>
  <c r="K22" i="64"/>
  <c r="J110" i="64" s="1"/>
  <c r="E106" i="41"/>
  <c r="BB59" i="41"/>
  <c r="Z47" i="67"/>
  <c r="AB47" i="67" s="1"/>
  <c r="AA45" i="67"/>
  <c r="F59" i="41"/>
  <c r="S14" i="67"/>
  <c r="W22" i="67"/>
  <c r="AF22" i="66"/>
  <c r="T22" i="66"/>
  <c r="K92" i="66" s="1"/>
  <c r="R14" i="67"/>
  <c r="V22" i="67"/>
  <c r="R29" i="68"/>
  <c r="E98" i="41"/>
  <c r="H102" i="41" s="1"/>
  <c r="Q22" i="66"/>
  <c r="K89" i="66" s="1"/>
  <c r="S14" i="64"/>
  <c r="Q14" i="67"/>
  <c r="V22" i="66"/>
  <c r="AI22" i="66" s="1"/>
  <c r="X22" i="67"/>
  <c r="K96" i="67" s="1"/>
  <c r="S177" i="67"/>
  <c r="AY59" i="41"/>
  <c r="P14" i="67"/>
  <c r="K84" i="67" s="1"/>
  <c r="E84" i="67" s="1"/>
  <c r="H88" i="67" s="1"/>
  <c r="O8" i="41"/>
  <c r="AS8" i="41" s="1"/>
  <c r="A14" i="18" s="1"/>
  <c r="Q29" i="66"/>
  <c r="AI38" i="67"/>
  <c r="Q14" i="64"/>
  <c r="X22" i="66"/>
  <c r="K96" i="66" s="1"/>
  <c r="E12" i="24"/>
  <c r="Q22" i="67"/>
  <c r="K89" i="67" s="1"/>
  <c r="U22" i="67"/>
  <c r="AH22" i="67" s="1"/>
  <c r="M29" i="66"/>
  <c r="H96" i="64"/>
  <c r="BD59" i="41"/>
  <c r="T22" i="67"/>
  <c r="K92" i="67" s="1"/>
  <c r="N29" i="66"/>
  <c r="A29" i="41"/>
  <c r="I118" i="41" s="1"/>
  <c r="AD22" i="41"/>
  <c r="L8" i="64"/>
  <c r="N8" i="64" s="1"/>
  <c r="M29" i="68"/>
  <c r="S29" i="68" s="1"/>
  <c r="V59" i="41"/>
  <c r="U47" i="67"/>
  <c r="W47" i="67" s="1"/>
  <c r="AJ38" i="67"/>
  <c r="AL38" i="67" s="1"/>
  <c r="G59" i="41"/>
  <c r="AF59" i="41"/>
  <c r="A38" i="67"/>
  <c r="G45" i="67"/>
  <c r="E45" i="67"/>
  <c r="E59" i="41"/>
  <c r="U176" i="67"/>
  <c r="A44" i="41"/>
  <c r="A48" i="41"/>
  <c r="U192" i="41"/>
  <c r="P29" i="66"/>
  <c r="E102" i="66" s="1"/>
  <c r="U195" i="41"/>
  <c r="BE59" i="41"/>
  <c r="W59" i="41"/>
  <c r="W22" i="66"/>
  <c r="R22" i="66"/>
  <c r="O47" i="67"/>
  <c r="Q47" i="67" s="1"/>
  <c r="AH45" i="67"/>
  <c r="J59" i="41"/>
  <c r="AJ54" i="41"/>
  <c r="AM54" i="41" s="1"/>
  <c r="AH59" i="41"/>
  <c r="U45" i="67"/>
  <c r="U22" i="66"/>
  <c r="A8" i="68"/>
  <c r="I82" i="68" s="1"/>
  <c r="AY62" i="41"/>
  <c r="P45" i="67"/>
  <c r="A54" i="41"/>
  <c r="AG59" i="41"/>
  <c r="U181" i="67"/>
  <c r="L59" i="41"/>
  <c r="S178" i="67"/>
  <c r="Q59" i="41"/>
  <c r="U180" i="67"/>
  <c r="U189" i="41"/>
  <c r="AA59" i="41"/>
  <c r="T177" i="67"/>
  <c r="U59" i="41"/>
  <c r="X22" i="68"/>
  <c r="K96" i="68" s="1"/>
  <c r="Q14" i="68"/>
  <c r="AZ59" i="41"/>
  <c r="P59" i="41"/>
  <c r="E47" i="67"/>
  <c r="G47" i="67" s="1"/>
  <c r="S181" i="67"/>
  <c r="U22" i="68"/>
  <c r="AJ48" i="41"/>
  <c r="AL48" i="41" s="1"/>
  <c r="AC45" i="67"/>
  <c r="AI48" i="41"/>
  <c r="T59" i="41"/>
  <c r="AC59" i="41"/>
  <c r="AX59" i="41"/>
  <c r="U179" i="67"/>
  <c r="AJ46" i="41"/>
  <c r="AL46" i="41" s="1"/>
  <c r="BC59" i="41"/>
  <c r="M59" i="41"/>
  <c r="AJ52" i="41"/>
  <c r="A52" i="41"/>
  <c r="AI54" i="41"/>
  <c r="Z61" i="41"/>
  <c r="AB61" i="41" s="1"/>
  <c r="AJ50" i="41"/>
  <c r="AM50" i="41" s="1"/>
  <c r="K59" i="41"/>
  <c r="X59" i="41"/>
  <c r="AE61" i="41"/>
  <c r="AH61" i="41" s="1"/>
  <c r="S176" i="67"/>
  <c r="AE47" i="67"/>
  <c r="AG47" i="67" s="1"/>
  <c r="E61" i="41"/>
  <c r="G61" i="41" s="1"/>
  <c r="AB59" i="41"/>
  <c r="AE45" i="67"/>
  <c r="AJ40" i="67"/>
  <c r="AL40" i="67" s="1"/>
  <c r="U175" i="67"/>
  <c r="AI40" i="41"/>
  <c r="A46" i="41"/>
  <c r="AI42" i="41"/>
  <c r="AI52" i="41"/>
  <c r="AJ42" i="41"/>
  <c r="AM42" i="41" s="1"/>
  <c r="Q45" i="67"/>
  <c r="AI40" i="67"/>
  <c r="K47" i="67"/>
  <c r="N47" i="67" s="1"/>
  <c r="D45" i="67"/>
  <c r="AJ36" i="67"/>
  <c r="AM36" i="67" s="1"/>
  <c r="N59" i="41"/>
  <c r="AJ44" i="41"/>
  <c r="AL44" i="41" s="1"/>
  <c r="U194" i="41"/>
  <c r="AI46" i="41"/>
  <c r="AJ40" i="41"/>
  <c r="AL40" i="41" s="1"/>
  <c r="K61" i="41"/>
  <c r="N61" i="41" s="1"/>
  <c r="A42" i="41"/>
  <c r="A40" i="67"/>
  <c r="A36" i="67"/>
  <c r="U61" i="41"/>
  <c r="X61" i="41" s="1"/>
  <c r="AI36" i="67"/>
  <c r="J45" i="67"/>
  <c r="T189" i="41"/>
  <c r="A40" i="41"/>
  <c r="AE59" i="41"/>
  <c r="A50" i="41"/>
  <c r="AI44" i="41"/>
  <c r="AI50" i="41"/>
  <c r="AH38" i="64"/>
  <c r="V38" i="64"/>
  <c r="T192" i="64" s="1"/>
  <c r="D46" i="64"/>
  <c r="P54" i="64"/>
  <c r="K46" i="64"/>
  <c r="AC52" i="64"/>
  <c r="G50" i="64"/>
  <c r="AZ50" i="64" s="1"/>
  <c r="H52" i="64"/>
  <c r="AB42" i="64"/>
  <c r="AF44" i="64"/>
  <c r="BD44" i="64" s="1"/>
  <c r="N40" i="64"/>
  <c r="BB40" i="64" s="1"/>
  <c r="BB59" i="64" s="1"/>
  <c r="AG38" i="64"/>
  <c r="BE38" i="64" s="1"/>
  <c r="V46" i="64"/>
  <c r="AC54" i="64"/>
  <c r="G42" i="64"/>
  <c r="AZ42" i="64" s="1"/>
  <c r="T50" i="64"/>
  <c r="V52" i="64"/>
  <c r="P42" i="64"/>
  <c r="AH54" i="64"/>
  <c r="R42" i="64"/>
  <c r="V54" i="64"/>
  <c r="Q38" i="64"/>
  <c r="R36" i="64"/>
  <c r="R59" i="64" s="1"/>
  <c r="AG42" i="64"/>
  <c r="BE42" i="64" s="1"/>
  <c r="F48" i="64"/>
  <c r="AY48" i="64" s="1"/>
  <c r="X42" i="64"/>
  <c r="H48" i="64"/>
  <c r="AH42" i="64"/>
  <c r="N52" i="64"/>
  <c r="BB52" i="64" s="1"/>
  <c r="AG54" i="64"/>
  <c r="BE54" i="64" s="1"/>
  <c r="AE44" i="64"/>
  <c r="BC44" i="64" s="1"/>
  <c r="P52" i="64"/>
  <c r="N44" i="64"/>
  <c r="BB44" i="64" s="1"/>
  <c r="V50" i="64"/>
  <c r="AC44" i="64"/>
  <c r="D36" i="64"/>
  <c r="D59" i="64" s="1"/>
  <c r="Q50" i="64"/>
  <c r="AA46" i="64"/>
  <c r="T52" i="64"/>
  <c r="AH50" i="64"/>
  <c r="F52" i="64"/>
  <c r="AY52" i="64" s="1"/>
  <c r="T54" i="64"/>
  <c r="G44" i="64"/>
  <c r="AZ44" i="64" s="1"/>
  <c r="F42" i="64"/>
  <c r="AY42" i="64" s="1"/>
  <c r="AC46" i="64"/>
  <c r="AA42" i="64"/>
  <c r="J50" i="64"/>
  <c r="U48" i="64"/>
  <c r="D52" i="64"/>
  <c r="H44" i="64"/>
  <c r="U46" i="64"/>
  <c r="G46" i="64"/>
  <c r="AZ46" i="64" s="1"/>
  <c r="L50" i="64"/>
  <c r="X54" i="64"/>
  <c r="J52" i="64"/>
  <c r="Q44" i="64"/>
  <c r="M42" i="64"/>
  <c r="BA42" i="64" s="1"/>
  <c r="Z46" i="64"/>
  <c r="AB50" i="64"/>
  <c r="G48" i="64"/>
  <c r="AZ48" i="64" s="1"/>
  <c r="G52" i="64"/>
  <c r="AZ52" i="64" s="1"/>
  <c r="AE50" i="64"/>
  <c r="BC50" i="64" s="1"/>
  <c r="L46" i="64"/>
  <c r="K48" i="64"/>
  <c r="R48" i="64"/>
  <c r="AH48" i="64"/>
  <c r="AA52" i="64"/>
  <c r="AF38" i="64"/>
  <c r="BD38" i="64" s="1"/>
  <c r="P38" i="64"/>
  <c r="M36" i="64"/>
  <c r="G36" i="64"/>
  <c r="AZ36" i="64" s="1"/>
  <c r="H38" i="64"/>
  <c r="T189" i="64" s="1"/>
  <c r="T46" i="64"/>
  <c r="AA50" i="64"/>
  <c r="AG52" i="64"/>
  <c r="BE52" i="64" s="1"/>
  <c r="U52" i="64"/>
  <c r="N42" i="64"/>
  <c r="BB42" i="64" s="1"/>
  <c r="AG50" i="64"/>
  <c r="BE50" i="64" s="1"/>
  <c r="T48" i="64"/>
  <c r="K50" i="64"/>
  <c r="AH46" i="64"/>
  <c r="L54" i="64"/>
  <c r="P44" i="64"/>
  <c r="K42" i="64"/>
  <c r="AS50" i="64"/>
  <c r="E52" i="64"/>
  <c r="AX52" i="64" s="1"/>
  <c r="M40" i="64"/>
  <c r="BA40" i="64" s="1"/>
  <c r="AA36" i="64"/>
  <c r="L38" i="64"/>
  <c r="J46" i="64"/>
  <c r="N46" i="64"/>
  <c r="BB46" i="64" s="1"/>
  <c r="Q52" i="64"/>
  <c r="H50" i="64"/>
  <c r="AE48" i="64"/>
  <c r="BC48" i="64" s="1"/>
  <c r="H42" i="64"/>
  <c r="AS54" i="64"/>
  <c r="R46" i="64"/>
  <c r="K44" i="64"/>
  <c r="T36" i="64"/>
  <c r="P36" i="64"/>
  <c r="K54" i="64"/>
  <c r="AB46" i="64"/>
  <c r="N54" i="64"/>
  <c r="BB54" i="64" s="1"/>
  <c r="AA54" i="64"/>
  <c r="F40" i="64"/>
  <c r="AY40" i="64" s="1"/>
  <c r="AF46" i="64"/>
  <c r="BD46" i="64" s="1"/>
  <c r="AF48" i="64"/>
  <c r="BD48" i="64" s="1"/>
  <c r="E42" i="64"/>
  <c r="AX42" i="64" s="1"/>
  <c r="W44" i="64"/>
  <c r="AG48" i="64"/>
  <c r="BE48" i="64" s="1"/>
  <c r="Q54" i="64"/>
  <c r="P50" i="64"/>
  <c r="Q48" i="64"/>
  <c r="D54" i="64"/>
  <c r="AF36" i="64"/>
  <c r="BD36" i="64" s="1"/>
  <c r="AH36" i="64"/>
  <c r="AC50" i="64"/>
  <c r="Z50" i="64"/>
  <c r="M48" i="64"/>
  <c r="BA48" i="64" s="1"/>
  <c r="K36" i="64"/>
  <c r="K59" i="64" s="1"/>
  <c r="P48" i="64"/>
  <c r="AB44" i="64"/>
  <c r="Z48" i="64"/>
  <c r="T44" i="64"/>
  <c r="H40" i="64"/>
  <c r="G54" i="64"/>
  <c r="AZ54" i="64" s="1"/>
  <c r="AG46" i="64"/>
  <c r="BE46" i="64" s="1"/>
  <c r="AB52" i="64"/>
  <c r="J54" i="64"/>
  <c r="AS48" i="64"/>
  <c r="H46" i="64"/>
  <c r="X44" i="64"/>
  <c r="D48" i="64"/>
  <c r="AB54" i="64"/>
  <c r="AC48" i="64"/>
  <c r="AG36" i="64"/>
  <c r="AG40" i="64"/>
  <c r="BE40" i="64" s="1"/>
  <c r="E54" i="64"/>
  <c r="AX54" i="64" s="1"/>
  <c r="X50" i="64"/>
  <c r="W48" i="64"/>
  <c r="AC42" i="64"/>
  <c r="U44" i="64"/>
  <c r="E48" i="64"/>
  <c r="AX48" i="64" s="1"/>
  <c r="P46" i="64"/>
  <c r="T40" i="64"/>
  <c r="AB36" i="64"/>
  <c r="J42" i="64"/>
  <c r="AE46" i="64"/>
  <c r="BC46" i="64" s="1"/>
  <c r="M50" i="64"/>
  <c r="BA50" i="64" s="1"/>
  <c r="U54" i="64"/>
  <c r="V48" i="64"/>
  <c r="M44" i="64"/>
  <c r="BA44" i="64" s="1"/>
  <c r="E44" i="64"/>
  <c r="AX44" i="64" s="1"/>
  <c r="AF42" i="64"/>
  <c r="BD42" i="64" s="1"/>
  <c r="AB48" i="64"/>
  <c r="N48" i="64"/>
  <c r="BB48" i="64" s="1"/>
  <c r="L52" i="64"/>
  <c r="Z52" i="64"/>
  <c r="D42" i="64"/>
  <c r="Q46" i="64"/>
  <c r="H54" i="64"/>
  <c r="L48" i="64"/>
  <c r="K52" i="64"/>
  <c r="Z44" i="64"/>
  <c r="L42" i="64"/>
  <c r="Q42" i="64"/>
  <c r="N50" i="64"/>
  <c r="BB50" i="64" s="1"/>
  <c r="R54" i="64"/>
  <c r="V44" i="64"/>
  <c r="L44" i="64"/>
  <c r="Z40" i="64"/>
  <c r="Z59" i="64" s="1"/>
  <c r="X38" i="64"/>
  <c r="G40" i="64"/>
  <c r="AZ40" i="64" s="1"/>
  <c r="AC38" i="64"/>
  <c r="AB38" i="64"/>
  <c r="Q36" i="64"/>
  <c r="AF52" i="64"/>
  <c r="BD52" i="64" s="1"/>
  <c r="Z54" i="64"/>
  <c r="X48" i="64"/>
  <c r="D44" i="64"/>
  <c r="Z42" i="64"/>
  <c r="AE54" i="64"/>
  <c r="BC54" i="64" s="1"/>
  <c r="F50" i="64"/>
  <c r="AY50" i="64" s="1"/>
  <c r="AH44" i="64"/>
  <c r="W42" i="64"/>
  <c r="E50" i="64"/>
  <c r="AX50" i="64" s="1"/>
  <c r="F54" i="64"/>
  <c r="AY54" i="64" s="1"/>
  <c r="AS52" i="64"/>
  <c r="W46" i="64"/>
  <c r="R50" i="64"/>
  <c r="M54" i="64"/>
  <c r="BA54" i="64" s="1"/>
  <c r="R44" i="64"/>
  <c r="F36" i="64"/>
  <c r="AY36" i="64" s="1"/>
  <c r="AY59" i="64" s="1"/>
  <c r="AC36" i="64"/>
  <c r="AE38" i="64"/>
  <c r="AE59" i="64" s="1"/>
  <c r="AE42" i="64"/>
  <c r="BC42" i="64" s="1"/>
  <c r="AF54" i="64"/>
  <c r="BD54" i="64" s="1"/>
  <c r="AG44" i="64"/>
  <c r="BE44" i="64" s="1"/>
  <c r="U42" i="64"/>
  <c r="AA48" i="64"/>
  <c r="X46" i="64"/>
  <c r="U50" i="64"/>
  <c r="W52" i="64"/>
  <c r="M46" i="64"/>
  <c r="BA46" i="64" s="1"/>
  <c r="X52" i="64"/>
  <c r="V36" i="64"/>
  <c r="X36" i="64"/>
  <c r="V42" i="64"/>
  <c r="AA44" i="64"/>
  <c r="D50" i="64"/>
  <c r="AE52" i="64"/>
  <c r="BC52" i="64" s="1"/>
  <c r="J48" i="64"/>
  <c r="E46" i="64"/>
  <c r="AX46" i="64" s="1"/>
  <c r="W50" i="64"/>
  <c r="M38" i="64"/>
  <c r="BA38" i="64" s="1"/>
  <c r="W54" i="64"/>
  <c r="L40" i="64"/>
  <c r="AH52" i="64"/>
  <c r="U36" i="64"/>
  <c r="U59" i="64" s="1"/>
  <c r="M52" i="64"/>
  <c r="BA52" i="64" s="1"/>
  <c r="J44" i="64"/>
  <c r="V40" i="64"/>
  <c r="R52" i="64"/>
  <c r="F44" i="64"/>
  <c r="AY44" i="64" s="1"/>
  <c r="L36" i="64"/>
  <c r="T42" i="64"/>
  <c r="J38" i="64"/>
  <c r="J59" i="64" s="1"/>
  <c r="E36" i="64"/>
  <c r="AX36" i="64" s="1"/>
  <c r="AX59" i="64" s="1"/>
  <c r="F46" i="64"/>
  <c r="AY46" i="64" s="1"/>
  <c r="AA40" i="64"/>
  <c r="AC40" i="64"/>
  <c r="AF50" i="64"/>
  <c r="BD50" i="64" s="1"/>
  <c r="Q40" i="64"/>
  <c r="U191" i="64" s="1"/>
  <c r="E40" i="68"/>
  <c r="AX40" i="68" s="1"/>
  <c r="AX45" i="68" s="1"/>
  <c r="T40" i="68"/>
  <c r="X38" i="68"/>
  <c r="W40" i="68"/>
  <c r="W45" i="68" s="1"/>
  <c r="J36" i="68"/>
  <c r="J45" i="68" s="1"/>
  <c r="AB40" i="68"/>
  <c r="AE38" i="68"/>
  <c r="BC38" i="68" s="1"/>
  <c r="Z38" i="68"/>
  <c r="Z45" i="68" s="1"/>
  <c r="F40" i="68"/>
  <c r="AY40" i="68" s="1"/>
  <c r="AY45" i="68" s="1"/>
  <c r="U40" i="68"/>
  <c r="U45" i="68" s="1"/>
  <c r="X40" i="68"/>
  <c r="AB38" i="68"/>
  <c r="K40" i="68"/>
  <c r="K45" i="68" s="1"/>
  <c r="G40" i="68"/>
  <c r="AZ40" i="68" s="1"/>
  <c r="AZ45" i="68" s="1"/>
  <c r="AF36" i="68"/>
  <c r="BD36" i="68" s="1"/>
  <c r="BD45" i="68" s="1"/>
  <c r="AG38" i="68"/>
  <c r="BE38" i="68" s="1"/>
  <c r="BE45" i="68" s="1"/>
  <c r="AB36" i="68"/>
  <c r="S179" i="68" s="1"/>
  <c r="AA38" i="68"/>
  <c r="AC40" i="68"/>
  <c r="L38" i="68"/>
  <c r="T176" i="68" s="1"/>
  <c r="Q36" i="68"/>
  <c r="Q45" i="68" s="1"/>
  <c r="AH38" i="66"/>
  <c r="T180" i="66" s="1"/>
  <c r="AA38" i="66"/>
  <c r="J40" i="66"/>
  <c r="J45" i="66" s="1"/>
  <c r="F38" i="66"/>
  <c r="AY38" i="66" s="1"/>
  <c r="Q40" i="66"/>
  <c r="Q45" i="66" s="1"/>
  <c r="L38" i="66"/>
  <c r="L45" i="66" s="1"/>
  <c r="F40" i="66"/>
  <c r="AY40" i="66" s="1"/>
  <c r="U181" i="66" s="1"/>
  <c r="U36" i="66"/>
  <c r="P40" i="66"/>
  <c r="V40" i="66"/>
  <c r="V45" i="66" s="1"/>
  <c r="K40" i="66"/>
  <c r="K45" i="66" s="1"/>
  <c r="U40" i="66"/>
  <c r="AB38" i="66"/>
  <c r="AB45" i="66" s="1"/>
  <c r="AA36" i="66"/>
  <c r="N38" i="66"/>
  <c r="BB38" i="66" s="1"/>
  <c r="L8" i="68"/>
  <c r="N8" i="68" s="1"/>
  <c r="R22" i="67"/>
  <c r="AE22" i="67" s="1"/>
  <c r="O29" i="66"/>
  <c r="E101" i="66" s="1"/>
  <c r="H104" i="66" s="1"/>
  <c r="R29" i="67"/>
  <c r="R14" i="68"/>
  <c r="AC14" i="68" s="1"/>
  <c r="R14" i="64"/>
  <c r="AC14" i="64" s="1"/>
  <c r="R22" i="68"/>
  <c r="AE22" i="68" s="1"/>
  <c r="Q22" i="68"/>
  <c r="K89" i="68" s="1"/>
  <c r="E89" i="68" s="1"/>
  <c r="W22" i="68"/>
  <c r="AJ22" i="68" s="1"/>
  <c r="A8" i="67"/>
  <c r="I82" i="67" s="1"/>
  <c r="L8" i="66"/>
  <c r="O8" i="66" s="1"/>
  <c r="O61" i="41"/>
  <c r="R61" i="41" s="1"/>
  <c r="M29" i="67"/>
  <c r="P14" i="68"/>
  <c r="K84" i="68" s="1"/>
  <c r="E84" i="68" s="1"/>
  <c r="H88" i="68" s="1"/>
  <c r="Y22" i="41"/>
  <c r="H82" i="67"/>
  <c r="Z22" i="64"/>
  <c r="AB22" i="64" s="1"/>
  <c r="S14" i="68"/>
  <c r="AD14" i="68" s="1"/>
  <c r="N29" i="67"/>
  <c r="P29" i="67"/>
  <c r="E102" i="67" s="1"/>
  <c r="H104" i="67" s="1"/>
  <c r="T178" i="66"/>
  <c r="K8" i="66"/>
  <c r="L8" i="67"/>
  <c r="O8" i="67" s="1"/>
  <c r="A8" i="66"/>
  <c r="I82" i="66" s="1"/>
  <c r="E110" i="64"/>
  <c r="Y22" i="64"/>
  <c r="AI22" i="41"/>
  <c r="T14" i="41"/>
  <c r="A14" i="41"/>
  <c r="I102" i="41" s="1"/>
  <c r="U14" i="41"/>
  <c r="W14" i="41" s="1"/>
  <c r="H144" i="68"/>
  <c r="AG22" i="41"/>
  <c r="Z22" i="41"/>
  <c r="AC22" i="41" s="1"/>
  <c r="AH45" i="68"/>
  <c r="A38" i="41"/>
  <c r="N45" i="68"/>
  <c r="U179" i="66"/>
  <c r="T191" i="41"/>
  <c r="S178" i="68"/>
  <c r="AC45" i="66"/>
  <c r="AM36" i="41"/>
  <c r="AS36" i="41" s="1"/>
  <c r="AB171" i="41" s="1"/>
  <c r="X45" i="66"/>
  <c r="BD45" i="66"/>
  <c r="Z45" i="66"/>
  <c r="T177" i="68"/>
  <c r="BA45" i="66"/>
  <c r="AX45" i="66"/>
  <c r="AL50" i="41"/>
  <c r="E45" i="66"/>
  <c r="A22" i="41"/>
  <c r="I111" i="41" s="1"/>
  <c r="AF45" i="66"/>
  <c r="AE45" i="66"/>
  <c r="BE45" i="66"/>
  <c r="AJ38" i="41"/>
  <c r="AI38" i="41"/>
  <c r="S181" i="66"/>
  <c r="W45" i="66"/>
  <c r="S180" i="66"/>
  <c r="BB45" i="68"/>
  <c r="V45" i="68"/>
  <c r="T178" i="68"/>
  <c r="R45" i="68"/>
  <c r="S175" i="66"/>
  <c r="BA45" i="68"/>
  <c r="M45" i="66"/>
  <c r="AZ45" i="66"/>
  <c r="R45" i="66"/>
  <c r="AA52" i="68"/>
  <c r="AD52" i="68" s="1"/>
  <c r="AJ22" i="67"/>
  <c r="E89" i="67"/>
  <c r="E92" i="67"/>
  <c r="H158" i="64"/>
  <c r="A52" i="68"/>
  <c r="I144" i="68" s="1"/>
  <c r="Z52" i="68"/>
  <c r="E96" i="67"/>
  <c r="AI22" i="67"/>
  <c r="I14" i="68"/>
  <c r="A29" i="64"/>
  <c r="I118" i="64" s="1"/>
  <c r="AC14" i="66"/>
  <c r="A66" i="64"/>
  <c r="I158" i="64" s="1"/>
  <c r="E96" i="66"/>
  <c r="E92" i="66"/>
  <c r="AA66" i="64"/>
  <c r="AS66" i="64" s="1"/>
  <c r="Z66" i="64"/>
  <c r="U177" i="68"/>
  <c r="AS54" i="41"/>
  <c r="AS52" i="41"/>
  <c r="AS46" i="41"/>
  <c r="AS50" i="41"/>
  <c r="AS48" i="41"/>
  <c r="H118" i="64"/>
  <c r="S177" i="66"/>
  <c r="T177" i="66"/>
  <c r="D45" i="66"/>
  <c r="H45" i="66"/>
  <c r="S176" i="66"/>
  <c r="G45" i="66"/>
  <c r="S175" i="68"/>
  <c r="H45" i="68"/>
  <c r="AE14" i="41"/>
  <c r="U180" i="68"/>
  <c r="T175" i="68"/>
  <c r="T29" i="64"/>
  <c r="AS29" i="64" s="1"/>
  <c r="AY48" i="67"/>
  <c r="S29" i="64"/>
  <c r="U180" i="66"/>
  <c r="T45" i="66"/>
  <c r="BC45" i="67"/>
  <c r="AX48" i="67" s="1"/>
  <c r="AG45" i="66"/>
  <c r="D45" i="68"/>
  <c r="E362" i="24"/>
  <c r="H144" i="66"/>
  <c r="W59" i="64"/>
  <c r="P45" i="68"/>
  <c r="M45" i="68"/>
  <c r="B20" i="24"/>
  <c r="J14" i="68"/>
  <c r="L14" i="68" s="1"/>
  <c r="AK22" i="64"/>
  <c r="H144" i="67"/>
  <c r="A52" i="67"/>
  <c r="I144" i="67" s="1"/>
  <c r="H111" i="41"/>
  <c r="A52" i="66"/>
  <c r="I144" i="66" s="1"/>
  <c r="AA52" i="67"/>
  <c r="AS52" i="67" s="1"/>
  <c r="BC45" i="66"/>
  <c r="Z52" i="66"/>
  <c r="Z52" i="67"/>
  <c r="AA52" i="66"/>
  <c r="AS52" i="66" s="1"/>
  <c r="AB14" i="64"/>
  <c r="AB14" i="67"/>
  <c r="Z14" i="68"/>
  <c r="J14" i="66"/>
  <c r="M14" i="66" s="1"/>
  <c r="J14" i="64"/>
  <c r="L14" i="64" s="1"/>
  <c r="B61" i="24"/>
  <c r="W29" i="41"/>
  <c r="E61" i="24"/>
  <c r="AD22" i="64"/>
  <c r="V29" i="41"/>
  <c r="AD14" i="64"/>
  <c r="AH22" i="66"/>
  <c r="AC14" i="67"/>
  <c r="AS46" i="64"/>
  <c r="AF22" i="68"/>
  <c r="AG22" i="67"/>
  <c r="E84" i="66"/>
  <c r="H88" i="66" s="1"/>
  <c r="I14" i="67"/>
  <c r="I14" i="64"/>
  <c r="AJ22" i="66"/>
  <c r="AE22" i="66"/>
  <c r="AD14" i="66"/>
  <c r="I14" i="66"/>
  <c r="AC66" i="41"/>
  <c r="AD66" i="41"/>
  <c r="E98" i="64"/>
  <c r="H102" i="64" s="1"/>
  <c r="M14" i="41"/>
  <c r="L16" i="41" s="1"/>
  <c r="AA14" i="66"/>
  <c r="E20" i="24"/>
  <c r="AG22" i="66"/>
  <c r="E96" i="68"/>
  <c r="AG22" i="68"/>
  <c r="K92" i="68"/>
  <c r="E92" i="68" s="1"/>
  <c r="AF14" i="41"/>
  <c r="AI14" i="41" s="1"/>
  <c r="AK22" i="67"/>
  <c r="L22" i="68"/>
  <c r="AK22" i="68"/>
  <c r="AD22" i="67"/>
  <c r="J89" i="66"/>
  <c r="O24" i="41"/>
  <c r="B37" i="24" s="1"/>
  <c r="M22" i="67"/>
  <c r="P22" i="67" s="1"/>
  <c r="AA14" i="64"/>
  <c r="L22" i="67"/>
  <c r="P22" i="41"/>
  <c r="E37" i="24"/>
  <c r="T14" i="66"/>
  <c r="A14" i="66"/>
  <c r="I88" i="66" s="1"/>
  <c r="L22" i="66"/>
  <c r="AK22" i="66"/>
  <c r="U14" i="66"/>
  <c r="W14" i="66" s="1"/>
  <c r="Z14" i="64"/>
  <c r="AB14" i="68"/>
  <c r="M22" i="66"/>
  <c r="O22" i="66" s="1"/>
  <c r="AS36" i="66"/>
  <c r="AB157" i="66" s="1"/>
  <c r="AS52" i="68"/>
  <c r="A19" i="18"/>
  <c r="AB24" i="64"/>
  <c r="T14" i="67" l="1"/>
  <c r="J14" i="67"/>
  <c r="L14" i="67" s="1"/>
  <c r="AD14" i="67"/>
  <c r="Y22" i="66"/>
  <c r="A22" i="66"/>
  <c r="I97" i="66" s="1"/>
  <c r="B12" i="24"/>
  <c r="AD22" i="66"/>
  <c r="M22" i="68"/>
  <c r="P22" i="68" s="1"/>
  <c r="E89" i="66"/>
  <c r="T29" i="68"/>
  <c r="AS29" i="68" s="1"/>
  <c r="A29" i="68"/>
  <c r="I104" i="68" s="1"/>
  <c r="AS8" i="67"/>
  <c r="Z22" i="66"/>
  <c r="AB22" i="66" s="1"/>
  <c r="O8" i="68"/>
  <c r="AM22" i="41"/>
  <c r="AO22" i="41" s="1"/>
  <c r="Y22" i="68"/>
  <c r="L59" i="64"/>
  <c r="V29" i="68"/>
  <c r="AD22" i="68"/>
  <c r="S29" i="66"/>
  <c r="R47" i="67"/>
  <c r="Q48" i="67" s="1"/>
  <c r="AB147" i="67" s="1"/>
  <c r="AC47" i="67"/>
  <c r="AB48" i="67" s="1"/>
  <c r="AB149" i="67" s="1"/>
  <c r="U194" i="64"/>
  <c r="H47" i="67"/>
  <c r="G48" i="67" s="1"/>
  <c r="AB145" i="67" s="1"/>
  <c r="A29" i="67"/>
  <c r="I104" i="67" s="1"/>
  <c r="S176" i="68"/>
  <c r="AI36" i="66"/>
  <c r="X47" i="67"/>
  <c r="W48" i="67" s="1"/>
  <c r="AB148" i="67" s="1"/>
  <c r="AG45" i="68"/>
  <c r="A22" i="68"/>
  <c r="I97" i="68" s="1"/>
  <c r="A14" i="64"/>
  <c r="I102" i="64" s="1"/>
  <c r="L22" i="64"/>
  <c r="F159" i="41"/>
  <c r="U14" i="68"/>
  <c r="W14" i="68" s="1"/>
  <c r="X14" i="41"/>
  <c r="W16" i="41" s="1"/>
  <c r="B21" i="24" s="1"/>
  <c r="A22" i="64"/>
  <c r="I111" i="64" s="1"/>
  <c r="M22" i="64"/>
  <c r="O22" i="64" s="1"/>
  <c r="L173" i="41"/>
  <c r="AH22" i="68"/>
  <c r="F160" i="41"/>
  <c r="O8" i="64"/>
  <c r="AS8" i="64" s="1"/>
  <c r="A14" i="68"/>
  <c r="I88" i="68" s="1"/>
  <c r="U14" i="67"/>
  <c r="X14" i="67" s="1"/>
  <c r="W16" i="67" s="1"/>
  <c r="AG22" i="64"/>
  <c r="AL54" i="41"/>
  <c r="H111" i="64"/>
  <c r="A14" i="67"/>
  <c r="I88" i="67" s="1"/>
  <c r="U14" i="64"/>
  <c r="X14" i="64" s="1"/>
  <c r="A22" i="67"/>
  <c r="I97" i="67" s="1"/>
  <c r="G159" i="41"/>
  <c r="G160" i="41" s="1"/>
  <c r="T14" i="68"/>
  <c r="AA14" i="67"/>
  <c r="E159" i="41"/>
  <c r="Z22" i="68"/>
  <c r="AC22" i="68" s="1"/>
  <c r="M47" i="67"/>
  <c r="M48" i="67" s="1"/>
  <c r="AB146" i="67" s="1"/>
  <c r="U195" i="64"/>
  <c r="T191" i="64"/>
  <c r="T59" i="64"/>
  <c r="T181" i="68"/>
  <c r="BA62" i="41"/>
  <c r="AH47" i="67"/>
  <c r="AG48" i="67" s="1"/>
  <c r="AB150" i="67" s="1"/>
  <c r="AI59" i="41"/>
  <c r="A40" i="64"/>
  <c r="AL36" i="67"/>
  <c r="S177" i="68"/>
  <c r="AL42" i="41"/>
  <c r="AS42" i="41" s="1"/>
  <c r="AM40" i="67"/>
  <c r="AS40" i="67" s="1"/>
  <c r="AB159" i="67" s="1"/>
  <c r="AM38" i="67"/>
  <c r="AS38" i="67" s="1"/>
  <c r="AB158" i="67" s="1"/>
  <c r="F45" i="68"/>
  <c r="BB62" i="41"/>
  <c r="AX62" i="41"/>
  <c r="AI45" i="67"/>
  <c r="AJ45" i="67"/>
  <c r="K47" i="68"/>
  <c r="M47" i="68" s="1"/>
  <c r="U189" i="64"/>
  <c r="E47" i="66"/>
  <c r="G47" i="66" s="1"/>
  <c r="N8" i="67"/>
  <c r="L45" i="68"/>
  <c r="Y22" i="67"/>
  <c r="Z22" i="67"/>
  <c r="AC22" i="67" s="1"/>
  <c r="U176" i="66"/>
  <c r="AM45" i="67"/>
  <c r="S179" i="66"/>
  <c r="AL45" i="67"/>
  <c r="E59" i="64"/>
  <c r="AM48" i="41"/>
  <c r="A36" i="68"/>
  <c r="U192" i="64"/>
  <c r="BD59" i="64"/>
  <c r="T14" i="64"/>
  <c r="AA14" i="68"/>
  <c r="U176" i="68"/>
  <c r="F59" i="64"/>
  <c r="G59" i="64"/>
  <c r="AJ40" i="66"/>
  <c r="AL40" i="66" s="1"/>
  <c r="A42" i="67"/>
  <c r="I138" i="67" s="1"/>
  <c r="AM46" i="41"/>
  <c r="O47" i="68"/>
  <c r="R47" i="68" s="1"/>
  <c r="AF45" i="68"/>
  <c r="AH59" i="64"/>
  <c r="P59" i="64"/>
  <c r="U181" i="68"/>
  <c r="N59" i="64"/>
  <c r="U193" i="64"/>
  <c r="S194" i="64"/>
  <c r="AI38" i="64"/>
  <c r="AC61" i="41"/>
  <c r="AB62" i="41" s="1"/>
  <c r="B272" i="24" s="1"/>
  <c r="AG61" i="41"/>
  <c r="AG62" i="41" s="1"/>
  <c r="AB164" i="41" s="1"/>
  <c r="AM40" i="41"/>
  <c r="AS40" i="41" s="1"/>
  <c r="AB173" i="41" s="1"/>
  <c r="U190" i="64"/>
  <c r="A29" i="66"/>
  <c r="I104" i="66" s="1"/>
  <c r="Z47" i="66"/>
  <c r="AC47" i="66" s="1"/>
  <c r="U61" i="64"/>
  <c r="W61" i="64" s="1"/>
  <c r="S193" i="64"/>
  <c r="AL59" i="41"/>
  <c r="A40" i="66"/>
  <c r="T193" i="64"/>
  <c r="A36" i="66"/>
  <c r="K61" i="64"/>
  <c r="N61" i="64" s="1"/>
  <c r="BC45" i="68"/>
  <c r="AX48" i="68" s="1"/>
  <c r="H59" i="64"/>
  <c r="A38" i="64"/>
  <c r="U47" i="66"/>
  <c r="W47" i="66" s="1"/>
  <c r="AJ38" i="66"/>
  <c r="AM38" i="66" s="1"/>
  <c r="S181" i="68"/>
  <c r="Z61" i="64"/>
  <c r="AC61" i="64" s="1"/>
  <c r="AI40" i="64"/>
  <c r="AE47" i="66"/>
  <c r="AH47" i="66" s="1"/>
  <c r="P45" i="66"/>
  <c r="AJ36" i="66"/>
  <c r="AL36" i="66" s="1"/>
  <c r="H61" i="41"/>
  <c r="G62" i="41" s="1"/>
  <c r="AB159" i="41" s="1"/>
  <c r="W61" i="41"/>
  <c r="W62" i="41" s="1"/>
  <c r="B216" i="24" s="1"/>
  <c r="AM44" i="41"/>
  <c r="AS44" i="41" s="1"/>
  <c r="AM59" i="41"/>
  <c r="AJ36" i="64"/>
  <c r="AL36" i="64" s="1"/>
  <c r="AI40" i="68"/>
  <c r="S190" i="64"/>
  <c r="AI36" i="68"/>
  <c r="AJ36" i="68"/>
  <c r="AM36" i="68" s="1"/>
  <c r="AE47" i="68"/>
  <c r="AH47" i="68" s="1"/>
  <c r="E47" i="68"/>
  <c r="G47" i="68" s="1"/>
  <c r="AY48" i="68"/>
  <c r="AJ40" i="64"/>
  <c r="AM40" i="64" s="1"/>
  <c r="G45" i="68"/>
  <c r="AA59" i="64"/>
  <c r="AY45" i="66"/>
  <c r="U175" i="68"/>
  <c r="T175" i="66"/>
  <c r="AS8" i="68"/>
  <c r="U177" i="66"/>
  <c r="S178" i="66"/>
  <c r="U179" i="68"/>
  <c r="X45" i="68"/>
  <c r="X59" i="64"/>
  <c r="O47" i="66"/>
  <c r="Q47" i="66" s="1"/>
  <c r="E45" i="68"/>
  <c r="AI38" i="68"/>
  <c r="U47" i="68"/>
  <c r="X47" i="68" s="1"/>
  <c r="T179" i="66"/>
  <c r="AH45" i="66"/>
  <c r="T181" i="66"/>
  <c r="AB59" i="64"/>
  <c r="AZ59" i="64"/>
  <c r="AM52" i="41"/>
  <c r="AL52" i="41"/>
  <c r="AI36" i="64"/>
  <c r="AJ40" i="68"/>
  <c r="AM40" i="68" s="1"/>
  <c r="A38" i="66"/>
  <c r="AJ38" i="68"/>
  <c r="AM38" i="68" s="1"/>
  <c r="AA45" i="68"/>
  <c r="T190" i="64"/>
  <c r="AC45" i="68"/>
  <c r="AA45" i="66"/>
  <c r="AB45" i="68"/>
  <c r="AY48" i="66"/>
  <c r="A40" i="68"/>
  <c r="AF59" i="64"/>
  <c r="O61" i="64"/>
  <c r="R61" i="64" s="1"/>
  <c r="A38" i="68"/>
  <c r="Z47" i="68"/>
  <c r="AC47" i="68" s="1"/>
  <c r="U175" i="66"/>
  <c r="T180" i="68"/>
  <c r="F45" i="66"/>
  <c r="AE45" i="68"/>
  <c r="BB45" i="66"/>
  <c r="T179" i="68"/>
  <c r="AI38" i="66"/>
  <c r="U178" i="66"/>
  <c r="U178" i="68"/>
  <c r="E61" i="64"/>
  <c r="G61" i="64" s="1"/>
  <c r="AJ38" i="64"/>
  <c r="AL38" i="64" s="1"/>
  <c r="A36" i="64"/>
  <c r="AE61" i="64"/>
  <c r="AG61" i="64" s="1"/>
  <c r="S180" i="68"/>
  <c r="N45" i="66"/>
  <c r="T45" i="68"/>
  <c r="AI40" i="66"/>
  <c r="S189" i="64"/>
  <c r="M61" i="41"/>
  <c r="M62" i="41" s="1"/>
  <c r="AB160" i="41" s="1"/>
  <c r="A56" i="41"/>
  <c r="I152" i="41" s="1"/>
  <c r="K47" i="66"/>
  <c r="N47" i="66" s="1"/>
  <c r="U45" i="66"/>
  <c r="Q59" i="64"/>
  <c r="BE36" i="64"/>
  <c r="BE59" i="64" s="1"/>
  <c r="AG59" i="64"/>
  <c r="AI42" i="64"/>
  <c r="AJ42" i="64"/>
  <c r="V59" i="64"/>
  <c r="BA36" i="64"/>
  <c r="M59" i="64"/>
  <c r="AI48" i="64"/>
  <c r="AJ48" i="64"/>
  <c r="T176" i="66"/>
  <c r="AI44" i="64"/>
  <c r="AJ44" i="64"/>
  <c r="S191" i="64"/>
  <c r="BC38" i="64"/>
  <c r="T194" i="64"/>
  <c r="S192" i="64"/>
  <c r="AJ46" i="64"/>
  <c r="AI46" i="64"/>
  <c r="AI50" i="64"/>
  <c r="AJ50" i="64"/>
  <c r="AC59" i="64"/>
  <c r="AJ54" i="64"/>
  <c r="AI54" i="64"/>
  <c r="AI52" i="64"/>
  <c r="AJ52" i="64"/>
  <c r="T29" i="66"/>
  <c r="AS29" i="66" s="1"/>
  <c r="AL22" i="41"/>
  <c r="S29" i="67"/>
  <c r="T29" i="67"/>
  <c r="V29" i="67" s="1"/>
  <c r="N8" i="66"/>
  <c r="Q61" i="41"/>
  <c r="Q62" i="41" s="1"/>
  <c r="AS8" i="66"/>
  <c r="AC22" i="64"/>
  <c r="AC52" i="68"/>
  <c r="L175" i="41"/>
  <c r="E38" i="24"/>
  <c r="E21" i="24"/>
  <c r="AB22" i="41"/>
  <c r="AB24" i="41"/>
  <c r="B38" i="24" s="1"/>
  <c r="AL38" i="41"/>
  <c r="AM38" i="41"/>
  <c r="AJ59" i="41"/>
  <c r="H97" i="67"/>
  <c r="L159" i="67" s="1"/>
  <c r="AD66" i="64"/>
  <c r="AS36" i="67"/>
  <c r="AB157" i="67" s="1"/>
  <c r="AS44" i="64"/>
  <c r="AS42" i="64"/>
  <c r="AC66" i="64"/>
  <c r="M14" i="64"/>
  <c r="L16" i="64" s="1"/>
  <c r="L14" i="66"/>
  <c r="L16" i="66" s="1"/>
  <c r="BB48" i="67"/>
  <c r="BA48" i="67"/>
  <c r="AD52" i="67"/>
  <c r="W29" i="64"/>
  <c r="V29" i="64"/>
  <c r="AC52" i="67"/>
  <c r="AB24" i="68"/>
  <c r="G159" i="64"/>
  <c r="G160" i="64" s="1"/>
  <c r="F145" i="67"/>
  <c r="O22" i="68"/>
  <c r="O24" i="68" s="1"/>
  <c r="M14" i="68"/>
  <c r="L16" i="68" s="1"/>
  <c r="AC52" i="66"/>
  <c r="AH14" i="41"/>
  <c r="AD52" i="66"/>
  <c r="H97" i="68"/>
  <c r="L159" i="68" s="1"/>
  <c r="AL22" i="64"/>
  <c r="AB24" i="66"/>
  <c r="AM22" i="64"/>
  <c r="AP22" i="64" s="1"/>
  <c r="AM22" i="67"/>
  <c r="AO22" i="67" s="1"/>
  <c r="L173" i="64"/>
  <c r="F145" i="66"/>
  <c r="AF14" i="67"/>
  <c r="AH14" i="67" s="1"/>
  <c r="F146" i="66"/>
  <c r="E145" i="67"/>
  <c r="G145" i="66"/>
  <c r="G146" i="66" s="1"/>
  <c r="AL22" i="67"/>
  <c r="AF14" i="66"/>
  <c r="AH14" i="66" s="1"/>
  <c r="L175" i="64"/>
  <c r="F159" i="64"/>
  <c r="F146" i="68"/>
  <c r="AE14" i="66"/>
  <c r="AL22" i="66"/>
  <c r="M14" i="67"/>
  <c r="L16" i="67" s="1"/>
  <c r="AS14" i="67" s="1"/>
  <c r="F160" i="64"/>
  <c r="F145" i="68"/>
  <c r="E159" i="64"/>
  <c r="G145" i="68"/>
  <c r="G146" i="68" s="1"/>
  <c r="E145" i="68"/>
  <c r="AC22" i="66"/>
  <c r="AP22" i="41"/>
  <c r="O22" i="67"/>
  <c r="O24" i="67" s="1"/>
  <c r="AS14" i="41"/>
  <c r="A15" i="18" s="1"/>
  <c r="AM22" i="66"/>
  <c r="AO22" i="66" s="1"/>
  <c r="AM22" i="68"/>
  <c r="AP22" i="68" s="1"/>
  <c r="AE14" i="68"/>
  <c r="G145" i="67"/>
  <c r="G146" i="67" s="1"/>
  <c r="F146" i="67"/>
  <c r="P22" i="66"/>
  <c r="O24" i="66" s="1"/>
  <c r="L161" i="66"/>
  <c r="AF14" i="68"/>
  <c r="AH14" i="68" s="1"/>
  <c r="AL22" i="68"/>
  <c r="E145" i="66"/>
  <c r="H97" i="66"/>
  <c r="L159" i="66" s="1"/>
  <c r="AE14" i="67"/>
  <c r="W14" i="64"/>
  <c r="W16" i="64" s="1"/>
  <c r="X14" i="66"/>
  <c r="W16" i="66" s="1"/>
  <c r="W14" i="67"/>
  <c r="AE14" i="64"/>
  <c r="AF14" i="64"/>
  <c r="AB22" i="67" l="1"/>
  <c r="AB24" i="67" s="1"/>
  <c r="W29" i="68"/>
  <c r="X14" i="68"/>
  <c r="W16" i="68" s="1"/>
  <c r="L161" i="67"/>
  <c r="P22" i="64"/>
  <c r="O24" i="64" s="1"/>
  <c r="AS22" i="64" s="1"/>
  <c r="L161" i="68"/>
  <c r="Q47" i="68"/>
  <c r="Q48" i="68" s="1"/>
  <c r="AB147" i="68" s="1"/>
  <c r="E160" i="41"/>
  <c r="L164" i="41" s="1"/>
  <c r="AB22" i="68"/>
  <c r="BD62" i="41"/>
  <c r="AB165" i="41" s="1"/>
  <c r="X61" i="64"/>
  <c r="W62" i="64" s="1"/>
  <c r="AB162" i="64" s="1"/>
  <c r="AS38" i="41"/>
  <c r="AT56" i="41" s="1"/>
  <c r="AL38" i="68"/>
  <c r="N47" i="68"/>
  <c r="M48" i="68" s="1"/>
  <c r="AB146" i="68" s="1"/>
  <c r="AM40" i="66"/>
  <c r="AS40" i="66" s="1"/>
  <c r="AB159" i="66" s="1"/>
  <c r="AL40" i="64"/>
  <c r="AS40" i="64" s="1"/>
  <c r="AB173" i="64" s="1"/>
  <c r="AY78" i="41"/>
  <c r="B70" i="24"/>
  <c r="D61" i="67"/>
  <c r="L151" i="67"/>
  <c r="L166" i="67"/>
  <c r="AM36" i="64"/>
  <c r="AS36" i="64" s="1"/>
  <c r="AB171" i="64" s="1"/>
  <c r="H47" i="66"/>
  <c r="G48" i="66" s="1"/>
  <c r="AB145" i="66" s="1"/>
  <c r="Q61" i="64"/>
  <c r="Q62" i="64" s="1"/>
  <c r="AB161" i="64" s="1"/>
  <c r="AL40" i="68"/>
  <c r="B317" i="24"/>
  <c r="AS29" i="67"/>
  <c r="AB47" i="68"/>
  <c r="AB48" i="68" s="1"/>
  <c r="AB149" i="68" s="1"/>
  <c r="AJ45" i="66"/>
  <c r="AG47" i="66"/>
  <c r="AG48" i="66" s="1"/>
  <c r="AB150" i="66" s="1"/>
  <c r="AI59" i="64"/>
  <c r="BA48" i="68"/>
  <c r="AL36" i="68"/>
  <c r="AB47" i="66"/>
  <c r="AB48" i="66" s="1"/>
  <c r="AB149" i="66" s="1"/>
  <c r="X47" i="66"/>
  <c r="W48" i="66" s="1"/>
  <c r="AB148" i="66" s="1"/>
  <c r="BB48" i="68"/>
  <c r="W47" i="68"/>
  <c r="W48" i="68" s="1"/>
  <c r="AB148" i="68" s="1"/>
  <c r="AX48" i="66"/>
  <c r="AB163" i="41"/>
  <c r="A56" i="64"/>
  <c r="L165" i="64" s="1"/>
  <c r="AY75" i="41"/>
  <c r="M61" i="64"/>
  <c r="M62" i="64" s="1"/>
  <c r="AB160" i="64" s="1"/>
  <c r="AB61" i="64"/>
  <c r="AB62" i="64" s="1"/>
  <c r="AB163" i="64" s="1"/>
  <c r="AM36" i="66"/>
  <c r="AI45" i="68"/>
  <c r="A42" i="66"/>
  <c r="I138" i="66" s="1"/>
  <c r="H47" i="68"/>
  <c r="G48" i="68" s="1"/>
  <c r="AB145" i="68" s="1"/>
  <c r="M47" i="66"/>
  <c r="M48" i="66" s="1"/>
  <c r="AB146" i="66" s="1"/>
  <c r="AG47" i="68"/>
  <c r="AG48" i="68" s="1"/>
  <c r="AB150" i="68" s="1"/>
  <c r="AB162" i="41"/>
  <c r="AL38" i="66"/>
  <c r="AS38" i="66" s="1"/>
  <c r="AB158" i="66" s="1"/>
  <c r="BA48" i="66"/>
  <c r="AJ45" i="68"/>
  <c r="AJ59" i="64"/>
  <c r="AM38" i="64"/>
  <c r="AS38" i="64" s="1"/>
  <c r="AB172" i="64" s="1"/>
  <c r="V29" i="66"/>
  <c r="A42" i="68"/>
  <c r="I138" i="68" s="1"/>
  <c r="AI45" i="66"/>
  <c r="AM45" i="68"/>
  <c r="AH61" i="64"/>
  <c r="AG62" i="64" s="1"/>
  <c r="AB164" i="64" s="1"/>
  <c r="B126" i="24"/>
  <c r="BB48" i="66"/>
  <c r="R47" i="66"/>
  <c r="Q48" i="66" s="1"/>
  <c r="AB147" i="66" s="1"/>
  <c r="AL45" i="68"/>
  <c r="AM45" i="66"/>
  <c r="AL45" i="66"/>
  <c r="L165" i="41"/>
  <c r="L180" i="41"/>
  <c r="AM59" i="64"/>
  <c r="H61" i="64"/>
  <c r="G62" i="64" s="1"/>
  <c r="AB159" i="64" s="1"/>
  <c r="D75" i="41"/>
  <c r="AL59" i="64"/>
  <c r="AM54" i="64"/>
  <c r="AL54" i="64"/>
  <c r="BC59" i="64"/>
  <c r="T195" i="64"/>
  <c r="BA59" i="64"/>
  <c r="AY62" i="64"/>
  <c r="S195" i="64"/>
  <c r="AM50" i="64"/>
  <c r="AL50" i="64"/>
  <c r="AL44" i="64"/>
  <c r="AM44" i="64"/>
  <c r="AM42" i="64"/>
  <c r="AL42" i="64"/>
  <c r="AL52" i="64"/>
  <c r="AM52" i="64"/>
  <c r="AL46" i="64"/>
  <c r="AM46" i="64"/>
  <c r="AL48" i="64"/>
  <c r="AM48" i="64"/>
  <c r="W29" i="66"/>
  <c r="W29" i="67"/>
  <c r="AS22" i="67"/>
  <c r="Y194" i="67" s="1"/>
  <c r="AS22" i="41"/>
  <c r="A16" i="18" s="1"/>
  <c r="AB161" i="41"/>
  <c r="B182" i="24"/>
  <c r="AB167" i="67"/>
  <c r="AD167" i="67" s="1"/>
  <c r="L153" i="67" s="1"/>
  <c r="AS45" i="67"/>
  <c r="Y197" i="67" s="1"/>
  <c r="AT42" i="67"/>
  <c r="AS14" i="64"/>
  <c r="Y208" i="64" s="1"/>
  <c r="AS40" i="68"/>
  <c r="AB159" i="68" s="1"/>
  <c r="AS36" i="68"/>
  <c r="AB157" i="68" s="1"/>
  <c r="AS38" i="68"/>
  <c r="AB158" i="68" s="1"/>
  <c r="E146" i="68"/>
  <c r="L150" i="68" s="1"/>
  <c r="E146" i="66"/>
  <c r="D60" i="66" s="1"/>
  <c r="E146" i="67"/>
  <c r="D60" i="67" s="1"/>
  <c r="E160" i="64"/>
  <c r="L164" i="64" s="1"/>
  <c r="AS22" i="68"/>
  <c r="AO22" i="64"/>
  <c r="AS14" i="68"/>
  <c r="AS14" i="66"/>
  <c r="AS22" i="66"/>
  <c r="BD48" i="67"/>
  <c r="AB151" i="67" s="1"/>
  <c r="AE152" i="67" s="1"/>
  <c r="AP22" i="66"/>
  <c r="AP22" i="67"/>
  <c r="AY64" i="67"/>
  <c r="AI14" i="67"/>
  <c r="AI14" i="66"/>
  <c r="AO22" i="68"/>
  <c r="AI14" i="68"/>
  <c r="AI14" i="64"/>
  <c r="AH14" i="64"/>
  <c r="K172" i="64" l="1"/>
  <c r="L174" i="64" s="1"/>
  <c r="A203" i="41"/>
  <c r="D74" i="41"/>
  <c r="AB172" i="41"/>
  <c r="AB181" i="41" s="1"/>
  <c r="AD181" i="41" s="1"/>
  <c r="D77" i="41" s="1"/>
  <c r="AY64" i="66"/>
  <c r="AS59" i="41"/>
  <c r="A18" i="18" s="1"/>
  <c r="A13" i="18" s="1"/>
  <c r="C13" i="18" s="1"/>
  <c r="E69" i="24"/>
  <c r="B69" i="24"/>
  <c r="AY61" i="68"/>
  <c r="AT42" i="66"/>
  <c r="BD48" i="68"/>
  <c r="AB151" i="68" s="1"/>
  <c r="AB152" i="68" s="1"/>
  <c r="AD152" i="68" s="1"/>
  <c r="AB167" i="66"/>
  <c r="AD167" i="66" s="1"/>
  <c r="D63" i="66" s="1"/>
  <c r="L151" i="66"/>
  <c r="L166" i="66"/>
  <c r="D61" i="66"/>
  <c r="L180" i="64"/>
  <c r="I152" i="64"/>
  <c r="D75" i="64"/>
  <c r="L166" i="68"/>
  <c r="BD48" i="66"/>
  <c r="AB151" i="66" s="1"/>
  <c r="AB152" i="66" s="1"/>
  <c r="AD152" i="66" s="1"/>
  <c r="AB181" i="64"/>
  <c r="AD181" i="64" s="1"/>
  <c r="D77" i="64" s="1"/>
  <c r="AS45" i="66"/>
  <c r="K164" i="66" s="1"/>
  <c r="L164" i="66" s="1"/>
  <c r="K172" i="41"/>
  <c r="L172" i="41" s="1"/>
  <c r="AY64" i="68"/>
  <c r="D61" i="68"/>
  <c r="L151" i="68"/>
  <c r="K158" i="67"/>
  <c r="L158" i="67" s="1"/>
  <c r="AY75" i="64"/>
  <c r="AX62" i="64"/>
  <c r="BB62" i="64"/>
  <c r="BA62" i="64"/>
  <c r="Y208" i="41"/>
  <c r="AE166" i="41"/>
  <c r="AB166" i="41"/>
  <c r="AD166" i="41" s="1"/>
  <c r="D63" i="67"/>
  <c r="D60" i="68"/>
  <c r="K164" i="67"/>
  <c r="L167" i="67" s="1"/>
  <c r="AS45" i="68"/>
  <c r="BB62" i="68" s="1"/>
  <c r="AB79" i="41" s="1"/>
  <c r="AB167" i="68"/>
  <c r="AD167" i="68" s="1"/>
  <c r="D63" i="68" s="1"/>
  <c r="AT42" i="68"/>
  <c r="AY78" i="64"/>
  <c r="K158" i="68"/>
  <c r="L160" i="68" s="1"/>
  <c r="Y194" i="68"/>
  <c r="L150" i="66"/>
  <c r="L150" i="67"/>
  <c r="D74" i="64"/>
  <c r="AT56" i="64"/>
  <c r="AS59" i="64"/>
  <c r="K178" i="64" s="1"/>
  <c r="L178" i="64" s="1"/>
  <c r="Y194" i="66"/>
  <c r="K158" i="66"/>
  <c r="L160" i="66" s="1"/>
  <c r="A189" i="67"/>
  <c r="AB152" i="67"/>
  <c r="AD152" i="67" s="1"/>
  <c r="D62" i="67" s="1"/>
  <c r="AY61" i="66"/>
  <c r="L172" i="64"/>
  <c r="L176" i="64" s="1"/>
  <c r="AB208" i="64" s="1"/>
  <c r="AY61" i="67"/>
  <c r="BB62" i="67" s="1"/>
  <c r="L17" i="18" s="1"/>
  <c r="L167" i="41" l="1"/>
  <c r="J13" i="18"/>
  <c r="BB76" i="41"/>
  <c r="K163" i="41" s="1"/>
  <c r="L163" i="41" s="1"/>
  <c r="K178" i="41"/>
  <c r="L178" i="41" s="1"/>
  <c r="Y211" i="41"/>
  <c r="BD62" i="64"/>
  <c r="L179" i="64" s="1"/>
  <c r="AE152" i="66"/>
  <c r="A189" i="68"/>
  <c r="L153" i="66"/>
  <c r="A189" i="66"/>
  <c r="L160" i="67"/>
  <c r="L167" i="64"/>
  <c r="L167" i="66"/>
  <c r="BB62" i="66"/>
  <c r="L16" i="18" s="1"/>
  <c r="L164" i="67"/>
  <c r="L174" i="41"/>
  <c r="L176" i="41" s="1"/>
  <c r="AB208" i="41" s="1"/>
  <c r="Y197" i="66"/>
  <c r="L165" i="66"/>
  <c r="D76" i="41"/>
  <c r="L166" i="41"/>
  <c r="AE152" i="68"/>
  <c r="L165" i="67"/>
  <c r="L158" i="68"/>
  <c r="L162" i="68" s="1"/>
  <c r="AB194" i="68" s="1"/>
  <c r="Y197" i="68"/>
  <c r="L153" i="68"/>
  <c r="K164" i="68"/>
  <c r="L164" i="68" s="1"/>
  <c r="AB78" i="41"/>
  <c r="K149" i="67"/>
  <c r="L154" i="67" s="1"/>
  <c r="L168" i="67"/>
  <c r="AB197" i="67" s="1"/>
  <c r="L168" i="66"/>
  <c r="AB197" i="66" s="1"/>
  <c r="BB76" i="64"/>
  <c r="L15" i="18" s="1"/>
  <c r="K149" i="68"/>
  <c r="L154" i="68" s="1"/>
  <c r="L158" i="66"/>
  <c r="L162" i="66" s="1"/>
  <c r="AB194" i="66" s="1"/>
  <c r="L181" i="64"/>
  <c r="Y211" i="64"/>
  <c r="L152" i="67"/>
  <c r="L152" i="66"/>
  <c r="D62" i="66"/>
  <c r="L152" i="68"/>
  <c r="D62" i="68"/>
  <c r="L162" i="67"/>
  <c r="AB194" i="67" s="1"/>
  <c r="A203" i="64" l="1"/>
  <c r="L168" i="41"/>
  <c r="L169" i="41" s="1"/>
  <c r="L13" i="18"/>
  <c r="A3" i="24"/>
  <c r="D73" i="41"/>
  <c r="D78" i="41"/>
  <c r="L181" i="41"/>
  <c r="L179" i="41"/>
  <c r="AB165" i="64"/>
  <c r="AB166" i="64" s="1"/>
  <c r="AD166" i="64" s="1"/>
  <c r="K149" i="66"/>
  <c r="D59" i="66" s="1"/>
  <c r="AB77" i="41"/>
  <c r="L167" i="68"/>
  <c r="L149" i="67"/>
  <c r="L155" i="67" s="1"/>
  <c r="L165" i="68"/>
  <c r="D64" i="67"/>
  <c r="D59" i="67"/>
  <c r="L168" i="68"/>
  <c r="AB197" i="68" s="1"/>
  <c r="K163" i="64"/>
  <c r="L163" i="64" s="1"/>
  <c r="AB76" i="41"/>
  <c r="D59" i="68"/>
  <c r="L149" i="68"/>
  <c r="L155" i="68" s="1"/>
  <c r="D64" i="68"/>
  <c r="L182" i="64"/>
  <c r="AB211" i="64" s="1"/>
  <c r="AE166" i="64" l="1"/>
  <c r="D79" i="41"/>
  <c r="BE76" i="41" s="1"/>
  <c r="N13" i="18" s="1"/>
  <c r="L182" i="41"/>
  <c r="AB211" i="41" s="1"/>
  <c r="D76" i="64"/>
  <c r="L166" i="64"/>
  <c r="D64" i="66"/>
  <c r="D65" i="66" s="1"/>
  <c r="BE62" i="66" s="1"/>
  <c r="AD77" i="41" s="1"/>
  <c r="L154" i="66"/>
  <c r="L149" i="66"/>
  <c r="D65" i="67"/>
  <c r="BE62" i="67" s="1"/>
  <c r="N17" i="18" s="1"/>
  <c r="D65" i="68"/>
  <c r="BE62" i="68" s="1"/>
  <c r="AD79" i="41" s="1"/>
  <c r="D78" i="64"/>
  <c r="L168" i="64"/>
  <c r="D73" i="64"/>
  <c r="N16" i="18"/>
  <c r="L169" i="64" l="1"/>
  <c r="A4" i="24"/>
  <c r="L155" i="66"/>
  <c r="AD78" i="41"/>
  <c r="D79" i="64"/>
  <c r="BE76" i="64" s="1"/>
  <c r="N15" i="18" s="1"/>
  <c r="N18" i="18"/>
  <c r="L18" i="18"/>
  <c r="AD76" i="41" l="1"/>
  <c r="AB34"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mdusemond</author>
  </authors>
  <commentList>
    <comment ref="Q9" authorId="0" shapeId="0" xr:uid="{7783C40C-D8A9-44DF-97C8-627F7FF59490}">
      <text>
        <r>
          <rPr>
            <sz val="9"/>
            <color indexed="81"/>
            <rFont val="Segoe UI"/>
            <family val="2"/>
          </rPr>
          <t>a 4-digit number only = PMP Step; otherwise it is a document reference</t>
        </r>
      </text>
    </comment>
  </commentList>
</comments>
</file>

<file path=xl/sharedStrings.xml><?xml version="1.0" encoding="utf-8"?>
<sst xmlns="http://schemas.openxmlformats.org/spreadsheetml/2006/main" count="3383" uniqueCount="1029">
  <si>
    <t>6.2.2</t>
  </si>
  <si>
    <t>6.2.3</t>
  </si>
  <si>
    <t>6.2.4</t>
  </si>
  <si>
    <t>6.3</t>
  </si>
  <si>
    <t>6.3.2</t>
  </si>
  <si>
    <t>Epmath</t>
  </si>
  <si>
    <t>Kombinationsmöglichkeiten A-B-C</t>
  </si>
  <si>
    <t>x</t>
  </si>
  <si>
    <t>Auditor:</t>
  </si>
  <si>
    <t>Q-Management:</t>
  </si>
  <si>
    <t>A</t>
  </si>
  <si>
    <t>Datum</t>
  </si>
  <si>
    <t>E1</t>
  </si>
  <si>
    <t>E2</t>
  </si>
  <si>
    <t>E3</t>
  </si>
  <si>
    <t>1.:</t>
  </si>
  <si>
    <t>2.:</t>
  </si>
  <si>
    <t>B</t>
  </si>
  <si>
    <t>3.:</t>
  </si>
  <si>
    <t>C</t>
  </si>
  <si>
    <t>4.:</t>
  </si>
  <si>
    <t>5.:</t>
  </si>
  <si>
    <t>6.:</t>
  </si>
  <si>
    <t>7.:</t>
  </si>
  <si>
    <t>EU1</t>
  </si>
  <si>
    <t>EU2</t>
  </si>
  <si>
    <t>EU3</t>
  </si>
  <si>
    <t>EU4</t>
  </si>
  <si>
    <t>Sofortmaßnahmen</t>
  </si>
  <si>
    <t>Prozesschritte</t>
  </si>
  <si>
    <t>2.1</t>
  </si>
  <si>
    <t>Eu1-Eu3</t>
  </si>
  <si>
    <t>Produkt</t>
  </si>
  <si>
    <t>Prozess</t>
  </si>
  <si>
    <t>6.1.3</t>
  </si>
  <si>
    <t>6.1.4</t>
  </si>
  <si>
    <t>6.1.5</t>
  </si>
  <si>
    <t>6.2.5</t>
  </si>
  <si>
    <t>6.3.1</t>
  </si>
  <si>
    <t>6.3.3</t>
  </si>
  <si>
    <t>6.4.1</t>
  </si>
  <si>
    <t>6.4.3</t>
  </si>
  <si>
    <t>6.4.4</t>
  </si>
  <si>
    <t>6.5.1</t>
  </si>
  <si>
    <t>6.5.2</t>
  </si>
  <si>
    <t>6.6.2</t>
  </si>
  <si>
    <t>6.6.3</t>
  </si>
  <si>
    <t>6.6.4</t>
  </si>
  <si>
    <t>6.1.2</t>
  </si>
  <si>
    <t>Erfüllungsgrad:</t>
  </si>
  <si>
    <r>
      <t>E</t>
    </r>
    <r>
      <rPr>
        <b/>
        <vertAlign val="subscript"/>
        <sz val="10"/>
        <rFont val="Arial"/>
        <family val="2"/>
      </rPr>
      <t>u7</t>
    </r>
  </si>
  <si>
    <r>
      <t>E</t>
    </r>
    <r>
      <rPr>
        <b/>
        <vertAlign val="subscript"/>
        <sz val="10"/>
        <rFont val="Arial"/>
        <family val="2"/>
      </rPr>
      <t>u6</t>
    </r>
  </si>
  <si>
    <r>
      <t>E</t>
    </r>
    <r>
      <rPr>
        <b/>
        <vertAlign val="subscript"/>
        <sz val="10"/>
        <rFont val="Arial"/>
        <family val="2"/>
      </rPr>
      <t>u5</t>
    </r>
  </si>
  <si>
    <r>
      <t>E</t>
    </r>
    <r>
      <rPr>
        <b/>
        <vertAlign val="subscript"/>
        <sz val="10"/>
        <rFont val="Arial"/>
        <family val="2"/>
      </rPr>
      <t>u4</t>
    </r>
  </si>
  <si>
    <r>
      <t>E</t>
    </r>
    <r>
      <rPr>
        <b/>
        <vertAlign val="subscript"/>
        <sz val="10"/>
        <rFont val="Arial"/>
        <family val="2"/>
      </rPr>
      <t>u3</t>
    </r>
  </si>
  <si>
    <r>
      <t>E</t>
    </r>
    <r>
      <rPr>
        <b/>
        <vertAlign val="subscript"/>
        <sz val="10"/>
        <rFont val="Arial"/>
        <family val="2"/>
      </rPr>
      <t>u2</t>
    </r>
  </si>
  <si>
    <r>
      <t>E</t>
    </r>
    <r>
      <rPr>
        <b/>
        <vertAlign val="subscript"/>
        <sz val="10"/>
        <rFont val="Arial"/>
        <family val="2"/>
      </rPr>
      <t>u1</t>
    </r>
  </si>
  <si>
    <t>6.2.3*</t>
  </si>
  <si>
    <t>6.2.4*</t>
  </si>
  <si>
    <r>
      <t>E</t>
    </r>
    <r>
      <rPr>
        <b/>
        <vertAlign val="subscript"/>
        <sz val="9"/>
        <rFont val="Arial"/>
        <family val="2"/>
      </rPr>
      <t xml:space="preserve">PzP </t>
    </r>
  </si>
  <si>
    <t>Prozessschritt  1:</t>
  </si>
  <si>
    <t>Prozessschritt  2:</t>
  </si>
  <si>
    <t>Prozessschritt  3:</t>
  </si>
  <si>
    <t>5.1</t>
  </si>
  <si>
    <t>6.1</t>
  </si>
  <si>
    <t>Einstufung:</t>
  </si>
  <si>
    <r>
      <t>E</t>
    </r>
    <r>
      <rPr>
        <b/>
        <vertAlign val="subscript"/>
        <sz val="9"/>
        <rFont val="Arial"/>
        <family val="2"/>
      </rPr>
      <t xml:space="preserve">PdP </t>
    </r>
  </si>
  <si>
    <r>
      <t>E</t>
    </r>
    <r>
      <rPr>
        <b/>
        <vertAlign val="subscript"/>
        <sz val="9"/>
        <rFont val="Arial"/>
        <family val="2"/>
      </rPr>
      <t xml:space="preserve">PdR </t>
    </r>
  </si>
  <si>
    <r>
      <t>E</t>
    </r>
    <r>
      <rPr>
        <b/>
        <vertAlign val="subscript"/>
        <sz val="9"/>
        <rFont val="Arial"/>
        <family val="2"/>
      </rPr>
      <t xml:space="preserve">PzR </t>
    </r>
  </si>
  <si>
    <r>
      <t>E</t>
    </r>
    <r>
      <rPr>
        <b/>
        <vertAlign val="subscript"/>
        <sz val="9"/>
        <rFont val="Arial"/>
        <family val="2"/>
      </rPr>
      <t>1</t>
    </r>
  </si>
  <si>
    <r>
      <t>E</t>
    </r>
    <r>
      <rPr>
        <b/>
        <vertAlign val="subscript"/>
        <sz val="9"/>
        <rFont val="Arial"/>
        <family val="2"/>
      </rPr>
      <t>2</t>
    </r>
  </si>
  <si>
    <r>
      <t>E</t>
    </r>
    <r>
      <rPr>
        <b/>
        <vertAlign val="subscript"/>
        <sz val="9"/>
        <rFont val="Arial"/>
        <family val="2"/>
      </rPr>
      <t>3</t>
    </r>
  </si>
  <si>
    <r>
      <t>E</t>
    </r>
    <r>
      <rPr>
        <b/>
        <vertAlign val="subscript"/>
        <sz val="12"/>
        <rFont val="Arial"/>
        <family val="2"/>
      </rPr>
      <t>D</t>
    </r>
    <r>
      <rPr>
        <b/>
        <sz val="12"/>
        <rFont val="Arial"/>
        <family val="2"/>
      </rPr>
      <t xml:space="preserve"> [%]</t>
    </r>
  </si>
  <si>
    <r>
      <t>E</t>
    </r>
    <r>
      <rPr>
        <b/>
        <vertAlign val="subscript"/>
        <sz val="12"/>
        <rFont val="Arial"/>
        <family val="2"/>
      </rPr>
      <t>P</t>
    </r>
    <r>
      <rPr>
        <b/>
        <sz val="12"/>
        <rFont val="Arial"/>
        <family val="2"/>
      </rPr>
      <t>[%]</t>
    </r>
  </si>
  <si>
    <t>2.4</t>
  </si>
  <si>
    <t>Epteilnoten</t>
  </si>
  <si>
    <t>Frage</t>
  </si>
  <si>
    <t>* Fragen</t>
  </si>
  <si>
    <t>3.1</t>
  </si>
  <si>
    <t>3.2</t>
  </si>
  <si>
    <t>3.3</t>
  </si>
  <si>
    <t>3.4</t>
  </si>
  <si>
    <t>3.5</t>
  </si>
  <si>
    <t>n.b.</t>
  </si>
  <si>
    <t>4.1</t>
  </si>
  <si>
    <t>Druckauswahl</t>
  </si>
  <si>
    <t>Deckblatt</t>
  </si>
  <si>
    <t>Q-Fähigkeit</t>
  </si>
  <si>
    <t>Proz-Balken</t>
  </si>
  <si>
    <t>Streifenliste</t>
  </si>
  <si>
    <t>QTP dt.</t>
  </si>
  <si>
    <t>Auswertg 1+3</t>
  </si>
  <si>
    <t>Auswertg 2</t>
  </si>
  <si>
    <t>Erläuterung</t>
  </si>
  <si>
    <t>QTP engl.</t>
  </si>
  <si>
    <t>Vorabkopie</t>
  </si>
  <si>
    <t>P2</t>
  </si>
  <si>
    <t>P3</t>
  </si>
  <si>
    <t>P4</t>
  </si>
  <si>
    <t>P5</t>
  </si>
  <si>
    <t>P6</t>
  </si>
  <si>
    <t>P7</t>
  </si>
  <si>
    <t>EU5</t>
  </si>
  <si>
    <t>EU6</t>
  </si>
  <si>
    <t>C = 9</t>
  </si>
  <si>
    <t>B = 2</t>
  </si>
  <si>
    <t>A = 1</t>
  </si>
  <si>
    <t>ProdA</t>
  </si>
  <si>
    <t>ProduktA</t>
  </si>
  <si>
    <t>ProduktA2</t>
  </si>
  <si>
    <t>ProzessA</t>
  </si>
  <si>
    <t>5.2</t>
  </si>
  <si>
    <t>5.3</t>
  </si>
  <si>
    <t>5.4</t>
  </si>
  <si>
    <t>5.5</t>
  </si>
  <si>
    <t>5.6</t>
  </si>
  <si>
    <t>5.7</t>
  </si>
  <si>
    <t>6.1.1</t>
  </si>
  <si>
    <t>6.2</t>
  </si>
  <si>
    <t>6.2.1</t>
  </si>
  <si>
    <t>6.4</t>
  </si>
  <si>
    <t>6.4.2</t>
  </si>
  <si>
    <t>6.5</t>
  </si>
  <si>
    <t>6.5.3</t>
  </si>
  <si>
    <t>6.5.4</t>
  </si>
  <si>
    <t>6.6</t>
  </si>
  <si>
    <t>6.6.1</t>
  </si>
  <si>
    <t>7.1</t>
  </si>
  <si>
    <t>7.2</t>
  </si>
  <si>
    <t>7.3</t>
  </si>
  <si>
    <t>7.4</t>
  </si>
  <si>
    <t>7.5</t>
  </si>
  <si>
    <t>2.2</t>
  </si>
  <si>
    <t>2.3</t>
  </si>
  <si>
    <t>2.5</t>
  </si>
  <si>
    <t>2.6</t>
  </si>
  <si>
    <t>2.7</t>
  </si>
  <si>
    <t>4.2</t>
  </si>
  <si>
    <t>4.3</t>
  </si>
  <si>
    <t>4.4</t>
  </si>
  <si>
    <t>4.5</t>
  </si>
  <si>
    <t>4.6</t>
  </si>
  <si>
    <t>4.7</t>
  </si>
  <si>
    <t>EU7</t>
  </si>
  <si>
    <r>
      <t>E</t>
    </r>
    <r>
      <rPr>
        <b/>
        <vertAlign val="subscript"/>
        <sz val="14"/>
        <rFont val="Arial"/>
        <family val="2"/>
      </rPr>
      <t>PN</t>
    </r>
  </si>
  <si>
    <t>Bewertung Einzelfragen</t>
  </si>
  <si>
    <t>E1..En=</t>
  </si>
  <si>
    <t>MW bei *</t>
  </si>
  <si>
    <t>Min</t>
  </si>
  <si>
    <t>*-Bew</t>
  </si>
  <si>
    <t>E1…E10 &lt;80 % gibt’s "B", &lt;70 % gibt’s "C"</t>
  </si>
  <si>
    <t>Gesamtrating EG</t>
  </si>
  <si>
    <t>Eu1..Eu7=</t>
  </si>
  <si>
    <t>Teilbewertung *Fragen</t>
  </si>
  <si>
    <t>Teilbewertung Fragen auf 0 PKT</t>
  </si>
  <si>
    <t>rechnerisch Ed</t>
  </si>
  <si>
    <t>Gesamt Ed</t>
  </si>
  <si>
    <t>rechnerisch Ep</t>
  </si>
  <si>
    <t xml:space="preserve">Prozesschritte bzgl. </t>
  </si>
  <si>
    <t>Sternchenfrage</t>
  </si>
  <si>
    <t>Position</t>
  </si>
  <si>
    <t>Version</t>
  </si>
  <si>
    <t xml:space="preserve"> </t>
  </si>
  <si>
    <t>G58</t>
  </si>
  <si>
    <t>N58</t>
  </si>
  <si>
    <t>Eu1</t>
  </si>
  <si>
    <t>Eu2</t>
  </si>
  <si>
    <t>Eu3</t>
  </si>
  <si>
    <t>Eu4</t>
  </si>
  <si>
    <t>Eu5</t>
  </si>
  <si>
    <t>Eu6</t>
  </si>
  <si>
    <t>Eu7</t>
  </si>
  <si>
    <t>am32</t>
  </si>
  <si>
    <t>am34</t>
  </si>
  <si>
    <t>am36</t>
  </si>
  <si>
    <t>Ergebnis aus Feld "Epp" heißt "ede"</t>
  </si>
  <si>
    <t>Achtung:</t>
  </si>
  <si>
    <t>Egebnis aus Feld "Epr" heißt "epe"</t>
  </si>
  <si>
    <t>Sternchenfragen aus P5, P6, P7</t>
  </si>
  <si>
    <t>Keine Frage Teil B Produktion darf Null sein, sonst "B"</t>
  </si>
  <si>
    <t>Keine Frage Teil A Entwicklung darf Null sein, sonst "B"</t>
  </si>
  <si>
    <t>rechnerisch EG, C&lt;80, B&lt;90,</t>
  </si>
  <si>
    <t>Sternchenfragen gesamt für EG, eine mit 4 "B", eine mit 0 "C"</t>
  </si>
  <si>
    <t>Abwertungsmonitor</t>
  </si>
  <si>
    <t>Sternchenfragen aus P2, P3,P4</t>
  </si>
  <si>
    <t>Keine Frage Teil A u. Teil B darf 0 sein, sonst "B"</t>
  </si>
  <si>
    <t>Gesamt Ep</t>
  </si>
  <si>
    <t>Teilnoten Epm, Epp, Epr, &lt;80 % gibt's "B", &lt;70 % gibt's "C"</t>
  </si>
  <si>
    <t>R58</t>
  </si>
  <si>
    <t>WENN(MIN(AM32:AM50)&lt;70%;"C";+WENN(MIN(AM32:AM50)&lt;80%;"B";"A"))</t>
  </si>
  <si>
    <t>W58</t>
  </si>
  <si>
    <t>AB58</t>
  </si>
  <si>
    <t>AG58</t>
  </si>
  <si>
    <t>AV58</t>
  </si>
  <si>
    <t>Teilnoten Epm, Epp, Epr,Elm, Epg, Ek &lt;80 % gibt's "B", &lt;70 % gibt's "C"</t>
  </si>
  <si>
    <t>Teilnoten Elm, Epg, EK,E1...En,Eu1...Eu7, &lt;80 gibt’s B, &lt;70 gibt’s C</t>
  </si>
  <si>
    <t>Einstufungsergebnisse(A,B,C) müssen unter Berücksichtigung der Abstufungsregeln vom Auditor überprüft werden !</t>
  </si>
  <si>
    <t>PS1</t>
  </si>
  <si>
    <t>PS2</t>
  </si>
  <si>
    <t>PS3</t>
  </si>
  <si>
    <t>Änderungshistorie</t>
  </si>
  <si>
    <t>2.5*</t>
  </si>
  <si>
    <t>IST</t>
  </si>
  <si>
    <t>3.2*</t>
  </si>
  <si>
    <t>5.4*</t>
  </si>
  <si>
    <t>7.3*</t>
  </si>
  <si>
    <t>2.6*</t>
  </si>
  <si>
    <t>4.1*</t>
  </si>
  <si>
    <t>4.4*</t>
  </si>
  <si>
    <t>6.1.5*</t>
  </si>
  <si>
    <t>kein *</t>
  </si>
  <si>
    <t>6.4.1*</t>
  </si>
  <si>
    <t>6.4.3*</t>
  </si>
  <si>
    <t>6.4.5</t>
  </si>
  <si>
    <t>6.6.4*</t>
  </si>
  <si>
    <t>7.4*</t>
  </si>
  <si>
    <t>5.5*</t>
  </si>
  <si>
    <t>Date:</t>
  </si>
  <si>
    <t>Street:</t>
  </si>
  <si>
    <t>Revision 2016</t>
  </si>
  <si>
    <t>TM</t>
  </si>
  <si>
    <t>Blattname</t>
  </si>
  <si>
    <t>Sprachen</t>
  </si>
  <si>
    <t>P6=</t>
  </si>
  <si>
    <t>P7=</t>
  </si>
  <si>
    <t>P2=</t>
  </si>
  <si>
    <t>P3=</t>
  </si>
  <si>
    <t>P4=</t>
  </si>
  <si>
    <t>P5=</t>
  </si>
  <si>
    <t>First:</t>
  </si>
  <si>
    <t>Second:</t>
  </si>
  <si>
    <t>Third:</t>
  </si>
  <si>
    <t>Fourth:</t>
  </si>
  <si>
    <t>one</t>
  </si>
  <si>
    <t>two</t>
  </si>
  <si>
    <t>three</t>
  </si>
  <si>
    <t>five</t>
  </si>
  <si>
    <t>six</t>
  </si>
  <si>
    <t>seven</t>
  </si>
  <si>
    <t>eight</t>
  </si>
  <si>
    <t>nine</t>
  </si>
  <si>
    <t>ten</t>
  </si>
  <si>
    <t>four</t>
  </si>
  <si>
    <t>EingabeMaske</t>
  </si>
  <si>
    <t>Q-Fähigk.</t>
  </si>
  <si>
    <t>Country:</t>
  </si>
  <si>
    <t>Participants:</t>
  </si>
  <si>
    <t>Fragen</t>
  </si>
  <si>
    <t>Pro-duct</t>
  </si>
  <si>
    <t>Pro-cess</t>
  </si>
  <si>
    <t>No.</t>
  </si>
  <si>
    <t>Type</t>
  </si>
  <si>
    <t>Question</t>
  </si>
  <si>
    <t>Product Group 1</t>
  </si>
  <si>
    <t>Product Group 2</t>
  </si>
  <si>
    <t>Product Group 3</t>
  </si>
  <si>
    <t>Product Group 4</t>
  </si>
  <si>
    <t>EG [%]</t>
  </si>
  <si>
    <r>
      <t>E</t>
    </r>
    <r>
      <rPr>
        <b/>
        <vertAlign val="subscript"/>
        <sz val="10"/>
        <rFont val="Arial"/>
        <family val="2"/>
      </rPr>
      <t>G(PGN)</t>
    </r>
    <r>
      <rPr>
        <b/>
        <sz val="11"/>
        <rFont val="Arial"/>
        <family val="2"/>
      </rPr>
      <t>[%]</t>
    </r>
  </si>
  <si>
    <r>
      <t>E</t>
    </r>
    <r>
      <rPr>
        <b/>
        <vertAlign val="subscript"/>
        <sz val="12"/>
        <rFont val="Arial"/>
        <family val="2"/>
      </rPr>
      <t>G</t>
    </r>
    <r>
      <rPr>
        <b/>
        <sz val="12"/>
        <rFont val="Arial"/>
        <family val="2"/>
      </rPr>
      <t xml:space="preserve"> [%]</t>
    </r>
  </si>
  <si>
    <t>MAX</t>
  </si>
  <si>
    <t>Name:</t>
  </si>
  <si>
    <t>Anmerkung:  Eintrag "n.b." = Frage ist nicht bewertet. Eintrag "xx" = Frage ist nicht anwendbar. Pro bewerteten Prozesselement müssen mind. 2/3 aller Fragen bewertet werden.</t>
  </si>
  <si>
    <t>Data Input for Compiling Report</t>
  </si>
  <si>
    <t>Audit Reason:</t>
  </si>
  <si>
    <t>Supplier:</t>
  </si>
  <si>
    <t>Location:</t>
  </si>
  <si>
    <t>Manufacturing Site (Post Code):</t>
  </si>
  <si>
    <t>Telephone Number:</t>
  </si>
  <si>
    <t>Fax Number:</t>
  </si>
  <si>
    <t>Last Audit Results  / Certificate</t>
  </si>
  <si>
    <t>Process Steps:</t>
  </si>
  <si>
    <t>Department:</t>
  </si>
  <si>
    <t>Senior Management:</t>
  </si>
  <si>
    <t>Plant Management:</t>
  </si>
  <si>
    <t>Company (brief form):</t>
  </si>
  <si>
    <t>Distribution 1 Company:</t>
  </si>
  <si>
    <t>Distribution 2 Company:</t>
  </si>
  <si>
    <t>Distribution 3 Company:</t>
  </si>
  <si>
    <t xml:space="preserve">Engl. </t>
  </si>
  <si>
    <t>Statements / Requirements</t>
  </si>
  <si>
    <t>Process Audit</t>
  </si>
  <si>
    <t xml:space="preserve">Are incoming materials stored appropriately and are transport facilities / packing arrangements suitable for the special characteristics of the incoming materials ? </t>
  </si>
  <si>
    <t>Distribution 4 Company:</t>
  </si>
  <si>
    <t>Distribution 5 Company:</t>
  </si>
  <si>
    <t>Distribution 6 Company:</t>
  </si>
  <si>
    <t>Audit Organization:</t>
  </si>
  <si>
    <t>Distribution</t>
  </si>
  <si>
    <t>Issue Date</t>
  </si>
  <si>
    <t>Conducted by</t>
  </si>
  <si>
    <t>Result / Certificate No.</t>
  </si>
  <si>
    <t>Distribution Internal</t>
  </si>
  <si>
    <t xml:space="preserve">Supplier Management </t>
  </si>
  <si>
    <t xml:space="preserve">Are the necessary identifications / records / approvals available and allocated appropriately to the incoming materials ? </t>
  </si>
  <si>
    <t>Corrective Actions see 'Individual Results' in 'Immediate Actions'</t>
  </si>
  <si>
    <t>Points</t>
  </si>
  <si>
    <t>Show all rows</t>
  </si>
  <si>
    <t>Please rate!</t>
  </si>
  <si>
    <t>No weak points identified</t>
  </si>
  <si>
    <r>
      <t>E</t>
    </r>
    <r>
      <rPr>
        <vertAlign val="subscript"/>
        <sz val="10"/>
        <rFont val="Arial"/>
        <family val="2"/>
      </rPr>
      <t xml:space="preserve">P2 </t>
    </r>
  </si>
  <si>
    <r>
      <t>E</t>
    </r>
    <r>
      <rPr>
        <b/>
        <vertAlign val="subscript"/>
        <sz val="10"/>
        <rFont val="Arial"/>
        <family val="2"/>
      </rPr>
      <t>P3</t>
    </r>
  </si>
  <si>
    <r>
      <t>E</t>
    </r>
    <r>
      <rPr>
        <b/>
        <vertAlign val="subscript"/>
        <sz val="10"/>
        <rFont val="Arial"/>
        <family val="2"/>
      </rPr>
      <t>P4</t>
    </r>
  </si>
  <si>
    <r>
      <t>E</t>
    </r>
    <r>
      <rPr>
        <b/>
        <vertAlign val="subscript"/>
        <sz val="10"/>
        <rFont val="Arial"/>
        <family val="2"/>
      </rPr>
      <t>P5</t>
    </r>
  </si>
  <si>
    <r>
      <t>E</t>
    </r>
    <r>
      <rPr>
        <b/>
        <vertAlign val="subscript"/>
        <sz val="10"/>
        <rFont val="Arial"/>
        <family val="2"/>
      </rPr>
      <t>P6</t>
    </r>
  </si>
  <si>
    <t>6.3.1*</t>
  </si>
  <si>
    <t>Management:</t>
  </si>
  <si>
    <t xml:space="preserve"> Zuordnung PrGr zu PS</t>
  </si>
  <si>
    <t>G62</t>
  </si>
  <si>
    <t>N62</t>
  </si>
  <si>
    <t>R62</t>
  </si>
  <si>
    <t>W62</t>
  </si>
  <si>
    <t>AB62</t>
  </si>
  <si>
    <t>AG62</t>
  </si>
  <si>
    <t>AV62</t>
  </si>
  <si>
    <t>Matrix</t>
  </si>
  <si>
    <t>Questions answered:</t>
  </si>
  <si>
    <t>Anmerkung:  Eintrag $AI$35 = Frage ist nicht bewertet. Eintrag "xx" = Frage ist nicht anwendbar. Pro bewerteten Prozesselement müssen mind. 2/3 aller Fragen bewertet werden.</t>
  </si>
  <si>
    <t>Maßnahmen</t>
  </si>
  <si>
    <t>Reason(s)</t>
  </si>
  <si>
    <t>Measure(s)</t>
  </si>
  <si>
    <t>Respon-sibility</t>
  </si>
  <si>
    <t>Effec-tivity</t>
  </si>
  <si>
    <t xml:space="preserve">Process analysis /
production </t>
  </si>
  <si>
    <t>Relation</t>
  </si>
  <si>
    <t>Tabelle</t>
  </si>
  <si>
    <t>Zelle</t>
  </si>
  <si>
    <t>Wert</t>
  </si>
  <si>
    <r>
      <t>E</t>
    </r>
    <r>
      <rPr>
        <b/>
        <vertAlign val="subscript"/>
        <sz val="12"/>
        <rFont val="Arial"/>
        <family val="2"/>
      </rPr>
      <t>G</t>
    </r>
  </si>
  <si>
    <t>Signed by (organisation):</t>
  </si>
  <si>
    <t>Description</t>
  </si>
  <si>
    <t xml:space="preserve">Customer Support </t>
  </si>
  <si>
    <t>Research and development</t>
  </si>
  <si>
    <t>Participants in the audit</t>
  </si>
  <si>
    <t>Number of process steps</t>
  </si>
  <si>
    <t>Last Audit Result</t>
  </si>
  <si>
    <t>Assessed Elements</t>
  </si>
  <si>
    <t>Process Elements</t>
  </si>
  <si>
    <t>Please enter the results of the last audit here</t>
  </si>
  <si>
    <t>Number of process steps for each product group</t>
  </si>
  <si>
    <t>Assignment of process steps to products, please use "X"</t>
  </si>
  <si>
    <t>Distribution at the audited unit</t>
  </si>
  <si>
    <t>Audit team:</t>
  </si>
  <si>
    <t>Generic approach</t>
  </si>
  <si>
    <t>Company Logo</t>
  </si>
  <si>
    <t>Development</t>
  </si>
  <si>
    <t>Series production</t>
  </si>
  <si>
    <t>Process step</t>
  </si>
  <si>
    <t>Product development</t>
  </si>
  <si>
    <t>Process development</t>
  </si>
  <si>
    <t>1. Process input</t>
  </si>
  <si>
    <t>2. Process Management</t>
  </si>
  <si>
    <t>3. Process support</t>
  </si>
  <si>
    <t>4. Material resources</t>
  </si>
  <si>
    <t>5. Effectiveness of the process</t>
  </si>
  <si>
    <t>6. Process result / Output</t>
  </si>
  <si>
    <t>7. Transport and handling of parts</t>
  </si>
  <si>
    <t>Level of compliance [%]</t>
  </si>
  <si>
    <t>Level of compliance process step</t>
  </si>
  <si>
    <t>Process Audit VDA 6.3 evaluation matrix including total score for product groups</t>
  </si>
  <si>
    <t>Total points awarded for the relevant questions</t>
  </si>
  <si>
    <t>Total possible number of points for the relevant questions</t>
  </si>
  <si>
    <t>Calculated EG, C&lt;80, B&lt;90</t>
  </si>
  <si>
    <t xml:space="preserve">Asterisk questions for EG, minimum 1 question with 4 ratings = "B", minimum 1 question with 0 = "C"  </t>
  </si>
  <si>
    <t>No question rated 0, otherwise "B"</t>
  </si>
  <si>
    <t>E1…E10, &lt;80% rated "B", &lt;70% rated "C"</t>
  </si>
  <si>
    <t>Sub ratings Ep2, Ep3, Ep4, Ep5, Ep6, Ep7 &lt;80% rate "B", &lt;70% rate "C"</t>
  </si>
  <si>
    <t>At least 2/3 of questions must be answered for each evaluated process element and sub element</t>
  </si>
  <si>
    <t xml:space="preserve">Down grading rules must be applied to the classification results (A, B. C). This must be checked by the auditor! </t>
  </si>
  <si>
    <t>Results of the sub elements for process analysis (Average Levels 1 - n)</t>
  </si>
  <si>
    <t>Responsible for downgrading</t>
  </si>
  <si>
    <t>Overall compliance EG (PGN) [%] for each product group</t>
  </si>
  <si>
    <t>Overall compliance EG:</t>
  </si>
  <si>
    <t>Evaluated process element</t>
  </si>
  <si>
    <t>Evaluation Index</t>
  </si>
  <si>
    <t>Classification scale: A = 90 - 100% quality capable; B&gt;=80 - &lt;90% conditionally quality capable; C = 0 - &lt; 80% not quality capable</t>
  </si>
  <si>
    <t>Confirmation of measures</t>
  </si>
  <si>
    <t>Summary of the audit carried out</t>
  </si>
  <si>
    <t>During the audit the following significant findings were identified:</t>
  </si>
  <si>
    <t>Conclusion</t>
  </si>
  <si>
    <t>Further action</t>
  </si>
  <si>
    <t>Effectiveness check</t>
  </si>
  <si>
    <t>Evaluated product group</t>
  </si>
  <si>
    <t>Audit result</t>
  </si>
  <si>
    <t>Missing!</t>
  </si>
  <si>
    <t>Action plan with defined immediate action</t>
  </si>
  <si>
    <t>Filled in by the auditor in the questionnaire</t>
  </si>
  <si>
    <t>Filled in by the audited area</t>
  </si>
  <si>
    <t>Reference</t>
  </si>
  <si>
    <t>Immediate action (x)</t>
  </si>
  <si>
    <t>Audit results</t>
  </si>
  <si>
    <t>General</t>
  </si>
  <si>
    <t>Enter text</t>
  </si>
  <si>
    <t>Project management</t>
  </si>
  <si>
    <t>All questions rated with 10 points</t>
  </si>
  <si>
    <t>Clear questionnaire</t>
  </si>
  <si>
    <t>Project Management</t>
  </si>
  <si>
    <t>Is a project management established with a project organisation?</t>
  </si>
  <si>
    <t>Is the advanced product quality planning implemented within the project and monitored for compliance?</t>
  </si>
  <si>
    <t>Are the procurement activities of the project implemented and monitored for compliance?</t>
  </si>
  <si>
    <t xml:space="preserve">Is change management within the project ensured by the project organisation?  </t>
  </si>
  <si>
    <t>Is there an escalation process established and is this effectively implemented?</t>
  </si>
  <si>
    <t>Planning the product and process development</t>
  </si>
  <si>
    <t>Are the specific product and process requirements available?</t>
  </si>
  <si>
    <t>Are the activities for the product and process development planned in detail?</t>
  </si>
  <si>
    <t>Have the necessary resources been taken into account for the product and process development?</t>
  </si>
  <si>
    <t>Implementation of the product and process development</t>
  </si>
  <si>
    <t>Are the manufacturing and inspection specifications derived from the product and process development and are they implemented?</t>
  </si>
  <si>
    <t>Is a performance test carried out under series conditions for the series release?</t>
  </si>
  <si>
    <t>Is there a controlled method for the product handover from development to serial production?</t>
  </si>
  <si>
    <t>Are special characteristics managed in the production?</t>
  </si>
  <si>
    <t>Are the employees able to fulfil their given tasks?</t>
  </si>
  <si>
    <t>Do the employees know their responsibilities and authority in the monitoring of the quality of product and process quality?</t>
  </si>
  <si>
    <t>Are the necessary personnel resources available?</t>
  </si>
  <si>
    <t xml:space="preserve">Can the product-specific requirements from the customer be met with the manufacturing equipment? </t>
  </si>
  <si>
    <t>Is the maintenance of the manufacturing equipment and tools controlled?</t>
  </si>
  <si>
    <t>Are the work and inspection stations appropriate for the needs?</t>
  </si>
  <si>
    <t>How effective is the process being carried out? Effectiveness, efficiency, waste avoidance</t>
  </si>
  <si>
    <t xml:space="preserve">Are there targets set for the manufacturing process? </t>
  </si>
  <si>
    <t xml:space="preserve">Is quality and process data collected in a way that allows analysis? </t>
  </si>
  <si>
    <t>In the case of deviations from product and process requirements, are the causes analysed and the corrective actions checked for effectiveness?</t>
  </si>
  <si>
    <t>Are processes and products audited regularly?</t>
  </si>
  <si>
    <t>What should the process produce? (process result / output)</t>
  </si>
  <si>
    <t>Are products / components stored in an appropriate manner and are transport facilities / packing arrangements suitable for the special characteristics of the products / components?</t>
  </si>
  <si>
    <t>Are customer requirements met at the delivery of the final product?</t>
  </si>
  <si>
    <t>Customer care / customer satisfaction / service</t>
  </si>
  <si>
    <t>Are all requirements related to QM-System, product and process fulfilled?</t>
  </si>
  <si>
    <t xml:space="preserve">Is customer service guaranteed? </t>
  </si>
  <si>
    <t xml:space="preserve">Is the supply of parts guaranteed? </t>
  </si>
  <si>
    <t>Please fill in the number of process steps in the input area (D36) as needed. 17 from 26 questions must be answered for each process step.</t>
  </si>
  <si>
    <t>Create CSV</t>
  </si>
  <si>
    <t>Import CSV</t>
  </si>
  <si>
    <t>Eu1…Eu7, &lt;80 % gibt’s "B"</t>
  </si>
  <si>
    <t>Eu1…Eu7, &lt;80% rated "B"</t>
  </si>
  <si>
    <t>4.8</t>
  </si>
  <si>
    <t>4.8*</t>
  </si>
  <si>
    <r>
      <t>E</t>
    </r>
    <r>
      <rPr>
        <b/>
        <vertAlign val="subscript"/>
        <sz val="11"/>
        <rFont val="Arial"/>
        <family val="2"/>
      </rPr>
      <t>P3</t>
    </r>
  </si>
  <si>
    <t>6.5.3*</t>
  </si>
  <si>
    <t>ENGLISH</t>
  </si>
  <si>
    <t>1. Activate macros</t>
  </si>
  <si>
    <t>2. Select Language</t>
  </si>
  <si>
    <t>3. Choose amount of processsteps (only for P6 evaluations)</t>
  </si>
  <si>
    <t>Short Instruction:</t>
  </si>
  <si>
    <t>4. Choose process elements (Table: Questions-Fragen)</t>
  </si>
  <si>
    <t>Select language:</t>
  </si>
  <si>
    <t>Order No.:</t>
  </si>
  <si>
    <t>Audit request:</t>
  </si>
  <si>
    <t>Manager of audited organisation:</t>
  </si>
  <si>
    <t>Suppl.-No.:</t>
  </si>
  <si>
    <t xml:space="preserve"> D-U-N-S No.:</t>
  </si>
  <si>
    <t>Certificate / Audit No:</t>
  </si>
  <si>
    <t>Product Group(s):</t>
  </si>
  <si>
    <t>Input in purple areas</t>
  </si>
  <si>
    <t>Process Step No.:</t>
  </si>
  <si>
    <t>Rating</t>
  </si>
  <si>
    <t>Schedule of action plan</t>
  </si>
  <si>
    <t>Deadline</t>
  </si>
  <si>
    <t>Copy sheet to new file (only for suppliers)</t>
  </si>
  <si>
    <t>Are all resources required for the project implementation planned and available and are changes reported?</t>
  </si>
  <si>
    <t>Is there a project plan and has this been agreed with the customer?</t>
  </si>
  <si>
    <t>Is the feasibility comprehensively evaluated according to the product and process requirements?*</t>
  </si>
  <si>
    <t>Are the activities planned for customer care / customer satisfaction / customer service and field failure analysis?</t>
  </si>
  <si>
    <t>Are the actions from the product and process development plans implemented?</t>
  </si>
  <si>
    <t>Are personnel resources available and are they qualified to ensure the start of the serial production?</t>
  </si>
  <si>
    <t>Are the material resources available and suitable to ensure the start of the serial prodiction?</t>
  </si>
  <si>
    <t>Are the required approvals and releases for the product and process development available?</t>
  </si>
  <si>
    <t>Are the processes established for securing customer care / customer satisfaction / customer service as well as the field failure analysis?</t>
  </si>
  <si>
    <t xml:space="preserve">Are only approved and quality capable suppliers selected? </t>
  </si>
  <si>
    <t xml:space="preserve">Are the customer's requirements taken into account in the supply chain? </t>
  </si>
  <si>
    <t xml:space="preserve">Have target agreements for delivery performance been agreed with suppliers and implemented? </t>
  </si>
  <si>
    <t xml:space="preserve">Are the necessary approvals/releases available for the outsourced products and services? </t>
  </si>
  <si>
    <t xml:space="preserve">Is the quality of the outsourced products and services ensured? </t>
  </si>
  <si>
    <t xml:space="preserve">Are incoming goods stored appropriately? </t>
  </si>
  <si>
    <t xml:space="preserve">Are personnel qualified for the various tasks and are responsibilities defined? </t>
  </si>
  <si>
    <t xml:space="preserve">What goes into the process ? Process input </t>
  </si>
  <si>
    <t xml:space="preserve">Has the project been transferred from development to serial production and is a reliable start guaranteed? </t>
  </si>
  <si>
    <t>Are the necessary quantities / production batch sizes of incoming materials available at the agreed upon time and at the correct storage location / work-station?</t>
  </si>
  <si>
    <t xml:space="preserve">Are changes to the product or process made during the serial production tracked and documented? </t>
  </si>
  <si>
    <t>Are all production processes controlled? Process management</t>
  </si>
  <si>
    <t xml:space="preserve">Are the specifications of the control plan complete and have they been effectively implemented? </t>
  </si>
  <si>
    <t>Does a repeat release for the restart of production take place?</t>
  </si>
  <si>
    <t>Are non-released and/or defective parts managed?</t>
  </si>
  <si>
    <t>Is the flow of materials and parts secured against mixing / wrong items?</t>
  </si>
  <si>
    <t>What functions support the process? Personnel resources</t>
  </si>
  <si>
    <t>What means are used to implement the process? Material resources</t>
  </si>
  <si>
    <t>Can the quality requirements be effectively monitored with the measurement and test facilities in use?</t>
  </si>
  <si>
    <t>Are tools, equipment and test equipment stored properly?</t>
  </si>
  <si>
    <t>Do the quantities / production batch sizes meet the needs and are they systematically directed to the next process step?</t>
  </si>
  <si>
    <t>Are the necessary records / releases retained?</t>
  </si>
  <si>
    <t>If there are deviations from quality requirements or complaints, are failure analyses carried out and corrective actions implemented effectively?</t>
  </si>
  <si>
    <t>Are personnel qualified for their respective tasks and are responsibilities defined?</t>
  </si>
  <si>
    <t>Max.</t>
  </si>
  <si>
    <t>Target</t>
  </si>
  <si>
    <t>Act.</t>
  </si>
  <si>
    <t>Certificate No.:</t>
  </si>
  <si>
    <t>Input Form - EingabeMaske</t>
  </si>
  <si>
    <t>Questions - Fragen</t>
  </si>
  <si>
    <t>Report-Bericht</t>
  </si>
  <si>
    <t>$S$13</t>
  </si>
  <si>
    <t>$S$19</t>
  </si>
  <si>
    <t>$S$24</t>
  </si>
  <si>
    <t>$S$29</t>
  </si>
  <si>
    <t>Actionplan-Maßnahmenplan</t>
  </si>
  <si>
    <r>
      <t>E</t>
    </r>
    <r>
      <rPr>
        <b/>
        <vertAlign val="subscript"/>
        <sz val="10"/>
        <rFont val="Arial"/>
        <family val="2"/>
      </rPr>
      <t>P7</t>
    </r>
  </si>
  <si>
    <t>Disclaimer</t>
  </si>
  <si>
    <t>Layer:</t>
  </si>
  <si>
    <t>Version R14 170112PG, Masterversion an Hr. Plegniere am 16.01.2017 von TM</t>
  </si>
  <si>
    <t>V1</t>
  </si>
  <si>
    <t>Übergabe durch</t>
  </si>
  <si>
    <t>Questions to be answered:</t>
  </si>
  <si>
    <t>Alle Namen "Print_Area" gelöscht.</t>
  </si>
  <si>
    <t>WR</t>
  </si>
  <si>
    <t>X</t>
  </si>
  <si>
    <t>Rundungsregel "Weiterberechnung erfolgt mit dem auf zwei Nachkommastellen gerundeten Wert" bei P3, P4 und P6 realisiert.</t>
  </si>
  <si>
    <t>V2</t>
  </si>
  <si>
    <t>n.e.</t>
  </si>
  <si>
    <t>n. e. für not evaluated statt n. a. für not applicable</t>
  </si>
  <si>
    <t>Bei P4 min. Anzahl Fragen geändert 6 von 8 Fragen (2/3 Regel) statt 5 von 8.</t>
  </si>
  <si>
    <t>RUSSIAN</t>
  </si>
  <si>
    <t>Ввод данных для составления отчета</t>
  </si>
  <si>
    <t>Язык:</t>
  </si>
  <si>
    <t>Заказ:</t>
  </si>
  <si>
    <t>Дата:</t>
  </si>
  <si>
    <t>Причина:</t>
  </si>
  <si>
    <t>Заказчик:</t>
  </si>
  <si>
    <t>Аудитор:</t>
  </si>
  <si>
    <t>Руководитель аудиторской организации:</t>
  </si>
  <si>
    <t>№ D-U-N-S®:</t>
  </si>
  <si>
    <t>Поставщик:</t>
  </si>
  <si>
    <t>Улица, дом:</t>
  </si>
  <si>
    <t>Местоположение:</t>
  </si>
  <si>
    <t>Страна:</t>
  </si>
  <si>
    <t>Производственный цех (почтовый индекс):</t>
  </si>
  <si>
    <t>Телефон:</t>
  </si>
  <si>
    <t>Факс:</t>
  </si>
  <si>
    <t>Уполномоченное лицо организации:</t>
  </si>
  <si>
    <t>Последние результаты аудита / Сертификаты</t>
  </si>
  <si>
    <t>№ сертификата / базы аудита:</t>
  </si>
  <si>
    <t>Дата выдачи:</t>
  </si>
  <si>
    <t>Выполнен (кем):</t>
  </si>
  <si>
    <t>Результат:</t>
  </si>
  <si>
    <t>Группа изделий:</t>
  </si>
  <si>
    <t>Обозначение:</t>
  </si>
  <si>
    <t>Стадии процесса:</t>
  </si>
  <si>
    <t>Смена:</t>
  </si>
  <si>
    <t>Отдел:</t>
  </si>
  <si>
    <t>Руководство предприятия:</t>
  </si>
  <si>
    <t>Руководство завода:</t>
  </si>
  <si>
    <t>Менеджмент качества:</t>
  </si>
  <si>
    <t>Обслуживание потребителя:</t>
  </si>
  <si>
    <t>Исследования/разработки:</t>
  </si>
  <si>
    <t>Участники аудита:</t>
  </si>
  <si>
    <t>Ячейки сиреневого цвета предназначены для ввода данных</t>
  </si>
  <si>
    <t>Количество стадий процесса:</t>
  </si>
  <si>
    <t>№ стадии процесса:</t>
  </si>
  <si>
    <t>Результат последнего аудита:</t>
  </si>
  <si>
    <t>Элемент оценки</t>
  </si>
  <si>
    <t>Элементы процесса</t>
  </si>
  <si>
    <t>Внесите сюда результаты последнего аудита</t>
  </si>
  <si>
    <t>№ 1:</t>
  </si>
  <si>
    <t>№ 2:</t>
  </si>
  <si>
    <t>№ 3:</t>
  </si>
  <si>
    <t>№ 4:</t>
  </si>
  <si>
    <t>один</t>
  </si>
  <si>
    <t>два</t>
  </si>
  <si>
    <t>три</t>
  </si>
  <si>
    <t>четыре</t>
  </si>
  <si>
    <t>пять</t>
  </si>
  <si>
    <t>шесть</t>
  </si>
  <si>
    <t>семь</t>
  </si>
  <si>
    <t>восемь</t>
  </si>
  <si>
    <t>девять</t>
  </si>
  <si>
    <t>десять</t>
  </si>
  <si>
    <t>Количество стадий процесса на группу изделий</t>
  </si>
  <si>
    <t>Обозначить «X» соответствие стадий процесса группам изделий:</t>
  </si>
  <si>
    <t>Фамилия:</t>
  </si>
  <si>
    <t>Группа изделий 1</t>
  </si>
  <si>
    <t>Группа изделий 2</t>
  </si>
  <si>
    <t>Группа изделий 3</t>
  </si>
  <si>
    <t>Группа изделий 4</t>
  </si>
  <si>
    <t>№ сертификата:</t>
  </si>
  <si>
    <t>Участники:</t>
  </si>
  <si>
    <t>Аудиторская команда:</t>
  </si>
  <si>
    <t>Общеупотребительный подход</t>
  </si>
  <si>
    <t>Составить CSV</t>
  </si>
  <si>
    <t>Импортировать CSV</t>
  </si>
  <si>
    <t>Краткое руководство:</t>
  </si>
  <si>
    <t>1. Активировать макросы</t>
  </si>
  <si>
    <t>2. Выбрать язык</t>
  </si>
  <si>
    <t>3. Выбрать количество стадий процесса (только для оценок P6)</t>
  </si>
  <si>
    <t>4. Выбрать элементы процесса (Таблица вопросов Questions)</t>
  </si>
  <si>
    <t>переработанное издание 2016 г.</t>
  </si>
  <si>
    <t>Аудиторская организация:</t>
  </si>
  <si>
    <t>Логотип компании</t>
  </si>
  <si>
    <t>Дистрибьютор</t>
  </si>
  <si>
    <t>Разработка</t>
  </si>
  <si>
    <t>Серийное производство</t>
  </si>
  <si>
    <t>Стадия процесса</t>
  </si>
  <si>
    <t>Разработка продукта</t>
  </si>
  <si>
    <t>Разработка процесса</t>
  </si>
  <si>
    <t>ФАКТИЧЕСКОЕ</t>
  </si>
  <si>
    <t>ЗАДАННОЕ</t>
  </si>
  <si>
    <t>МАКСИМАЛЬНОЕ</t>
  </si>
  <si>
    <t>1 Вход в процесс / ввод</t>
  </si>
  <si>
    <t>2  Содержание работы / Ход процесса</t>
  </si>
  <si>
    <t>3 Поддержка процесса</t>
  </si>
  <si>
    <t>4 Материальные ресурсы</t>
  </si>
  <si>
    <t>5 Степень результативности процесса</t>
  </si>
  <si>
    <t>6 Результат процесса / Выход</t>
  </si>
  <si>
    <t>7 Транспорт и обращение с деталями</t>
  </si>
  <si>
    <t>Степени выполнения [%]</t>
  </si>
  <si>
    <t>Степень выполнения Стадия процесса</t>
  </si>
  <si>
    <t>Аудит процесса по VDA 6.3: Матрица оценки, включая общий результат по группам изделий</t>
  </si>
  <si>
    <t>Сумма всех полученных баллов
по соответствующим вопросам</t>
  </si>
  <si>
    <t>Сумма всех возможных баллов
по соответствующим вопросам</t>
  </si>
  <si>
    <t>арифм. EG, C&lt;80, B&lt;90,</t>
  </si>
  <si>
    <t>Вопрос со звездочкой для конечного результата, не менее 1 вопроса с 4 рейтинг = «B», не менее 1 вопроса с 0 = «C»</t>
  </si>
  <si>
    <t>Ни один вопрос не получил 0-ую оценку, иначе «B»</t>
  </si>
  <si>
    <t>Eu1…Eu7, &lt;80 % рейтинг «B»</t>
  </si>
  <si>
    <t>E1…E10 &lt;80 % рейтинг «B», &lt;70 % рейтинг «C»</t>
  </si>
  <si>
    <t>част. оценки Ep2, Ep3, Ep4,Ep5, Ep6, Ep7 &lt;80 % = «B», &lt;70 % рейтинг = «C»</t>
  </si>
  <si>
    <t>В каждом элементе процесса и подэлементе нужно оценить не менее 2/3 всех вопросов.</t>
  </si>
  <si>
    <t>Рейтинг (A,B,C) должен быть перепроверен аудитором с учетом правил снижения рейтинга!</t>
  </si>
  <si>
    <t>Оценка подэлементов в анализе процесса (среднее значение уровня 1 - n)</t>
  </si>
  <si>
    <t>Ответственный за снижение рейтинга</t>
  </si>
  <si>
    <t>Общая степень выполнения EG(PGN) [%] по группе изделий</t>
  </si>
  <si>
    <t>Рейтинг</t>
  </si>
  <si>
    <t>Общая степень выполнения EG:</t>
  </si>
  <si>
    <t>Оцененные элементы процесса:</t>
  </si>
  <si>
    <t>Индекс оценки:</t>
  </si>
  <si>
    <t>Шкала классификации:
A = 90 - 100% способен к качеству; B &gt;= 80 - 90% условно способен к качеству; C = 0 - &lt; 80% не способен к качеству</t>
  </si>
  <si>
    <t>Выводы / требования:</t>
  </si>
  <si>
    <t>Действия см. «План действий» и/или «Неотложные меры»</t>
  </si>
  <si>
    <t>Руководство организации:</t>
  </si>
  <si>
    <t>Краткое изложение проведенного аудита:</t>
  </si>
  <si>
    <t>В рамках аудита обнаружены следующие значительные моменты:</t>
  </si>
  <si>
    <t>Итог:</t>
  </si>
  <si>
    <t>Дальнейшие действия:</t>
  </si>
  <si>
    <t>Сроки по плану действий</t>
  </si>
  <si>
    <t>Оцененные группы изделий:</t>
  </si>
  <si>
    <t>Результат аудита</t>
  </si>
  <si>
    <t>ОТСУТСТВУЕТ!</t>
  </si>
  <si>
    <t>заполняется аудитором в каталоге вопросов</t>
  </si>
  <si>
    <t>заполняется аудитируемым подразделением</t>
  </si>
  <si>
    <t>Связь</t>
  </si>
  <si>
    <t>Баллы</t>
  </si>
  <si>
    <t>Причина(-ы)</t>
  </si>
  <si>
    <t>Срок</t>
  </si>
  <si>
    <t>Показать все строки</t>
  </si>
  <si>
    <t>Скопировать лист в новый файл (только для поставщиков)</t>
  </si>
  <si>
    <t>Аудит процесса</t>
  </si>
  <si>
    <t>№</t>
  </si>
  <si>
    <t>Тип</t>
  </si>
  <si>
    <t>Вопрос</t>
  </si>
  <si>
    <t>Аудиторские выводы</t>
  </si>
  <si>
    <t>В целом</t>
  </si>
  <si>
    <t>Про-дукт</t>
  </si>
  <si>
    <t>Про-цесс</t>
  </si>
  <si>
    <t>Минимальное кол-во отвеченных вопросов:</t>
  </si>
  <si>
    <t>н.о.</t>
  </si>
  <si>
    <t>Отвеченные вопросы:</t>
  </si>
  <si>
    <t>Пожалуйста, дайте оценку!</t>
  </si>
  <si>
    <t>Слабых мест не обнаружено</t>
  </si>
  <si>
    <t>Ввести текст</t>
  </si>
  <si>
    <t>Проектный менеджмент</t>
  </si>
  <si>
    <t>Оценить все вопросы на 10 баллов</t>
  </si>
  <si>
    <t>Удалить все из каталога вопросов</t>
  </si>
  <si>
    <t>Задан ли проектный менеджмент с организацией проекта?</t>
  </si>
  <si>
    <t>Запланированы ли и имеются ли в распоряжении требуемые ресурсы для осуществления проекта и уведомляют ли об изменениях?</t>
  </si>
  <si>
    <t>Имеется ли в распоряжении и согласован ли с потребителем план проекта?</t>
  </si>
  <si>
    <t>Реализуются ли проектные действия, релевантные для качества, и регулярно ли ведется мониторинг их соблюдения?</t>
  </si>
  <si>
    <t>Реализуются ли проектные действия по закупкам и регулярно ли ведется мониторинг их соблюдения?</t>
  </si>
  <si>
    <t>Обеспечивается ли менеджмент изменений в проекте посредством организации проекта?</t>
  </si>
  <si>
    <t>Учрежден ли процесс эскалации и результативна ли его реализация?</t>
  </si>
  <si>
    <t>Планирование разработки продукта и процесса</t>
  </si>
  <si>
    <t>Имеются ли специфические требования к продукту и процессу?</t>
  </si>
  <si>
    <t>Всеохватывающе ли оценена осуществимость на базе установленных требований к процессу и продукту?</t>
  </si>
  <si>
    <t>Детально ли запланированы действия по разработку продукта и процесса?</t>
  </si>
  <si>
    <t>Запланированы ли действия по обеспечению удовлетворенности потребителей/ обслуживания потребителей/ сервиса и анализа частей, приведших к ущербу в ходе эксплуатации?</t>
  </si>
  <si>
    <t>Учтены ли в ходе планирования необходимые ресурсы для разработки продукта и процесса?</t>
  </si>
  <si>
    <t>Реализация разработки продукта и процесса</t>
  </si>
  <si>
    <t>Реализованы ли выводы из планов разработки продукта и процесса?</t>
  </si>
  <si>
    <t>Имеются ли в наличии кадровые ресурсы и годны ли они для обеспечения запуска серийного производства?</t>
  </si>
  <si>
    <t>Имеются ли в наличии материальные ресурсы и пригодны ли они для обеспечения запуска серийного производства?</t>
  </si>
  <si>
    <t>Имеются ли необходимые доказательства пригодности и одобрения для разработки продукта и процесса?</t>
  </si>
  <si>
    <t>Выведены ли предписания к изготовлению и контролю из разработки продукта и процесса и реализуются ли они?</t>
  </si>
  <si>
    <t>Проведена ли проверка рабочих характеристик в серийных условиях для одобрения на серийное производство?</t>
  </si>
  <si>
    <t>Заготовлены ли процессы по обеспечению удовлетворенности потребителей/ обслуживания потребителей/ сервиса и анализа частей, приведших к ущербу в ходе эксплуатации?</t>
  </si>
  <si>
    <t>Отрегулирована ли передача проекта из разработки в серийное производство?</t>
  </si>
  <si>
    <t>Менеджмент поставщиков</t>
  </si>
  <si>
    <t>Используются ли только одобренные и способные производить качественную продукцию поставщики?</t>
  </si>
  <si>
    <t>Учитываются ли требования потребителя в цепи поставок?</t>
  </si>
  <si>
    <t>Согласованы ли и выполняются ли целевые соглашения с поставщиками по уровню качества поставок?</t>
  </si>
  <si>
    <t>Имеются ли для закупленных объемов требуемые одобрения?</t>
  </si>
  <si>
    <t>Гарантируется ли согласованное качество объемов закупок?</t>
  </si>
  <si>
    <t>Соответствующим ли образом осуществляются поставка и складирование поступающих товаров?</t>
  </si>
  <si>
    <t>Квалифицирован ли персонал для соответствующих задач и определена ли ответственность?</t>
  </si>
  <si>
    <t>Анализ процесса /
производство</t>
  </si>
  <si>
    <t>Что входит в процесс? Ввод в процесс (вход)</t>
  </si>
  <si>
    <t>Осуществлена ли передача проекта из разработки в серийное производство и обеспечен ли надежный запуск?</t>
  </si>
  <si>
    <t>Имеются ли в распоряжении необходимые количества/объемы партий производства исходных материалов к согласованному моменту времени на нужном складе/рабочем месте?</t>
  </si>
  <si>
    <t>Складируются ли исходные материалы в соответствии с их назначением и согласованы ли транспортные средства/упаковочное оборудование с особыми свойствами исходных материалов?</t>
  </si>
  <si>
    <t>Имеются ли необходимые обозначения / записи / одобрения и распределены ли они соответствующим образом по исходным материалам?</t>
  </si>
  <si>
    <t>Прослеживаются и документируются ли изменения продукта или процесса во время серийного производства?</t>
  </si>
  <si>
    <t>Все ли производственные процессы отрегулированы? Ход процесса</t>
  </si>
  <si>
    <t>Полностью ли указаны предписания плана управления производством и результативно ли они реализуются?</t>
  </si>
  <si>
    <t>Проводится ли повторное одобрение процессов изготовления?</t>
  </si>
  <si>
    <t>Ведется ли управление специальными характеристиками в производстве?</t>
  </si>
  <si>
    <t>Ведется ли управление неодобренными и/или дефектными частями?</t>
  </si>
  <si>
    <t>Защищен ли поток материалов и деталей от смешивания / перепутывания?</t>
  </si>
  <si>
    <t>Какие функции поддерживают процесс?
Кадровые ресурсы</t>
  </si>
  <si>
    <t>Годны ли сотрудники для выполнения поставленных задач?</t>
  </si>
  <si>
    <t>Знают ли сотрудники, какую ответственность они несут и какими полномочиями обладают в сфере отслеживания качества продукта и процесса?</t>
  </si>
  <si>
    <t>Имеются ли необходимые кадровые ресурсы?</t>
  </si>
  <si>
    <t>При помощи каких средств реализуется процесс?
Материальные ресурсы</t>
  </si>
  <si>
    <t>Можно ли с помощью технологического оборудования выполнить для потребителя требования, специфические для продукта?</t>
  </si>
  <si>
    <t>Ведется ли управление обслуживанием технологического оборудования и инструментов?</t>
  </si>
  <si>
    <t>Могут ли результативно отслеживаться требования к качеству с помощью применяемых контрольно-измерительных средств?</t>
  </si>
  <si>
    <t>Соответствуют ли рабочие и испытательные места потребностям?</t>
  </si>
  <si>
    <t>Надлежащим ли образом складируются оснастка, оборудование и средства контроля?</t>
  </si>
  <si>
    <t>Насколько результативно проводится процесс?
Результативность, эффективность, предотвращение расточительства</t>
  </si>
  <si>
    <t>Имеются ли цели для процесса изготовления?</t>
  </si>
  <si>
    <t>Регистрируются ли данные о качестве и процессе так, чтобы их можно было использовать для оценки?</t>
  </si>
  <si>
    <t>Анализируются ли причины отклонений от требований к продукту и процессу и проверяются ли корректирующие действия на результативность?</t>
  </si>
  <si>
    <t>Проводится ли регулярный аудит процессов и продуктов?</t>
  </si>
  <si>
    <t>Что должен приносить процесс?
Результат процесса (выход)</t>
  </si>
  <si>
    <t>Согласованы ли количества/объемы партий производства с потребностями, и передаются ли они целенаправленно в следующую стадию процесса?</t>
  </si>
  <si>
    <t>Складируются ли продукты/детали в соответствии с их назначением и согласованы ли транспортные средства/упаковочное оборудование с особыми свойствами продуктов/деталей?</t>
  </si>
  <si>
    <t>Ведется ли документация необходимых записей / одобрений?</t>
  </si>
  <si>
    <t>Выполняются ли требования потребителя в ходе поставки конечного продукта?</t>
  </si>
  <si>
    <t>Обслуживание потребителей / Удовлетворенность потребителей / Сервис</t>
  </si>
  <si>
    <t>Выполняются ли требования к системе менеджмента качества, продукту и процессу?</t>
  </si>
  <si>
    <t>Гарантировано ли обслуживание потребителей?</t>
  </si>
  <si>
    <t>Обеспечено ли снабжение деталями?</t>
  </si>
  <si>
    <t>Проводятся ли в случае отклонений / претензий анализы отказов и результативно ли осуществляются корректирующие действия?</t>
  </si>
  <si>
    <t>Квалифицирован ли персонал для соответствующих задач, и определены ли сферы ответственности?</t>
  </si>
  <si>
    <t>Введите нужное количество стадий процесса в маску ввода (D36). Для каждой стадии процесса нужно ответить не менее чем на 17-26 вопросов.</t>
  </si>
  <si>
    <t>V3</t>
  </si>
  <si>
    <t>Bei P4 und P6 2/3 Regel optimiert</t>
  </si>
  <si>
    <t>Bezug zu Frage 6.6.1 bei P6.7 Teilehandling korrigiert.</t>
  </si>
  <si>
    <t>V4</t>
  </si>
  <si>
    <t>Berechnung Maximum P7 geändert</t>
  </si>
  <si>
    <t>Bei „Fragebogen leeren“ werden auch Auditfeststellungen und die Sofortmaßnahmen gelöscht.</t>
  </si>
  <si>
    <t>Bei "CSV erstellen" werden auch die Auditfeststellungen gespeichert.</t>
  </si>
  <si>
    <t>V5</t>
  </si>
  <si>
    <t>Erstausgabe: 3 Prozessschritte, 2 Sprachen RUS/EN, (frei bis 15.01.2018)</t>
  </si>
  <si>
    <t>-</t>
  </si>
  <si>
    <t>№ поставщика:</t>
  </si>
  <si>
    <t>Проверка результативности:</t>
  </si>
  <si>
    <t>Отчет по аудиту. Оценка возможностей в области качества</t>
  </si>
  <si>
    <t>Корректирующие мероприятия:</t>
  </si>
  <si>
    <t>Результативность</t>
  </si>
  <si>
    <t>Результат по вопроснику аудита процессов</t>
  </si>
  <si>
    <t>Result of the Questionnaire for Process audits</t>
  </si>
  <si>
    <t>Audit report Evaluation of quality capability</t>
  </si>
  <si>
    <t>«Аудит процессов»</t>
  </si>
  <si>
    <t>Рассылка внутри:</t>
  </si>
  <si>
    <t>Участник 1:</t>
  </si>
  <si>
    <t>Участник 2:</t>
  </si>
  <si>
    <t>Участник 3:</t>
  </si>
  <si>
    <t>Участник 4:</t>
  </si>
  <si>
    <t>Участник 5:</t>
  </si>
  <si>
    <t>Участник 6:</t>
  </si>
  <si>
    <t>Подразделение:</t>
  </si>
  <si>
    <t>Неотложные мероприятия
(X)</t>
  </si>
  <si>
    <t>Ответственность</t>
  </si>
  <si>
    <t>План действий с заданными неотложными мероприятиям</t>
  </si>
  <si>
    <t>Подтверждение корректирующих мероприятий:</t>
  </si>
  <si>
    <t>PS4</t>
  </si>
  <si>
    <t>PS5</t>
  </si>
  <si>
    <t>PS6</t>
  </si>
  <si>
    <t>PS7</t>
  </si>
  <si>
    <t>PS8</t>
  </si>
  <si>
    <t>PS9</t>
  </si>
  <si>
    <t>PS10</t>
  </si>
  <si>
    <t>*Звездочка</t>
  </si>
  <si>
    <t>Prozessschritt  4:</t>
  </si>
  <si>
    <t>Prozessschritt  5:</t>
  </si>
  <si>
    <t>Prozessschritt 6:</t>
  </si>
  <si>
    <t>Prozessschritt  7:</t>
  </si>
  <si>
    <t>Prozessschritt  8:</t>
  </si>
  <si>
    <t>Prozessschritt  9:</t>
  </si>
  <si>
    <t>Prozessschritt  10:</t>
  </si>
  <si>
    <t>Prozessschritt  6:</t>
  </si>
  <si>
    <r>
      <t>E</t>
    </r>
    <r>
      <rPr>
        <b/>
        <vertAlign val="subscript"/>
        <sz val="9"/>
        <rFont val="Arial"/>
        <family val="2"/>
      </rPr>
      <t>4</t>
    </r>
  </si>
  <si>
    <r>
      <t>E</t>
    </r>
    <r>
      <rPr>
        <b/>
        <vertAlign val="subscript"/>
        <sz val="9"/>
        <rFont val="Arial"/>
        <family val="2"/>
      </rPr>
      <t>5</t>
    </r>
  </si>
  <si>
    <r>
      <t>E</t>
    </r>
    <r>
      <rPr>
        <b/>
        <vertAlign val="subscript"/>
        <sz val="9"/>
        <rFont val="Arial"/>
        <family val="2"/>
      </rPr>
      <t>7</t>
    </r>
  </si>
  <si>
    <r>
      <t>E</t>
    </r>
    <r>
      <rPr>
        <b/>
        <vertAlign val="subscript"/>
        <sz val="9"/>
        <rFont val="Arial"/>
        <family val="2"/>
      </rPr>
      <t>8</t>
    </r>
  </si>
  <si>
    <r>
      <t>E</t>
    </r>
    <r>
      <rPr>
        <b/>
        <vertAlign val="subscript"/>
        <sz val="9"/>
        <rFont val="Arial"/>
        <family val="2"/>
      </rPr>
      <t>9</t>
    </r>
  </si>
  <si>
    <r>
      <t>E</t>
    </r>
    <r>
      <rPr>
        <b/>
        <vertAlign val="subscript"/>
        <sz val="9"/>
        <rFont val="Arial"/>
        <family val="2"/>
      </rPr>
      <t>10</t>
    </r>
  </si>
  <si>
    <r>
      <t>E</t>
    </r>
    <r>
      <rPr>
        <b/>
        <vertAlign val="subscript"/>
        <sz val="9"/>
        <rFont val="Arial"/>
        <family val="2"/>
      </rPr>
      <t>6</t>
    </r>
  </si>
  <si>
    <t>Stage 6</t>
  </si>
  <si>
    <t>Stage 7</t>
  </si>
  <si>
    <t>Stage 8</t>
  </si>
  <si>
    <t>Stage 9</t>
  </si>
  <si>
    <t>Stage 10</t>
  </si>
  <si>
    <t>Billets</t>
  </si>
  <si>
    <t>Q-management</t>
  </si>
  <si>
    <t>Quality Dep.</t>
  </si>
  <si>
    <t>Anton Zhorov</t>
  </si>
  <si>
    <t>Casthouse</t>
  </si>
  <si>
    <t>CEO</t>
  </si>
  <si>
    <t>BS &amp; Quality Director</t>
  </si>
  <si>
    <t>Regina de Paula</t>
  </si>
  <si>
    <t>PRR
PTR</t>
  </si>
  <si>
    <t>Possible examples of requirements
and evidence, depending on product risk</t>
  </si>
  <si>
    <t>Supporting questions adopted from formal version.</t>
  </si>
  <si>
    <t>IATF 16949 clause</t>
  </si>
  <si>
    <t>APQP
ref. info</t>
  </si>
  <si>
    <t>PRR</t>
  </si>
  <si>
    <t>- Defined roles, tasks, cpmpetense and responsibilities of the project leader/technical expert
- Project interface in multi-site projects
- Project organisational chart
- Composition of the project team
- Evidence of qualifications
- Special customer requirements for project management</t>
  </si>
  <si>
    <t>- Is there a project organisation chart?
- Are the project team and authorities defined?
- Are the necessary expertise established?
- Are the suppliers engaged in the project management?</t>
  </si>
  <si>
    <t>- Evidence of resource planning
- Resource planning for equipment</t>
  </si>
  <si>
    <t>- Are the customer requirements taken into account, based on the project contract?
- Are the necessary project budgets planned and released? 
- Are the relevant ressources, technologies and specialists provided at the right time? 
- Is the work load of personnel for other projects taken into account?
- Are changes in the project taken into account at an early stage for ressource planning?
- Are supplier ressources respected?
- Is the critical path taken into account?</t>
  </si>
  <si>
    <t>- Project plan with milestones
- Specific customer requirements regarding technologies and/or product groups
- Customers's project plan, deadlines, milestones and targets
- Milestone assesments
- QM plan
- Country specific certification requirements
- Legal and regulatory approvals process of critical systems</t>
  </si>
  <si>
    <t>- Are all in-house and customer mile stones respected?
- Are specific customer requirements taken into account? 
- Is there a distribution system, to display changes internally and to the customer?
- Is the QM plan part of the project plan?</t>
  </si>
  <si>
    <t>2005
2030</t>
  </si>
  <si>
    <t>- Project plan
- Customer milestones
- Customer requirements in regard to quality plans
- Customer specifications</t>
  </si>
  <si>
    <t>- Are all relevant QM planning activities integrated in the project plan? 
- Does the QM plan take all timings in the overall project into account?
- Does the QM plan contain all critical delivery items?
- Are all project and process specifications respected for verification and validation?
- Are regular checks made to ensure that the QM  plan is implemented and achievement of targets is monitored?</t>
  </si>
  <si>
    <t>- Make or buy decisions
- Supplier selection criteria
- Supplier development plan
- List of suppliers for the project
- List of approved suppliers
- Risk appraisal of each supplier
- Quality agreement for directed suppliers
- Compnent classification
- Suppliers for services such as development, laboratories and maintenance etc.</t>
  </si>
  <si>
    <t>- Make or buy decisions, supplier selection criteria, supplier development plan, List of suppliers for the project, List of approved suppliers, Risk appraisal of each supplier, Quality agreement for directed suppliers
- Component classification
- Suppliers for services such as development, laboratories an maintenance etc.</t>
  </si>
  <si>
    <t>5.1.1.2
8.4.1.2</t>
  </si>
  <si>
    <t>- Time scedules
- Process description
- Change management, forms, history for the product and the process.
- Evaluation of change
- Approvals of changes</t>
  </si>
  <si>
    <t>- Are responsibles for Change Management defined in the organization, at the supplier and the customer side?
- Is there a distribution and escalation process established?
- Are customer requirements for handling changes controlled and documented?</t>
  </si>
  <si>
    <t>8.3.6
8.3.6.1</t>
  </si>
  <si>
    <t>SP05-02</t>
  </si>
  <si>
    <t>- Time periods for escalation depending on the risk have been agreed upon
- Contact personnel / decision makers in the escalation process are defined
- Escalation criteria and paths of communication are defined
- Protocols of milestone reviewa including measures</t>
  </si>
  <si>
    <t>- Are the criteria for escalation specified and responsibilities &amp; authorities regulated?
- If there are special risks identified for technologies, suppliers and supply countries, are they taken into account?</t>
  </si>
  <si>
    <t>WI_2467</t>
  </si>
  <si>
    <r>
      <rPr>
        <b/>
        <sz val="8"/>
        <rFont val="Arial"/>
        <family val="2"/>
      </rPr>
      <t>Product/process development</t>
    </r>
    <r>
      <rPr>
        <sz val="8"/>
        <rFont val="Arial"/>
        <family val="2"/>
      </rPr>
      <t xml:space="preserve">
- Inquiry documents
- Contract documents
- Requirement specifications
- Customer, Legal and QM specific requirements
- Purchasing conditions
- Quality agreements
- Requirements for documentation
- Logistics requirements
- Schedules, technical delivery conditions
- Access to portals/information platform in the internet
- Definition of responsibilities for suppliers
- Test regulations
- Catalogue of characteristics / boundary samples for decorative surfaces
- Experience with previous projects
- Product/process characteristics
- Order documents with item lists and schedules
- Legislation / regulations
- Enviromental aspects, recycling requirements
- Proof of capability
</t>
    </r>
    <r>
      <rPr>
        <b/>
        <sz val="8"/>
        <rFont val="Arial"/>
        <family val="2"/>
      </rPr>
      <t>Product development</t>
    </r>
    <r>
      <rPr>
        <sz val="8"/>
        <rFont val="Arial"/>
        <family val="2"/>
      </rPr>
      <t xml:space="preserve">
- Specifications, technical drawings, special characteristics
</t>
    </r>
    <r>
      <rPr>
        <b/>
        <sz val="8"/>
        <rFont val="Arial"/>
        <family val="2"/>
      </rPr>
      <t/>
    </r>
  </si>
  <si>
    <t>- Are product and process requirements, specifications available?
- Are special characteristics identified?
- Are contract and enquiry documents checked to make sure they are complete? 
- Are deviations approved by the customer, if requirements cannot be achieved?
- Are quality agreements laid down?
- Are responsibilities for sub-suppliers defined.
- Are the facilities &amp; tools as well as test/inspection facilities suitable? 
- Are handling, packaging, storage, identification of the products defined?</t>
  </si>
  <si>
    <t>4.3.2
4.4.1.1
8.3.4</t>
  </si>
  <si>
    <t>1080
1100</t>
  </si>
  <si>
    <r>
      <rPr>
        <b/>
        <sz val="8"/>
        <rFont val="Arial"/>
        <family val="2"/>
      </rPr>
      <t>Process development</t>
    </r>
    <r>
      <rPr>
        <sz val="8"/>
        <rFont val="Arial"/>
        <family val="2"/>
      </rPr>
      <t xml:space="preserve">
- Suitability of facilities, tools, test and inspection equipment
- Layout of work and test facilities
- Handling, packaging, storage and identification</t>
    </r>
  </si>
  <si>
    <r>
      <rPr>
        <b/>
        <sz val="8"/>
        <rFont val="Arial"/>
        <family val="2"/>
      </rPr>
      <t>Product/process development</t>
    </r>
    <r>
      <rPr>
        <sz val="8"/>
        <rFont val="Arial"/>
        <family val="2"/>
      </rPr>
      <t xml:space="preserve">
- Customer specifications and standards
- Schedules, timeframes
- Regulations, standars, legislation, enviromental impact
- Requirements from product liability
- Buildings, premises
- CAM, CAQ
- Product/process innovation
- Interdisciplinary feasibility analysis
</t>
    </r>
    <r>
      <rPr>
        <b/>
        <sz val="8"/>
        <rFont val="Arial"/>
        <family val="2"/>
      </rPr>
      <t>Product development</t>
    </r>
    <r>
      <rPr>
        <sz val="8"/>
        <rFont val="Arial"/>
        <family val="2"/>
      </rPr>
      <t xml:space="preserve">
- Laboratory/test equipment
</t>
    </r>
    <r>
      <rPr>
        <b/>
        <sz val="8"/>
        <rFont val="Arial"/>
        <family val="2"/>
      </rPr>
      <t/>
    </r>
  </si>
  <si>
    <t>- Is there a controlled procedure for assessing manufacturing feasibility (encluding legal requirements, lessons learned, …)?
- Are contract and enquiry documents checked for manufacturing feasibility?
- Did all responsible areas (Buying, Development, Production, QM, Logistics, ...) confirm the feasibility of the customer requirements? 
- Are capacities for samples, prototypes considered?</t>
  </si>
  <si>
    <t>4.4.1.2
8.6.5</t>
  </si>
  <si>
    <r>
      <rPr>
        <b/>
        <sz val="8"/>
        <rFont val="Arial"/>
        <family val="2"/>
      </rPr>
      <t>Process development</t>
    </r>
    <r>
      <rPr>
        <sz val="8"/>
        <rFont val="Arial"/>
        <family val="2"/>
      </rPr>
      <t xml:space="preserve">
- Capacity monitoring
- Availability of incoming materials
- Manufactoring possibilities, manafacturing sites
- Equipment, tools, production/test equipment, auxiliary material, laboratory facilities, transport, container, storage</t>
    </r>
  </si>
  <si>
    <r>
      <rPr>
        <b/>
        <sz val="8"/>
        <rFont val="Arial"/>
        <family val="2"/>
      </rPr>
      <t>Product/process development</t>
    </r>
    <r>
      <rPr>
        <sz val="8"/>
        <rFont val="Arial"/>
        <family val="2"/>
      </rPr>
      <t xml:space="preserve">
- Overall project plan including all deadlines
- Customer requirements
- Inspection planning for the layout inspection and functional testing
- Customer schedule 
- Lead times
- Deadlines for the procurement release, supplier approval and change stop
- Methods used to minimize risk
- Detailed plans for prototypes / pre-lunch planning
- Regular status checks on the progress of the development
- Project plans for invesment items
- Logistics planning for all phases of the product and process development including packaging
-Concept for spare parts
</t>
    </r>
    <r>
      <rPr>
        <b/>
        <sz val="8"/>
        <rFont val="Arial"/>
        <family val="2"/>
      </rPr>
      <t>Product development</t>
    </r>
    <r>
      <rPr>
        <sz val="8"/>
        <rFont val="Arial"/>
        <family val="2"/>
      </rPr>
      <t xml:space="preserve">
- Detailed planning for reliability testing, functional testing, trial plan
- Deadline for development phase samples
</t>
    </r>
    <r>
      <rPr>
        <b/>
        <sz val="8"/>
        <rFont val="Arial"/>
        <family val="2"/>
      </rPr>
      <t/>
    </r>
  </si>
  <si>
    <t xml:space="preserve">- Are there plans below the project plans drawn up for development of the product and process?
- Are milestones aligned with the customers' milestones?
- Is the critical path identified? 
- Is it ensured that the development plans are always up-to-date? 
- Are product &amp; process FMEA part of the QM planning? 
- Are external processes and services an integral part of the project planning? </t>
  </si>
  <si>
    <t>2070
2080</t>
  </si>
  <si>
    <r>
      <rPr>
        <b/>
        <sz val="8"/>
        <rFont val="Arial"/>
        <family val="2"/>
      </rPr>
      <t>Process development</t>
    </r>
    <r>
      <rPr>
        <sz val="8"/>
        <rFont val="Arial"/>
        <family val="2"/>
      </rPr>
      <t xml:space="preserve">
- Deadlines for the performance test, tool timing plans
- Detailed planning for inspection plans, test equipment plan and maintenance plans including spare parts management</t>
    </r>
  </si>
  <si>
    <r>
      <rPr>
        <b/>
        <sz val="8"/>
        <rFont val="Arial"/>
        <family val="2"/>
      </rPr>
      <t>Product/process development</t>
    </r>
    <r>
      <rPr>
        <sz val="8"/>
        <rFont val="Arial"/>
        <family val="2"/>
      </rPr>
      <t xml:space="preserve">
- Training plan, Qualification matrix, Investment planning
</t>
    </r>
    <r>
      <rPr>
        <b/>
        <sz val="8"/>
        <rFont val="Arial"/>
        <family val="2"/>
      </rPr>
      <t>Process development</t>
    </r>
    <r>
      <rPr>
        <sz val="8"/>
        <rFont val="Arial"/>
        <family val="2"/>
      </rPr>
      <t xml:space="preserve">
- Inspection planning for standard and stress testing
- Triggering criteria are defined
- NTF process
- Concept for the supplier of spare parts
- Contingency plans</t>
    </r>
  </si>
  <si>
    <r>
      <rPr>
        <b/>
        <sz val="8"/>
        <rFont val="Arial"/>
        <family val="2"/>
      </rPr>
      <t>Product/process development:</t>
    </r>
    <r>
      <rPr>
        <sz val="8"/>
        <rFont val="Arial"/>
        <family val="2"/>
      </rPr>
      <t xml:space="preserve">
- Training plan, Qualification matrix, Investment plan
</t>
    </r>
    <r>
      <rPr>
        <b/>
        <sz val="8"/>
        <rFont val="Arial"/>
        <family val="2"/>
      </rPr>
      <t>Process development:</t>
    </r>
    <r>
      <rPr>
        <sz val="8"/>
        <rFont val="Arial"/>
        <family val="2"/>
      </rPr>
      <t xml:space="preserve">
- Inspection planning for standard and stress testing, triggering criteria are defined, NTF process, Concept for the supply of spare parts, Contingency plans</t>
    </r>
  </si>
  <si>
    <t>5.3.2
6.1.2.2
10.2
10.2.3
10.2.5</t>
  </si>
  <si>
    <t>2120
2130
2225
2230</t>
  </si>
  <si>
    <r>
      <rPr>
        <b/>
        <sz val="8"/>
        <rFont val="Arial"/>
        <family val="2"/>
      </rPr>
      <t>Product/process development</t>
    </r>
    <r>
      <rPr>
        <sz val="8"/>
        <rFont val="Arial"/>
        <family val="2"/>
      </rPr>
      <t xml:space="preserve">
- Cax equipment
- Availability of qualified personnel for respective tasks
- Capacity planning for all resources
</t>
    </r>
    <r>
      <rPr>
        <b/>
        <sz val="8"/>
        <rFont val="Arial"/>
        <family val="2"/>
      </rPr>
      <t>Product development</t>
    </r>
    <r>
      <rPr>
        <sz val="8"/>
        <rFont val="Arial"/>
        <family val="2"/>
      </rPr>
      <t xml:space="preserve">
- Test / inspection / laboratory equipment
</t>
    </r>
    <r>
      <rPr>
        <b/>
        <sz val="8"/>
        <rFont val="Arial"/>
        <family val="2"/>
      </rPr>
      <t/>
    </r>
  </si>
  <si>
    <t xml:space="preserve">- Is there a controlled procedure of determining resources?
- Are personnel qualification requirements and the necessary facilities determined and documented before starting any development? 
- Are capacities for building prototypes, samples, 0-production, tests and serial production planned?
- Are regular demand analysis carried out during the development regarding possible bottlenecks &amp; additional demands?
- Is the resource planning adapted regularly to changes in the project? 
- Are outside processes and services taken into account? </t>
  </si>
  <si>
    <t>8.6.4</t>
  </si>
  <si>
    <r>
      <rPr>
        <b/>
        <sz val="8"/>
        <rFont val="Arial"/>
        <family val="2"/>
      </rPr>
      <t>Process development</t>
    </r>
    <r>
      <rPr>
        <sz val="8"/>
        <rFont val="Arial"/>
        <family val="2"/>
      </rPr>
      <t xml:space="preserve">
- Production sites, tools, production and test equipment</t>
    </r>
  </si>
  <si>
    <r>
      <rPr>
        <b/>
        <sz val="8"/>
        <rFont val="Arial"/>
        <family val="2"/>
      </rPr>
      <t>Product/process development</t>
    </r>
    <r>
      <rPr>
        <sz val="8"/>
        <rFont val="Arial"/>
        <family val="2"/>
      </rPr>
      <t xml:space="preserve">
Methods to minimize risk
- Design of experiments
- Poka-Yoke principles
</t>
    </r>
    <r>
      <rPr>
        <b/>
        <sz val="8"/>
        <rFont val="Arial"/>
        <family val="2"/>
      </rPr>
      <t>Product development</t>
    </r>
    <r>
      <rPr>
        <sz val="8"/>
        <rFont val="Arial"/>
        <family val="2"/>
      </rPr>
      <t xml:space="preserve">
-Test planning
- Assembly test and system test
- A, B, C samples
- Automotive SPICE
- Endurance tests
- Environmental simulation test
</t>
    </r>
    <r>
      <rPr>
        <b/>
        <sz val="8"/>
        <rFont val="Arial"/>
        <family val="2"/>
      </rPr>
      <t/>
    </r>
  </si>
  <si>
    <t xml:space="preserve">- Is ensured that FMEAs adress all customer requirements concerning product and process in terms of function and reliability, etc.
- Are completed actions during the product/process development up-dated concerning occurance or detection?
- Is the execution of FMEAs controlled and are interfaces to customers and suppliers defined? 
- Are personnel from production planning and future production location members of the FMEA team?
- Are special characteristics identified and highlited in the FMEA and secured by appropriate actions? 
- Is the effectiveness of the actions demonstrated? </t>
  </si>
  <si>
    <t>8.3.4.3
8.3.5
8.3.5.1
8.3.5.2</t>
  </si>
  <si>
    <t>2080
3061</t>
  </si>
  <si>
    <r>
      <rPr>
        <b/>
        <sz val="8"/>
        <rFont val="Arial"/>
        <family val="2"/>
      </rPr>
      <t>Process development</t>
    </r>
    <r>
      <rPr>
        <sz val="8"/>
        <rFont val="Arial"/>
        <family val="2"/>
      </rPr>
      <t xml:space="preserve">
- Control plan / inspection plan</t>
    </r>
  </si>
  <si>
    <r>
      <rPr>
        <b/>
        <sz val="8"/>
        <rFont val="Arial"/>
        <family val="2"/>
      </rPr>
      <t>Product/process development</t>
    </r>
    <r>
      <rPr>
        <sz val="8"/>
        <rFont val="Arial"/>
        <family val="2"/>
      </rPr>
      <t xml:space="preserve">
- Customer requirements
- Requirements profile for the relevant positions
- Determination of the need for training
- Evidence of training
- Knowledge of methods and foreign languages</t>
    </r>
  </si>
  <si>
    <t>- Is a general personal planning available?
- Are qualified personal ressources planned and available to the specified timing dates?
- Are outside processes taken into account?</t>
  </si>
  <si>
    <t>5.3.1</t>
  </si>
  <si>
    <r>
      <rPr>
        <b/>
        <sz val="8"/>
        <rFont val="Arial"/>
        <family val="2"/>
      </rPr>
      <t>Product/process development</t>
    </r>
    <r>
      <rPr>
        <sz val="8"/>
        <rFont val="Arial"/>
        <family val="2"/>
      </rPr>
      <t xml:space="preserve">
- Customer requirements
- Technical interface to customer and suppliers
</t>
    </r>
    <r>
      <rPr>
        <b/>
        <sz val="8"/>
        <rFont val="Arial"/>
        <family val="2"/>
      </rPr>
      <t>Product development</t>
    </r>
    <r>
      <rPr>
        <sz val="8"/>
        <rFont val="Arial"/>
        <family val="2"/>
      </rPr>
      <t xml:space="preserve">
- Test planning
</t>
    </r>
    <r>
      <rPr>
        <b/>
        <sz val="8"/>
        <rFont val="Arial"/>
        <family val="2"/>
      </rPr>
      <t/>
    </r>
  </si>
  <si>
    <t xml:space="preserve">- Is there a process to determine ressources? 
- Are there regular analyses of demand carried out in the course of the product development, covering possible bottlenecks and additional demands? 
- Is there transparency regarding stages involved in determining the possible existence of bottlenecks? </t>
  </si>
  <si>
    <t>3050
3070
3090
3160</t>
  </si>
  <si>
    <r>
      <rPr>
        <b/>
        <sz val="8"/>
        <rFont val="Arial"/>
        <family val="2"/>
      </rPr>
      <t>Process development</t>
    </r>
    <r>
      <rPr>
        <sz val="8"/>
        <rFont val="Arial"/>
        <family val="2"/>
      </rPr>
      <t xml:space="preserve">
- Facility planning
- Facility layout
- Machinery and equipment planning
- Quantities and troughput times
- Transport routes
- Transport, containers, storage
- Capacity before series start
- Supporting processes for example from logistics and IT</t>
    </r>
  </si>
  <si>
    <r>
      <rPr>
        <b/>
        <sz val="8"/>
        <rFont val="Arial"/>
        <family val="2"/>
      </rPr>
      <t>Product/process development</t>
    </r>
    <r>
      <rPr>
        <sz val="8"/>
        <rFont val="Arial"/>
        <family val="2"/>
      </rPr>
      <t xml:space="preserve">
- Test reports, protocols
- Evidence related to purchased parts / suppliers
- sampling results
</t>
    </r>
    <r>
      <rPr>
        <b/>
        <sz val="8"/>
        <rFont val="Arial"/>
        <family val="2"/>
      </rPr>
      <t>Product development</t>
    </r>
    <r>
      <rPr>
        <sz val="8"/>
        <rFont val="Arial"/>
        <family val="2"/>
      </rPr>
      <t xml:space="preserve">
- Specifications, technical drawings, requirement specifications
- FMEA, IMDS, REACH, RoHS
- Product test
- Prototypes
- Confirmation of conformity with legal requirements
- Development releases from customers
</t>
    </r>
    <r>
      <rPr>
        <b/>
        <sz val="8"/>
        <rFont val="Arial"/>
        <family val="2"/>
      </rPr>
      <t/>
    </r>
  </si>
  <si>
    <t xml:space="preserve">- Are all releases/evidences of suitabilty available for all parts, sub-assemblies and bought-in items in acc. with the development timing plans?
- Are all PPAPs carried out?
- Are reference parts and products from sample submission retained in accordance with the customer requirements? </t>
  </si>
  <si>
    <t>8.3.4.2</t>
  </si>
  <si>
    <t>4005
4007
4110</t>
  </si>
  <si>
    <r>
      <rPr>
        <b/>
        <sz val="8"/>
        <rFont val="Arial"/>
        <family val="2"/>
      </rPr>
      <t>Process development</t>
    </r>
    <r>
      <rPr>
        <sz val="8"/>
        <rFont val="Arial"/>
        <family val="2"/>
      </rPr>
      <t xml:space="preserve">
- Logistics concept
- Proof of capability of specil characteristics
- Capacity studies
- Tool approvals</t>
    </r>
  </si>
  <si>
    <r>
      <rPr>
        <b/>
        <sz val="8"/>
        <rFont val="Arial"/>
        <family val="2"/>
      </rPr>
      <t>Product/process development</t>
    </r>
    <r>
      <rPr>
        <sz val="8"/>
        <rFont val="Arial"/>
        <family val="2"/>
      </rPr>
      <t xml:space="preserve">
- Risk analysis
- Control plan
</t>
    </r>
    <r>
      <rPr>
        <b/>
        <sz val="8"/>
        <rFont val="Arial"/>
        <family val="2"/>
      </rPr>
      <t/>
    </r>
  </si>
  <si>
    <r>
      <rPr>
        <b/>
        <sz val="8"/>
        <rFont val="Arial"/>
        <family val="2"/>
      </rPr>
      <t>Product development:</t>
    </r>
    <r>
      <rPr>
        <sz val="8"/>
        <rFont val="Arial"/>
        <family val="2"/>
      </rPr>
      <t xml:space="preserve">
- Risk analysis (FMEA, FTA etc.), Control plan
</t>
    </r>
    <r>
      <rPr>
        <b/>
        <sz val="8"/>
        <rFont val="Arial"/>
        <family val="2"/>
      </rPr>
      <t>Process development:</t>
    </r>
    <r>
      <rPr>
        <sz val="8"/>
        <rFont val="Arial"/>
        <family val="2"/>
      </rPr>
      <t xml:space="preserve">
- Risk analysis (FMEA, FTA etc.), Control plan, Product audit plan, Inspection instruction, Reaction plan, Layout inspection and functional testing planning, Series release (first and last piece), In-line inspecrions</t>
    </r>
  </si>
  <si>
    <t>8.5.1.1</t>
  </si>
  <si>
    <t>4008
4090
4130</t>
  </si>
  <si>
    <r>
      <rPr>
        <b/>
        <sz val="8"/>
        <rFont val="Arial"/>
        <family val="2"/>
      </rPr>
      <t>Process development</t>
    </r>
    <r>
      <rPr>
        <sz val="8"/>
        <rFont val="Arial"/>
        <family val="2"/>
      </rPr>
      <t xml:space="preserve">
- Risk analysis
- Control plan
- Product audit plan
- Inspection instruction
- Reaction plan
- Layout inspection and functional testing planning
- Series release
- In-line inspections</t>
    </r>
  </si>
  <si>
    <r>
      <rPr>
        <b/>
        <sz val="8"/>
        <rFont val="Arial"/>
        <family val="2"/>
      </rPr>
      <t>Process development</t>
    </r>
    <r>
      <rPr>
        <sz val="8"/>
        <rFont val="Arial"/>
        <family val="2"/>
      </rPr>
      <t xml:space="preserve">
- Customer requirements
- Determination of minimum quantities
- Process capability study
- Measurement capability
- Capability of measurement processes
- Equipment and infrastructure are ready for start of serial production
- Staff concept for serial production
- Work / inspection instructions
- Packaging requirements
- Process validation</t>
    </r>
  </si>
  <si>
    <t>- Are all production factors and influences at the appropriate time? 
- Is proven, that the agreed quantities can be achieved?</t>
  </si>
  <si>
    <t>9.1.1.1</t>
  </si>
  <si>
    <t>4010
4020
4030
4090
4100</t>
  </si>
  <si>
    <r>
      <rPr>
        <b/>
        <sz val="8"/>
        <rFont val="Arial"/>
        <family val="2"/>
      </rPr>
      <t>Process development</t>
    </r>
    <r>
      <rPr>
        <sz val="8"/>
        <rFont val="Arial"/>
        <family val="2"/>
      </rPr>
      <t xml:space="preserve">
- Evidence of training
- Qualification matrix
- Existence of infrastructure and test equipment
- Service agreements with external analysis sites
- Equipment for standard and stress test
- Triggering criteria are defined
- NTF process
- Concept to ensure supply of spare parts
- Contingency plans</t>
    </r>
  </si>
  <si>
    <t>- Evidence of training, Qualification matrix, Existence of ifrastucture and test equipment, Service agreements with external analysis sites, Equipment for standard and stress tests, Triggering criteria are defined, NTF process, Concept to ensure supply of spare parts,, Contingency plans</t>
  </si>
  <si>
    <t>6.1.2.3
5.3.1
5.3.2</t>
  </si>
  <si>
    <t>3170
4140
5030
5040</t>
  </si>
  <si>
    <r>
      <rPr>
        <b/>
        <sz val="8"/>
        <rFont val="Arial"/>
        <family val="2"/>
      </rPr>
      <t>Product/process development</t>
    </r>
    <r>
      <rPr>
        <sz val="8"/>
        <rFont val="Arial"/>
        <family val="2"/>
      </rPr>
      <t xml:space="preserve">
- Customer requirements
- Handover protocols / checklists with handover criteria
- Acceptance reports
- Control plan
- Inspection instructions
- Part history
- A method has been determined to carry out failure analysis and to introduce corrective actions
- Production metrics such as OEE, rejects, ...
- Experience from the ongoing project
- Measurement capability
- Capability of measurement processes</t>
    </r>
  </si>
  <si>
    <t xml:space="preserve">- Is there a controlled process for the structured transfer of responsibility between the development team and production available?
- Has a production test been carried out at the production location in accordance with the customer requirements? 
- Have actions been completed, arising from the production test? 
- Are machine capability studies available to cover all special characteristics?
- Are tools, test measurement and inspection equipment available in sufficient quantities? </t>
  </si>
  <si>
    <t>8.3.4.4</t>
  </si>
  <si>
    <t>4007
4009
4010
4020
4030
4110</t>
  </si>
  <si>
    <r>
      <t xml:space="preserve">- Defined and documented criteria are used for supplier selection
- Evidence of a qualification programm for suppliers who did not meet the selection criteria
- Evaluation of the qulity capability for example self-assessment, audit results, supplier certificates
- Results of the potential analysis
</t>
    </r>
    <r>
      <rPr>
        <b/>
        <sz val="12"/>
        <rFont val="Arial"/>
        <family val="2"/>
      </rPr>
      <t>Can also be used for:</t>
    </r>
    <r>
      <rPr>
        <sz val="12"/>
        <rFont val="Arial"/>
        <family val="2"/>
      </rPr>
      <t xml:space="preserve">
- Research and development suppliers / prototype suppliers
- Suppliers of intangible products e.g. software
- Suppliers of equipment, machinery, tools
- Service providers
- External test labs
- Suppliers in outsourced processes</t>
    </r>
  </si>
  <si>
    <t xml:space="preserve">- Has the QM system of the supplier been assessed before selection?
- Are the suppliers suitable for serial production? 
- Are there process audits planned for the selected suppliers (depending on risk classification of the product)?
- Has the selected suppliers sufficient capacities to fulfill the necessary damands. </t>
  </si>
  <si>
    <t>8.4.1.2</t>
  </si>
  <si>
    <t>- Transmission of requirements, tolerances, time schedule, process releases, releases, complaints stc. With ensuring change menagement
- Quality agreement
- QAA ( quality assurance agreement )
- Legal and regulatory requirements</t>
  </si>
  <si>
    <t>- Are the suppliers controlled and monitored in terms of their engagements and performance (depending on the risk classification of the product)?</t>
  </si>
  <si>
    <t>8.4.1.3
8.4.2.2</t>
  </si>
  <si>
    <t>- Measurable targets for quality, delivery quantity, punctuality, for example to: reduce the ppm rates with the 0-failure strategy
- QM agreements including escalation mechanisms
- Avoidance of extra tours
- Reduction of rejects
- Reduction of the work in progress</t>
  </si>
  <si>
    <t>- Have actions been defined in terms of discrepancies and is the implementation monitored?</t>
  </si>
  <si>
    <t>- Specifications / standards / test instructions
- PPA-Reports when necessary with software test reports
- Proof of capability for special characteristics
- Legal / country specific requirements
- Qualifiction tests/reports
- Model releases 
- Change management in the supply chain
- Approval agreements for the scope of small batches and individual requirements</t>
  </si>
  <si>
    <t>- Are the necessary approvals/releases issued for all out-sourced products and services before they are used in serial production?
- Is there a comprehensive change management provided from the customer to the sub-supplier?</t>
  </si>
  <si>
    <t>- Coordination of test / inspection procedures, processes and frequencies
- Reference parts
- Sample sieze (e.g. skip Lot)
- Evaluation of main failures
- ppm evaluations, 8D reports
- Agreement and tracking of improvement programs
- Test possibilities (testing in accordance ISO / IEC 17025) and finished parts
- Gauges/fixtures
- Technical drawings / specifications
- Ordering and packaging specifications
- Proof of capability
- Layout inspections and functional testing / reports
- Test certificates</t>
  </si>
  <si>
    <t>- Is the capability and performance of suppliers checked at defined intervals and are results logged and evaluated in a report? 
- Are there qualification programmes laid down in case of negative results? 
- Are there requalification checks carried out according to the customer requirements? 
- Are test, inspection and measurement equipments stored in an orderly manner to prevent damage, contamination and if relevant, air conditioning?</t>
  </si>
  <si>
    <t>8.4.2.3
8.4.2.4
8.4.2.5</t>
  </si>
  <si>
    <t>- Packaging, Inventory control, Labeling, FIFO
- Quarantine sores, quarantine areas
- Batch-related use
- Shelf life requirements
- Climatic conditions
- Protection against damage / contanimation / corrosion
- Order and cleanliness
- Precautions to prevent mixing / mistakes
- Remaining quantities from production</t>
  </si>
  <si>
    <t>- Are incoming materials and goods stored in accordance with the release status so that they cannot be damaged or mixed up?
- Are FIFO and batch traceability ensured? 
- Does material stock figures in the stores administration system agree with the quantities actually in stock?</t>
  </si>
  <si>
    <t>- Product / specifications / customer requirements
- Knowledge about product features and production process for the individual parts of modules
- Standards / legislation
- Packaging requirements
Assessment methods
- Quality procedures
- Complaints and corrective action
- Job / function descriptions- Qualification matrix
- Foreign languages
- Qualification of supplier auditors</t>
  </si>
  <si>
    <t>- Is there a qualification matrix for all employees with their responsibilities available?
- Are there job descriptions for all functions available?
- Are there training plans determined according the the tasks and qualifications for all employees? 
- Is knowledge of previous complaints regarding out-sourced requirements available?</t>
  </si>
  <si>
    <t>PTR</t>
  </si>
  <si>
    <t>- Project status reports
- Transfer reports
- Milestone reports
- Defined actions with implementation schedule
- Precess FMEA and actions
- Product FMEA and actions
- Production release report
- Machine and process capability examination
- Measurement capability
- Capability of measurement process
- Production test / performance test and evidence
- Transport planning process
- PPA documents including customer release and reference sample
- Non-conformity permission when necessary
- Released software standard</t>
  </si>
  <si>
    <t>- Is there a process defined for transfering responsibilities between development and production? 
- Has responsibilities been transfered?
- Has a complete production process and product approval taken place before the first production shipment?
- Has the PPF (PPAP) as final verification of the product /process been approved for serial production? 
- Are reference parts from sample submission been retained acc. to the customers' instructions?
- Has a production test been carried out acc. to the customers' requirements and passed positively?
- Has evidence of feasibility investigations been provided for all special characteristics?</t>
  </si>
  <si>
    <t>- Sufficient and appropriate transport facilities
- Defined storage points
- KANBAN
- Just in time / just in sequence
- Inventory control
- Change status
- Exchange of information to the return of unnecessary  components/surplus
- Inventory
- Production levels tailored to the customer's requirements
- Special requirements for components and containers</t>
  </si>
  <si>
    <t>- Is the process of incoming goods controlled (KANBAN, JIT, FIFO)?
- Are quantities and batch sizes in line with the relevant work-places and the upstream processes?
- Is the return of unwanted parts (residual quantities) controlled, including a count of the parts involved?</t>
  </si>
  <si>
    <t>4010
4110</t>
  </si>
  <si>
    <t>- Stock quantities
- Storage conditions
- Released special and standard transport containers
- Packaging requirements
- In-house transport containers
- Protection against damage
- Positioning of parts in the workplace
- Cleanliness, order
- Over-filling 
- Monitoring of storage times</t>
  </si>
  <si>
    <t>- Are customer specific packaging regulations taken into account? 
- Are suitable transport units used for any transportation, to protect parts from damage and contamination?
- Are cleaning cycles defined and monitored for storage areas?
- Are specified storage times and use-by dates for special materials/parts monitored by appropriate methods?</t>
  </si>
  <si>
    <t>- Customer specifications
- Customer requirements for labeling and tracing
- Legal requirements, product liability legislation
- Identification of replacement parts
- Process for the release of parts/material
- Identification of released part/materials
- Records of approvals
- Tracebility system / concept
- Documentation of concessions</t>
  </si>
  <si>
    <t>- Are the incoming materials identified clearly and recognizable?
- Is ensured that only released material/parts can be forwarded to production/the next process and used?
- Is for critical products traceabilty gurananteed accross the entire process chain, from sub-supplier to customer?</t>
  </si>
  <si>
    <t>8.5.2
8.5.2.1</t>
  </si>
  <si>
    <t>- Trigger matrix in accordance with VDA Volume 2
- Change release by the orginisation and the customer
- Information about changes is passed onto process development, production areas, stores or to sub-suppliers
- The level of implementation of the change is tracked
- Documented change record
- Update of documentation involved
- Updates of the FMEA
- Verification and validation of changes including documentation
- Controlled introduction of changes and modified products / parts
- Layout production before major changes or relocations wich require a production stop. Lead times from changes
- Change levels of test / inspection equipment, gauges, tools and technical drawings
- Parameter changes
- Software</t>
  </si>
  <si>
    <t>- Is the process of change from the initial change request through to implementation clearly described and responsibilities defined?
- If necessary, are changes agreed and approved together with the customer?
- Are the effects of changes analysed, documented  and assessed, before the changes are implemened?
- Is ensured, that only current/valid documents are present at work-stations?</t>
  </si>
  <si>
    <t>- Evidence of machine and process capability
- Process parameters and tolerances
- Inspection specifications
- Data regarding machines / tools / auxiliary aids
- Guidelines regarding measurement fixtures / reference points
- Work instructions
- Inspection instructions
- Specific requirements on the manufacturing technology, e.g. sampling relevant assignment of machines and plants</t>
  </si>
  <si>
    <t>- Are all test/inspection documents available at the work-stations?
- Are all checking/inspection characteristics, methods, frequencies and requalifications described and defined in these documents?
- Are all process parameters influencing product characteristics and/or quality fully stated?
- Are tolerances stated for process parameters and checking/inspection characteristics?
- Are control limits in process control charts specified, recognizable and traceable?
- Are actions for non-compliances taken and documented regarding process requirements and inspection characterisitics?
- Are conditions governing rework specified and secured within the process (parts identification; fresh checks/inspection, ...)
- Does the quality checking/inspection concept comply with the customers' requirements?</t>
  </si>
  <si>
    <r>
      <t xml:space="preserve">- Release of a batch
- Release of reworked parts
- First piece release / first part release
- Tooling diagrams / reference parts / installation parts
</t>
    </r>
    <r>
      <rPr>
        <b/>
        <sz val="12"/>
        <rFont val="Arial"/>
        <family val="2"/>
      </rPr>
      <t>Possible triggering criteria für a repeat release:</t>
    </r>
    <r>
      <rPr>
        <sz val="12"/>
        <rFont val="Arial"/>
        <family val="2"/>
      </rPr>
      <t xml:space="preserve">
- Production interruption (e.g. night time in two shift operations, tool changes, material / batch / product change)
- Repair, tool change
- Setting data</t>
    </r>
  </si>
  <si>
    <t>- Are approvals for serial production carried out according to clear instructions (to assure repeatabiliy) and signed by authorised personnel?
- Is the production restart defined after break in production (e.g., night-time shut-down, change of tool, process interruption, material, batch, ...)?
- Are special processes (gluing, welding, brazing, ...) controlled and documented appropriate in addition to the serial release?
- Are setting plans and setting aids/reference/limit parts available at the work-places?
- Are non-compliances and taken action documented?</t>
  </si>
  <si>
    <t>8.5.1.3
8.5.1.4</t>
  </si>
  <si>
    <t>- Product FMEA / process
- Control  plan
- Quality records
- Statistical evaluations
- SPC evaluations
- Quality control charts
- Proof of capability Cpk, Cmk, machine capability checks etc.
- Capability of measurement processes analysis
- Inspection result
- Technical drawings
- Special characteristics</t>
  </si>
  <si>
    <t>- Can be shown, that the processes are implemented to the customers' requirements with the existing production facilities and that the 
  resulting products comply with the customers' specifications?
- Can process capability (Cpk &gt;=1,33) be determined for significant product/process characteristics and demonstrated 
  continually?
- Are 100 % inspections done for significant characteristics where no capability level can be demonstrated?
- Are cleanliness requirements defined and implemented by reference to the product risk?
- Is there sufficient production capability, taking into account levels of scrap and rework?</t>
  </si>
  <si>
    <t>9.1.1.1
9.1.1.2
9.1.1.3
9.1.2
9.1.2.1</t>
  </si>
  <si>
    <t>4008
4030</t>
  </si>
  <si>
    <t>- Labeling of scrap, rework, reference and setting parts
- Labeling of containers for scrap, rework and setting parts
- Defined scrap / rework-stations in production
- Storage areas for blocked stock and restricted areas
- Records of rework and scrap</t>
  </si>
  <si>
    <t>- Are containers for scrap and rework identified appropriately?
- Are quarantine stores and quarantine areas clearly recognizable? Is unauthorized access prevented?
- Is the storage of setting, reference parts and tools displayed and identifiable?</t>
  </si>
  <si>
    <t>8.7.1.1
8.7.1.2
8.7.1.3
8.7.1.4
8.7.1.5
8.7.1.6
8.7.1.7</t>
  </si>
  <si>
    <t>- Material and parts flow
- Product / process FMEA
- Poka-Yoke actions
- Checks and tests in production facilities
- Parts identification
- Identification of work, inspection and usage status
- Batch identification, tracebility of the installation of batches or the production of batches
- Removal of invalid labeling
- Working papers with master data for parts / production
- Design status
- Material flow analysis
- Value stream
- Regulations for reworking</t>
  </si>
  <si>
    <t>- Are Poka Yoke or other methods used to avoid mixing of parts/materials?
- Are suitable checks/actions carried out to guarantee early detection and filtering out of wrongly installed items?
- Are associated subjects and actions examined in the process FMEA?
- Is there a clearly defined process for the handling of residual quantities, parts which have been separated out (e.g. stacked up because of a machine problem), re-used parts from product audits, checking parts, etc.?</t>
  </si>
  <si>
    <t>2080
2150
3040
3061</t>
  </si>
  <si>
    <t>- Training / qualification evidence
- Qualification matrix
- Initial training plan with evidence
- Knowledge about the product and failures that have ocurred
- Handling of measuring equipment
- Training in work safety, environmental aspects
- Training in special characteristics
- Suitable evidence of qualification (e.g. welding certificate, vision test result, driving license for forklift trucks)
- Product training</t>
  </si>
  <si>
    <t>- Are there detailed process descriptions (when, how many, how often, with what, where, documentation) for the operators concerning 
  responsibilities for process releases and checks on first-off parts?
- Who has what authority in the event of non compliance (authority to quarantine parts, stop the line, etc...)?
- Are employees regularly informed about current quality levels achieved by the customers?
- Are operators engaged in the CIP process?</t>
  </si>
  <si>
    <t>7.1
7.2.2</t>
  </si>
  <si>
    <t>- Work / inspection instructions
- Quailification matrix
- Job descriptions
- Employee self-inspections
- Process release (setup release, first piece inspection, last piece inspection)
- Process control
- Authority to stop and start the process
- Order and cleanliness
- Repair and maintenance is carried our when necessary, arranged for
- Parts supply / storage
- Provision and adjusment ot test/measuring equipment is carried out or when is necessary, arranged for
- Training about the product
- Quality information (target / actual values)
- Product safety / product liability trainings</t>
  </si>
  <si>
    <t xml:space="preserve">- Are there job descriptions for each work-station, including a requirement profile?
- Are individual training needs determined acc. to the personal development plan? Are they recorded?
- Are employees trained in the processes and know of production errors which can potentially occur?
- Are the operators trained in the consequences of carrying out work wrongly, as part of product training (What tasks/functions does the product perform and what happens if these cannot be guaranteed because of incorrect assembly, etc.)?
- Is there evidence of suitability to meet requirements regarding activities (e.g., fork-lift driver licence, welding chertificate, eye test, ...)?
- Are there trainings/instructions documented in the event of changes to the product/process?
</t>
  </si>
  <si>
    <t>7.2.2</t>
  </si>
  <si>
    <t>- Shift plan
- Evidence of qualifications
- Documented absence management rules
- Workforce scheduling</t>
  </si>
  <si>
    <t>- Is there a qualifications matrix available?
- Are absentee levels (sickness, holidays, training) included in the employment planning?
- Are rules regarding deputies documented and are they derived from the qualifications matrix for the relevant production operations?</t>
  </si>
  <si>
    <t>7.1.2</t>
  </si>
  <si>
    <t>- Evidence of machine / process capability for special characteristics or process-determining parameters
- Output / production capacities
- Warning at deviations from limit specifications / parameters
- Feed an removal systems
- Capability of replacement tools
- Reproducibility of gauges, fixtures etc.
- Cleanliness requirements</t>
  </si>
  <si>
    <t>- Can be shown, that the processes are implemented to the customers' requirements with the existing production facilities and that the 
  resulting products comply with the customers' specifications?
- Can process capability (PpK &gt;= 1,67 / Cpk &gt;=1,33) be determined for significant product/process characteristics and demonstrated 
  continually?
- Are 100 % inspections done for significant characteristics where no capability level can be demonstrated?
- Are cleanliness requirements defined and implemented by reference to the product risk?
- Is there sufficient production capability, taking into account levels of scrap and rework?</t>
  </si>
  <si>
    <t>7.1
7.1.3.1</t>
  </si>
  <si>
    <t>4009
4010
4030</t>
  </si>
  <si>
    <t>- Availibility / use of the appropriate technical documents
- Maintenance plan and maintenance tasks
- Weak-point analysis
- Preventative tool exchange program for units subject to increased wear and tear
- Storage and retrieval machines / equipment for transport and storage etc.
- Availibilty of spare parts at the production facilities producing key products
- Adherence to the prescribed maintenance intervals
- Documentation of maintenance activities
- Regular plausibility check of the scheduled maintenance intervals
- Hiring of external service companies to carry out maintenance</t>
  </si>
  <si>
    <t>- Are equipments, machines and tools identified for key processes and are there appropriate 
  preventive maintenance intervals allocated to them?
- Are there enough ressources available, to carry out essential maintenance work?
- Is there a established maintenance system, where all controls and tasks are documented?
- Are spare parts planned and available for production facilities of key processes, reflecting 
  the critical path?
- Are the work-places and work surroundings clean (5S)?
- Is there a system implemented, to optimize down times, machine loading and the life of tools?
- Is there a tool management system available which contains: identification and usage stauts, tool tracking card with all the changes made, tool operating times, protection from damage, ownership of the tool?</t>
  </si>
  <si>
    <t>8.5.1.5</t>
  </si>
  <si>
    <t>- Control plan
- Capability of the test equipment
- Capability of measuring equipment
- Capability of measurement process
- Data collection and interpretability
- Eviddence of the calibration of inspection equipment
- Comparison of inspection equipment / measurement process with the customer
- Inspection stickers or certificates
- Reference component / setup parts</t>
  </si>
  <si>
    <t>- Are the test and inspection facilities suitable for the purpose and handling in production and are they included in the control plan? 
- Are the employees trained in use of the measurement equipment, to exclude measurement errors?
- Are capability studies carried out on the measurement devices employed and is the accuracy appropriate for the purpose?
- Is there a calibration system established and is it available for the inspection equipment?
- Are process-integrated measurement equipments also taken into account? 
- Is there an identification system for the measurement equipments?</t>
  </si>
  <si>
    <t>7.1.5
7.1.5.1.1
7.1.5.2
7.1.5.2.1
7.1.5.3
7.1.5.3.1
7.1.5.3.2</t>
  </si>
  <si>
    <t>- Lighting
- Cleanliness and tidiness
- Climate control
- Noise pollution
- Clean rooms
- Workplace lay-out
- Surroundings / handling parts at the workplace
- Work safety</t>
  </si>
  <si>
    <t>- Are the conditions for the work-space and their surrounding (inc. rework areas) appropriate for 
  the products and the work carried out, in order to prevent/eliminate contamination, damage, mixing-up of parts and misinterpretations?
- Is the work-place layout adapted to ergonomical aspects?</t>
  </si>
  <si>
    <t>7.1.4.1
8.5.1.6</t>
  </si>
  <si>
    <t>- Stored protected against damage
- Cleanliness and tidiness
- Defined storage location
- Environmental influences
- Status identification
- Defined release status and change level
- Storage and retrieval machines / equipment for transport and storage etc.
- Reference component / setup parts</t>
  </si>
  <si>
    <t>- Are tool, equipment and test/inspection devices not in use and/or not yet relased stored and managed in an appropriate manner?
- Are all tools, equipment and test/inspection devices identified with their current status and change level (released, under maintenance, quarantined, ...)?
- Is storage provided, where equipment is protected against damage and environmental effects and are cleanliness and tidiness ensured?</t>
  </si>
  <si>
    <t>3070
3130</t>
  </si>
  <si>
    <t>- Availibility of installations and machines
- Number of parts produced per unit of time
- Rework, scrap
- Production runs with no reworking, first tim through quality, first pass yield
- Quality indicators (e.g. failure rates, audit results)
- Process metrics (process capability)
- Reduction of waste (e.g. scrap and rework, energy and process materials)</t>
  </si>
  <si>
    <t>- Are process and product metrics defined and logged in order to control and monitor the organisation's processes?
- Are regular comparisons made between specified and actual results?
- Are target requirements agreed and achievable; are they up-to-date?
- Are process specific targets laid down, monitored and communicated (e.g. quantities produced, failure rates, audit results, through-times and process effectiveness/Cpk)?
- Are non-conformances analysed, actions agreed and implemented?
- Is CIP established regarding quality, costs and service?</t>
  </si>
  <si>
    <t>5010
5030</t>
  </si>
  <si>
    <t>- Defect collection charts
- Control charts
- Process parameters
- Factory data cellection
- Fault signals (e.g. plant standstill, power failure, program error massage
- Parameter changes
- Error type / error frenquencies
- Error costs (non-conformity)
- Rejects / reworking
- Blocking message / sorting actions
- Cycle times, through-put times
- SPC
- Pareto analysis
- Cause and effect diagrams
- Risk analysis
- Tracebility concept</t>
  </si>
  <si>
    <t>- Is full quality and process data available, to demonstrate compliance with requirements and targets?
- Are events and problems allocated to the responsible areas and were improvements implemented?
- Are non-conformances with approved processes with effect on the characteristics of the product, released by the customer?
- Are types and frequencies of failures logged and assessed, as well as actions implented and effectiveness verified?
- Are failures resulting in a change, documented in the relevant FMEAs? 
- Are failure costs monitored (amount of scrap, rework items &amp; consequences)?</t>
  </si>
  <si>
    <t>6.1.2.1
6.2.2.1</t>
  </si>
  <si>
    <t>- 8D method
- Cause and effects diagram
- Taguchi, Shainin
- 5 Why method
- FMEA / error analysis
- Process capability analysis
- Quality control circles / quality circle
- Analytical assessment methods
- Information flow to the customer
- Product FMEA and process FMEA
- Waivers / concessions
- Additional dimensional material, functional and endurance checks and tests</t>
  </si>
  <si>
    <t>- Are in case of deviations, immediate actions implemented, to comply with the requirements, until the causes of the failure are eliminated and evidence has been provided of the effectiveness of the corrective actions?
- Are methods for the analysis defined and in use?
- Are corrective actions derived and is the implementation monitored and effectiveness verified?
- Are production control plans and FMEAs taken into account and up-dated if required?
- Are functioning quality circles implemented in the production within the organisation? 
- Is the status of the actions transparent and communicated?</t>
  </si>
  <si>
    <t>6.1.2.2</t>
  </si>
  <si>
    <t>5030
5040</t>
  </si>
  <si>
    <r>
      <rPr>
        <b/>
        <sz val="12"/>
        <rFont val="Arial"/>
        <family val="2"/>
      </rPr>
      <t>Product and process audit</t>
    </r>
    <r>
      <rPr>
        <sz val="12"/>
        <rFont val="Arial"/>
        <family val="2"/>
      </rPr>
      <t xml:space="preserve">
- Specifications
- Special characterestics
- Audit program for product and process audits including scheduled and event-based audits
- Frequency of audits
- Audit rquirements
- Audit results, audit reports
- Auditor qualification
</t>
    </r>
    <r>
      <rPr>
        <b/>
        <sz val="12"/>
        <rFont val="Arial"/>
        <family val="2"/>
      </rPr>
      <t>Process audit</t>
    </r>
    <r>
      <rPr>
        <sz val="12"/>
        <rFont val="Arial"/>
        <family val="2"/>
      </rPr>
      <t xml:space="preserve">
- Process parameter / capability
</t>
    </r>
    <r>
      <rPr>
        <b/>
        <sz val="12"/>
        <rFont val="Arial"/>
        <family val="2"/>
      </rPr>
      <t>Product audit</t>
    </r>
    <r>
      <rPr>
        <sz val="12"/>
        <rFont val="Arial"/>
        <family val="2"/>
      </rPr>
      <t xml:space="preserve">
- Labelling, packaging
- Capacity of the test equipment
- Software version</t>
    </r>
  </si>
  <si>
    <t>- Are audit plans (process and product audits) available for the products and the production processes?
- Are deviation reports issued to the responsibles and improvement actions tracked?
- Are additional audits carried out, refering to specific events, if quality requirements are not met (internal/external)?
- Are periodically product audits carried out after production operation have been completed, for the finished product?
- Are customer requirements and relevant functions taken into account?
- Are deficiencies in engineering and production displayed and assessed from the customers' standpoint and appropriate actions introduced?</t>
  </si>
  <si>
    <t>8.4.2.4.1
9.2
9.2.2.1
9.2.2.3
9.2.2.4</t>
  </si>
  <si>
    <t>- Adequate, appropriate means of transport
- Defined storage points
- KANBAN
- FIFO
- Just in time / just in sequence
- Stores management
- Change status
- Stock
- Production quantities tailored to the customer's need
- Special requirements for components and containers</t>
  </si>
  <si>
    <t>- Are only required quantity of parts/materials moved forward to the next work-station (the "pull" principle)?
- Are logging and assessing qualities (OK, NOK parts, rework) controlled and traceable?
- Does the identification of the parts/material show the actual status?
- Is assured that NOK parts cannot be forwarded or processed further?
- Are customer requirements for the identification of the reworked parts implemented and documented?</t>
  </si>
  <si>
    <t>8.5.1.7</t>
  </si>
  <si>
    <t>- Protection from damage
- Positioning of parts
- Cleanliness, tidiness, overfilling (storage points, containers)
- Monitoring of storage periods / quantities stored
- Environmental and climatic influence
- Internal and customer-specific packaging instructions
- Customer specific packaging instructions (packing supplied by the customer)
- Information on available stock levels
- Substitute packaging
- Requirements for cleaning packaging
- Sufficient amount of package materials</t>
  </si>
  <si>
    <t>- Are parts protected from damage by suitable storage and packaging?
- Are customer specific packaging requirements respected?
- Does storage points/containers meet essential requirements for cleanliness &amp; tidiness, including the parts at the work-place itself?
- Are specific storage times respected, if necessary?
- Are parts protected against environmental and climatic influences during storage and processing?</t>
  </si>
  <si>
    <t>3160
4100</t>
  </si>
  <si>
    <t>- Customer specifications
- Special characteristics
- Customer's identification requirements
- Customer's requirements for archiving time limits
- Archiving requirements / regulations
- Last piece inspection
- Part history
- Identification of concessions</t>
  </si>
  <si>
    <t>- Are necessary releases for the shipment of products to the customer or the next process identifiable and documented?
- Are special releases and releases under deviation traceable by appropriate identification 
  and documentation (period and quantity of parts)?
- Are the details of special releases included in the parts life-history?</t>
  </si>
  <si>
    <t>- Quality agreements with the customer
- Customer specific requirements
- Customer requirements for the identification of special characteristics
- Shipping audit
- Storage / recall processing / parts supply / shipping
- Target agreements</t>
  </si>
  <si>
    <t>- Are process specific targets laid down, including quantities produced, failure rates, audit results, failures costs, throughflow times and Cpk-values?
- Is the Ramp Up Curve and Run@Rate requirements known in supply chain?
- Does Capacity Evaluation meet customer requirements? 
- Are significant characteristics (RC, RCF, MC, SC) specific to the customer identified?
- Are test/inspection/checking instructions available and are they agreed with the customer and documented accordingly?
- Is there a described and implemented process, explaining how the areas of stores, scheduling, parts provision, shipping and the customers are informed in the event of a block on shipping?</t>
  </si>
  <si>
    <t>- Quality agreements with the customer
- Concept for layout inspections and functional testing (e.g. carried out product audits, functions tests, endurance tests)
- Inclusion of suppliers for the supply of spare parts
- Supply guarantee after serial production
- Certification of the QM system</t>
  </si>
  <si>
    <t>- Are all certifications of the QM system in accordance with the customer requirements?
- Is evidence for significant characteristics proven when carrying out audits (if appropriate)? 
- Are customers' requirements for the supply of spare parts before, during and after serial production implemented and given? 
- Does the packaging meet the customers' requirements regarding suitability, fixing, cushioning and identification?
- Are product requalification carried out to the customers' requirements?
- Does the product confirm the leagal regulations?</t>
  </si>
  <si>
    <t>8.6.2</t>
  </si>
  <si>
    <t>- Knowledge of the product application
- Knowledge of problems with the product and complaints regarding the product or transport
- Implementation of new requirements
- Notification of improvement actions
- World-wide customer service
- Customer information in the case of non-compliance with the requirements</t>
  </si>
  <si>
    <t>- Is ensured that competent contact personnel (Communication in a language which the customer understands) are available for the various areas in the customers' organisation?
- Does the supplier examine his products at all stages of the creation and implementation, to improve them in agreement with the customer?
- Is there an agreed procedure with the customer, to ensure security of new product/process launches?</t>
  </si>
  <si>
    <t>10.3.
10.3.1</t>
  </si>
  <si>
    <t>- Contingency plans (e.g. for alternative production, suppliers, transport)
- Capacity and reaction time for sorting actions
- Use of external capacity
- Communication regarding supply shortages
- Regulations covering authority to make decisions / escalation paths when introducing special actions
- Blocking of parts</t>
  </si>
  <si>
    <t>- Are there concepts in place which include security for emergencies to ensure supplies?
- Are the concepts up-to-date in the serial production delivery phase for in-house and also for the suppliers' processes?
- Is there a procedure in place which guarantees that the organisation informs the customer immediately when supply bottle-necks are detected (expected duration, extend of bottleneck, actions)?</t>
  </si>
  <si>
    <t>- Process for processing complaints
- 8D process
- Internal / external analysis facilities
- Use of problem solving methods
- Performance tests
- Flow of information to the customer in the case of deviations
- Knowledge store, lessons learned
- Quality control loop
- FMEA
- Access to the necessary release documents
- Test concept for defective parts in the field (standard test / stress test / NTF test)
- NTF guidelines
- Performance indicators for processing of complaints</t>
  </si>
  <si>
    <t>- Is the independent detection and analysis of deviations from quality requirements, with rapid introduction of corrective actions, including evidence of effectiveness guaranteed? 
- Are timings agreed with the customer following complaints or rejects maintained and non-conformances communicated?
- Are deviations and associated corrective actions placed in order of priority and integrated in existing risk analysis (e.g. FMEAs)?
- Are special actions introduced to ensures the supply of products correct to specification (e.g., 100 % inspection)?</t>
  </si>
  <si>
    <t>10.2.3
10.2.5
10.2.6</t>
  </si>
  <si>
    <t>- Organisation chart
- Evidence of knowledge of the product / specifications / customer requirements
- Standards / legislation (product liability)
- Processing / use
- Failure analysis
- Evaluation methods
- Quality techniques (e.g. Pareto, 8D Method, cause and effect diagram, Ishikawa)
- Foreign language skills</t>
  </si>
  <si>
    <t>- Is a description available, which is setting out the responsibilities, tasks and authorities of personnel in their respective task areas?
- Are job descriptions, including requirements profiles provided for each function? 
- Are training needs drawn up and implemented for each person, depending on the task and appropriate development planning?</t>
  </si>
  <si>
    <t>Mats Andersson</t>
  </si>
  <si>
    <t>Packing material i place</t>
  </si>
  <si>
    <t>According to Customer specification</t>
  </si>
  <si>
    <t xml:space="preserve">All approved Billets had DMC Code and Laser marking with: Charge number and Alloy on end plane  of each Bundle. Every Bundle had Ink marking on long side (front / back) with information:  KUBAL, Alloy, dimension and weight for Bundle (kg)   </t>
  </si>
  <si>
    <t>None</t>
  </si>
  <si>
    <t>Deviation Products/Billets was sorted out for not entering the Homogenization Furnace</t>
  </si>
  <si>
    <t xml:space="preserve">Not approved Billets according to customers specification was identified and removed from production Line and Put in designated and marked Area for remelting. </t>
  </si>
  <si>
    <t xml:space="preserve">Personell at all workstations have the required training, evidence avaible in Competence Matrix HR Department </t>
  </si>
  <si>
    <t>Calibrated measurement Tools with ID marking and date was in place</t>
  </si>
  <si>
    <t>Tools are stored in designated / marked Area</t>
  </si>
  <si>
    <t>According to Audit plan</t>
  </si>
  <si>
    <t>FG Area outside Casthouse, short storage time usually shipped to customer in short time</t>
  </si>
  <si>
    <t>Checklists are signed by operators and shiftleader, for sending to Operationg Manager</t>
  </si>
  <si>
    <t>.</t>
  </si>
  <si>
    <t>Stage 3</t>
  </si>
  <si>
    <t>Stage 4</t>
  </si>
  <si>
    <t>Stage 5</t>
  </si>
  <si>
    <t>Opening Doors to Furnaces for Skimming Dross, skimming Metal Surface or adding Alloying material will let emissions go out in Casting Area</t>
  </si>
  <si>
    <t>Project with collecting Gases from Furnaces, started 2022 and forecast is to be imlemented during Q2 - Q3 2024</t>
  </si>
  <si>
    <t>Q3</t>
  </si>
  <si>
    <t xml:space="preserve">Kubal Project Team  </t>
  </si>
  <si>
    <t>GTC 3 preliminary start in October - november 2024</t>
  </si>
  <si>
    <t>New Process Moldshop to follow up after IATF Audit Nov. 2024</t>
  </si>
  <si>
    <t>M. Sundquist, M Hosseinpour &amp; I Sundberg</t>
  </si>
  <si>
    <t>Stage 1: Moldshop Process</t>
  </si>
  <si>
    <t>Stage 2:</t>
  </si>
  <si>
    <t xml:space="preserve">There is enough amount of Spare Parts stored in Moldshop Warehouse </t>
  </si>
  <si>
    <t>Bone Ash was stored inside controlled Tent with Temperature and Humidity within range</t>
  </si>
  <si>
    <r>
      <t xml:space="preserve">Defetct Parts are exchanged and registret in Moldshop Dashboard </t>
    </r>
    <r>
      <rPr>
        <i/>
        <sz val="12"/>
        <rFont val="Arial"/>
        <family val="2"/>
      </rPr>
      <t>"Reservdelar sheet"</t>
    </r>
  </si>
  <si>
    <t>Spare Parts are clearly marked in designated Area</t>
  </si>
  <si>
    <t xml:space="preserve">Personell have the required training, evidence avaible in Competence Matrix HR Department </t>
  </si>
  <si>
    <t>Pontus S.</t>
  </si>
  <si>
    <t>Done feb. 25</t>
  </si>
  <si>
    <t>Data for performed maintenace was missing in Moldshop Dashboard: Cast Table 178mm (black), 203mm (blue and Yellow) for january.</t>
  </si>
  <si>
    <t>Good ventilation and lightning</t>
  </si>
  <si>
    <t>Checklists are signed (paper)by operators and given to Moldshop Manager, but not all was registred digitally in Dashboard</t>
  </si>
  <si>
    <t>Will immediately enter missing Data, have on Paper already</t>
  </si>
  <si>
    <t>Human error, just not enter data in time after reciving documents from operators in Moldshop</t>
  </si>
  <si>
    <t>All spare parts and incoming materials are stored in good condition and properly identified.
Checklists are completed before releasing the casting table.
Since operators do not have access to a computer at the plant, they fill out paper forms/checklists. The designated plant representative then updates the dashboard at the end of each shift or after preparation.</t>
  </si>
  <si>
    <t>The current system ensures that all materials are well maintained and clearly identified, and that operational procedures such as checklist completion are consistently followed before critical processes like casting table release. While operators rely on paper forms due to limited computer access, the end-of-shift updates by the plant representative help maintain accurate and up to date records, supporting overall operational efficiency and traceability.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</si>
</sst>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VA &quot;\ ######"/>
    <numFmt numFmtId="165" formatCode="dd/mm/yy;@"/>
    <numFmt numFmtId="166" formatCode="##&quot; x-mal &lt;=70%&quot;"/>
    <numFmt numFmtId="167" formatCode="0.0000%"/>
    <numFmt numFmtId="168" formatCode="[Green]0%;;[Red]@"/>
    <numFmt numFmtId="169" formatCode=";;;"/>
    <numFmt numFmtId="170" formatCode="0.0"/>
  </numFmts>
  <fonts count="99">
    <font>
      <sz val="10"/>
      <name val="Arial"/>
    </font>
    <font>
      <b/>
      <sz val="10"/>
      <name val="Arial"/>
      <family val="2"/>
    </font>
    <font>
      <sz val="10"/>
      <name val="Arial"/>
      <family val="2"/>
    </font>
    <font>
      <sz val="11"/>
      <name val="Arial"/>
      <family val="2"/>
    </font>
    <font>
      <b/>
      <sz val="14"/>
      <name val="Arial"/>
      <family val="2"/>
    </font>
    <font>
      <b/>
      <sz val="12"/>
      <color indexed="10"/>
      <name val="Arial"/>
      <family val="2"/>
    </font>
    <font>
      <b/>
      <sz val="12"/>
      <name val="Arial"/>
      <family val="2"/>
    </font>
    <font>
      <b/>
      <sz val="10"/>
      <name val="Arial"/>
      <family val="2"/>
    </font>
    <font>
      <sz val="9"/>
      <name val="Arial"/>
      <family val="2"/>
    </font>
    <font>
      <sz val="10"/>
      <name val="Arial"/>
      <family val="2"/>
    </font>
    <font>
      <b/>
      <sz val="10"/>
      <color indexed="10"/>
      <name val="Arial"/>
      <family val="2"/>
    </font>
    <font>
      <b/>
      <sz val="11"/>
      <name val="Arial"/>
      <family val="2"/>
    </font>
    <font>
      <b/>
      <sz val="13"/>
      <name val="Arial"/>
      <family val="2"/>
    </font>
    <font>
      <sz val="8"/>
      <name val="Arial"/>
      <family val="2"/>
    </font>
    <font>
      <sz val="11"/>
      <name val="Arial"/>
      <family val="2"/>
    </font>
    <font>
      <b/>
      <sz val="9"/>
      <name val="Arial"/>
      <family val="2"/>
    </font>
    <font>
      <b/>
      <sz val="16"/>
      <name val="Arial"/>
      <family val="2"/>
    </font>
    <font>
      <sz val="16"/>
      <name val="Arial"/>
      <family val="2"/>
    </font>
    <font>
      <b/>
      <sz val="9"/>
      <name val="Arial"/>
      <family val="2"/>
    </font>
    <font>
      <sz val="8"/>
      <name val="Arial"/>
      <family val="2"/>
    </font>
    <font>
      <b/>
      <sz val="8"/>
      <name val="Arial"/>
      <family val="2"/>
    </font>
    <font>
      <b/>
      <sz val="11"/>
      <name val="Arial"/>
      <family val="2"/>
    </font>
    <font>
      <sz val="14"/>
      <name val="Arial"/>
      <family val="2"/>
    </font>
    <font>
      <b/>
      <sz val="16"/>
      <name val="Arial"/>
      <family val="2"/>
    </font>
    <font>
      <b/>
      <sz val="12"/>
      <name val="Arial"/>
      <family val="2"/>
    </font>
    <font>
      <sz val="12"/>
      <name val="Arial"/>
      <family val="2"/>
    </font>
    <font>
      <b/>
      <sz val="14"/>
      <name val="Arial"/>
      <family val="2"/>
    </font>
    <font>
      <b/>
      <sz val="14"/>
      <name val="Volkswagen Headline"/>
      <family val="2"/>
    </font>
    <font>
      <b/>
      <sz val="13"/>
      <name val="Arial"/>
      <family val="2"/>
    </font>
    <font>
      <b/>
      <vertAlign val="subscript"/>
      <sz val="10"/>
      <name val="Arial"/>
      <family val="2"/>
    </font>
    <font>
      <sz val="12"/>
      <name val="Arial"/>
      <family val="2"/>
    </font>
    <font>
      <b/>
      <vertAlign val="subscript"/>
      <sz val="12"/>
      <name val="Arial"/>
      <family val="2"/>
    </font>
    <font>
      <b/>
      <i/>
      <sz val="12"/>
      <name val="Arial"/>
      <family val="2"/>
    </font>
    <font>
      <b/>
      <sz val="20"/>
      <name val="Arial"/>
      <family val="2"/>
    </font>
    <font>
      <sz val="12"/>
      <color indexed="9"/>
      <name val="Arial"/>
      <family val="2"/>
    </font>
    <font>
      <b/>
      <sz val="12"/>
      <color indexed="9"/>
      <name val="Arial"/>
      <family val="2"/>
    </font>
    <font>
      <sz val="12"/>
      <name val="Volkswagen Headline"/>
      <family val="2"/>
    </font>
    <font>
      <sz val="20"/>
      <name val="Arial"/>
      <family val="2"/>
    </font>
    <font>
      <sz val="11.5"/>
      <name val="Arial"/>
      <family val="2"/>
    </font>
    <font>
      <b/>
      <u/>
      <sz val="14"/>
      <name val="Arial"/>
      <family val="2"/>
    </font>
    <font>
      <b/>
      <sz val="24"/>
      <name val="Arial"/>
      <family val="2"/>
    </font>
    <font>
      <b/>
      <sz val="24"/>
      <color indexed="62"/>
      <name val="Arial"/>
      <family val="2"/>
    </font>
    <font>
      <vertAlign val="subscript"/>
      <sz val="10"/>
      <name val="Arial"/>
      <family val="2"/>
    </font>
    <font>
      <b/>
      <vertAlign val="subscript"/>
      <sz val="9"/>
      <name val="Arial"/>
      <family val="2"/>
    </font>
    <font>
      <sz val="3"/>
      <name val="Arial"/>
      <family val="2"/>
    </font>
    <font>
      <b/>
      <sz val="9.5"/>
      <name val="Arial"/>
      <family val="2"/>
    </font>
    <font>
      <b/>
      <sz val="28"/>
      <name val="Arial"/>
      <family val="2"/>
    </font>
    <font>
      <sz val="10"/>
      <color indexed="10"/>
      <name val="Arial"/>
      <family val="2"/>
    </font>
    <font>
      <b/>
      <vertAlign val="subscript"/>
      <sz val="14"/>
      <name val="Arial"/>
      <family val="2"/>
    </font>
    <font>
      <b/>
      <sz val="26"/>
      <name val="Arial"/>
      <family val="2"/>
    </font>
    <font>
      <b/>
      <sz val="18"/>
      <color indexed="9"/>
      <name val="Arial"/>
      <family val="2"/>
    </font>
    <font>
      <sz val="8"/>
      <color indexed="12"/>
      <name val="Arial"/>
      <family val="2"/>
    </font>
    <font>
      <u/>
      <sz val="10"/>
      <name val="Arial"/>
      <family val="2"/>
    </font>
    <font>
      <sz val="10"/>
      <name val="Arial"/>
      <family val="2"/>
    </font>
    <font>
      <b/>
      <sz val="11"/>
      <color indexed="10"/>
      <name val="Arial"/>
      <family val="2"/>
    </font>
    <font>
      <b/>
      <sz val="14"/>
      <color theme="0"/>
      <name val="Arial"/>
      <family val="2"/>
    </font>
    <font>
      <b/>
      <sz val="12"/>
      <color theme="0"/>
      <name val="Arial"/>
      <family val="2"/>
    </font>
    <font>
      <sz val="12"/>
      <color theme="0"/>
      <name val="Arial"/>
      <family val="2"/>
    </font>
    <font>
      <sz val="10"/>
      <color theme="0"/>
      <name val="Arial"/>
      <family val="2"/>
    </font>
    <font>
      <b/>
      <sz val="11"/>
      <color theme="0"/>
      <name val="Arial"/>
      <family val="2"/>
    </font>
    <font>
      <sz val="11"/>
      <color theme="0"/>
      <name val="Arial"/>
      <family val="2"/>
    </font>
    <font>
      <b/>
      <sz val="11"/>
      <color rgb="FFFF0000"/>
      <name val="Arial"/>
      <family val="2"/>
    </font>
    <font>
      <b/>
      <sz val="10"/>
      <color theme="0"/>
      <name val="Arial"/>
      <family val="2"/>
    </font>
    <font>
      <b/>
      <sz val="20"/>
      <color indexed="23"/>
      <name val="Arial"/>
      <family val="2"/>
    </font>
    <font>
      <b/>
      <sz val="24"/>
      <color theme="0" tint="-0.499984740745262"/>
      <name val="Arial"/>
      <family val="2"/>
    </font>
    <font>
      <b/>
      <sz val="36"/>
      <name val="Arial"/>
      <family val="2"/>
    </font>
    <font>
      <sz val="17"/>
      <name val="Arial"/>
      <family val="2"/>
    </font>
    <font>
      <sz val="6.5"/>
      <name val="Arial"/>
      <family val="2"/>
    </font>
    <font>
      <sz val="18"/>
      <name val="Arial"/>
      <family val="2"/>
    </font>
    <font>
      <b/>
      <sz val="18"/>
      <name val="Arial"/>
      <family val="2"/>
    </font>
    <font>
      <b/>
      <sz val="18"/>
      <color theme="3" tint="-0.249977111117893"/>
      <name val="Arial"/>
      <family val="2"/>
    </font>
    <font>
      <b/>
      <sz val="20"/>
      <color theme="3" tint="-0.249977111117893"/>
      <name val="Arial"/>
      <family val="2"/>
    </font>
    <font>
      <sz val="10"/>
      <color theme="3" tint="-0.249977111117893"/>
      <name val="Arial"/>
      <family val="2"/>
    </font>
    <font>
      <b/>
      <sz val="18"/>
      <color theme="3"/>
      <name val="Arial"/>
      <family val="2"/>
    </font>
    <font>
      <b/>
      <sz val="16"/>
      <color theme="0"/>
      <name val="Arial"/>
      <family val="2"/>
    </font>
    <font>
      <sz val="11"/>
      <color theme="1"/>
      <name val="Calibri"/>
      <family val="2"/>
      <scheme val="minor"/>
    </font>
    <font>
      <b/>
      <sz val="14"/>
      <color rgb="FF000000"/>
      <name val="Arial"/>
      <family val="2"/>
    </font>
    <font>
      <b/>
      <sz val="22"/>
      <name val="Arial"/>
      <family val="2"/>
    </font>
    <font>
      <sz val="11"/>
      <color rgb="FFFFC000"/>
      <name val="Calibri"/>
      <family val="2"/>
    </font>
    <font>
      <sz val="11"/>
      <name val="Calibri"/>
      <family val="2"/>
    </font>
    <font>
      <b/>
      <sz val="7"/>
      <name val="Arial"/>
      <family val="2"/>
    </font>
    <font>
      <b/>
      <vertAlign val="subscript"/>
      <sz val="11"/>
      <name val="Arial"/>
      <family val="2"/>
    </font>
    <font>
      <b/>
      <sz val="9"/>
      <color theme="0"/>
      <name val="Arial"/>
      <family val="2"/>
    </font>
    <font>
      <sz val="12"/>
      <color theme="0" tint="-0.14999847407452621"/>
      <name val="Arial"/>
      <family val="2"/>
    </font>
    <font>
      <b/>
      <u/>
      <sz val="12"/>
      <color rgb="FF008155"/>
      <name val="Arial"/>
      <family val="2"/>
    </font>
    <font>
      <b/>
      <sz val="12"/>
      <color rgb="FF008155"/>
      <name val="Arial"/>
      <family val="2"/>
    </font>
    <font>
      <u/>
      <sz val="10"/>
      <color rgb="FF008155"/>
      <name val="Arial"/>
      <family val="2"/>
    </font>
    <font>
      <sz val="10"/>
      <color rgb="FF008155"/>
      <name val="Arial"/>
      <family val="2"/>
    </font>
    <font>
      <sz val="11"/>
      <color theme="1"/>
      <name val="Arial"/>
      <family val="2"/>
    </font>
    <font>
      <b/>
      <sz val="10"/>
      <color theme="3" tint="-0.249977111117893"/>
      <name val="Arial"/>
      <family val="2"/>
    </font>
    <font>
      <sz val="10"/>
      <name val="Arial"/>
      <family val="2"/>
      <charset val="204"/>
    </font>
    <font>
      <sz val="12"/>
      <color rgb="FF000000"/>
      <name val="Arial"/>
      <family val="2"/>
    </font>
    <font>
      <sz val="10"/>
      <color rgb="FF000000"/>
      <name val="Arial"/>
      <family val="2"/>
    </font>
    <font>
      <sz val="11"/>
      <color rgb="FF000000"/>
      <name val="Arial"/>
      <family val="2"/>
    </font>
    <font>
      <b/>
      <sz val="11"/>
      <color rgb="FF000000"/>
      <name val="Arial"/>
      <family val="2"/>
    </font>
    <font>
      <sz val="10"/>
      <color theme="0" tint="-0.499984740745262"/>
      <name val="Arial"/>
      <family val="2"/>
    </font>
    <font>
      <u/>
      <sz val="10"/>
      <color theme="10"/>
      <name val="Arial"/>
      <family val="2"/>
    </font>
    <font>
      <sz val="9"/>
      <color indexed="81"/>
      <name val="Segoe UI"/>
      <family val="2"/>
    </font>
    <font>
      <i/>
      <sz val="12"/>
      <name val="Arial"/>
      <family val="2"/>
    </font>
  </fonts>
  <fills count="25">
    <fill>
      <patternFill patternType="none"/>
    </fill>
    <fill>
      <patternFill patternType="gray125"/>
    </fill>
    <fill>
      <patternFill patternType="solid">
        <fgColor indexed="11"/>
        <bgColor indexed="64"/>
      </patternFill>
    </fill>
    <fill>
      <patternFill patternType="solid">
        <fgColor indexed="13"/>
        <bgColor indexed="64"/>
      </patternFill>
    </fill>
    <fill>
      <patternFill patternType="solid">
        <fgColor indexed="44"/>
        <bgColor indexed="64"/>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9"/>
        <bgColor indexed="64"/>
      </patternFill>
    </fill>
    <fill>
      <patternFill patternType="solid">
        <fgColor indexed="14"/>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tint="-0.499984740745262"/>
        <bgColor indexed="64"/>
      </patternFill>
    </fill>
    <fill>
      <patternFill patternType="solid">
        <fgColor rgb="FF92D050"/>
        <bgColor indexed="64"/>
      </patternFill>
    </fill>
    <fill>
      <patternFill patternType="solid">
        <fgColor rgb="FFCCCCFF"/>
        <bgColor indexed="64"/>
      </patternFill>
    </fill>
    <fill>
      <patternFill patternType="solid">
        <fgColor rgb="FFFFFF00"/>
        <bgColor indexed="64"/>
      </patternFill>
    </fill>
    <fill>
      <patternFill patternType="solid">
        <fgColor rgb="FF00B050"/>
        <bgColor indexed="64"/>
      </patternFill>
    </fill>
    <fill>
      <patternFill patternType="solid">
        <fgColor theme="0" tint="-0.249977111117893"/>
        <bgColor indexed="64"/>
      </patternFill>
    </fill>
    <fill>
      <patternFill patternType="solid">
        <fgColor theme="0"/>
        <bgColor indexed="64"/>
      </patternFill>
    </fill>
    <fill>
      <patternFill patternType="solid">
        <fgColor rgb="FFC0C0C0"/>
        <bgColor indexed="64"/>
      </patternFill>
    </fill>
    <fill>
      <patternFill patternType="solid">
        <fgColor rgb="FFC9DED1"/>
        <bgColor indexed="64"/>
      </patternFill>
    </fill>
    <fill>
      <patternFill patternType="solid">
        <fgColor rgb="FF008155"/>
        <bgColor indexed="64"/>
      </patternFill>
    </fill>
    <fill>
      <patternFill patternType="solid">
        <fgColor theme="6" tint="0.59999389629810485"/>
        <bgColor indexed="64"/>
      </patternFill>
    </fill>
    <fill>
      <patternFill patternType="solid">
        <fgColor theme="0" tint="-4.9989318521683403E-2"/>
        <bgColor indexed="64"/>
      </patternFill>
    </fill>
  </fills>
  <borders count="153">
    <border>
      <left/>
      <right/>
      <top/>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style="medium">
        <color indexed="64"/>
      </left>
      <right/>
      <top/>
      <bottom/>
      <diagonal/>
    </border>
    <border>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dashed">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medium">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right/>
      <top/>
      <bottom style="hair">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indexed="64"/>
      </top>
      <bottom style="dashed">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ck">
        <color indexed="64"/>
      </left>
      <right style="thin">
        <color indexed="64"/>
      </right>
      <top/>
      <bottom/>
      <diagonal/>
    </border>
    <border>
      <left style="thick">
        <color indexed="64"/>
      </left>
      <right/>
      <top style="medium">
        <color indexed="64"/>
      </top>
      <bottom style="medium">
        <color indexed="64"/>
      </bottom>
      <diagonal/>
    </border>
    <border>
      <left style="thick">
        <color indexed="64"/>
      </left>
      <right/>
      <top/>
      <bottom/>
      <diagonal/>
    </border>
    <border>
      <left style="thick">
        <color indexed="64"/>
      </left>
      <right style="medium">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right/>
      <top style="thick">
        <color auto="1"/>
      </top>
      <bottom/>
      <diagonal/>
    </border>
    <border>
      <left style="medium">
        <color indexed="64"/>
      </left>
      <right style="medium">
        <color indexed="64"/>
      </right>
      <top style="thick">
        <color indexed="64"/>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style="thin">
        <color indexed="64"/>
      </right>
      <top style="medium">
        <color indexed="64"/>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medium">
        <color indexed="64"/>
      </bottom>
      <diagonal/>
    </border>
    <border>
      <left style="thin">
        <color indexed="64"/>
      </left>
      <right style="thin">
        <color indexed="64"/>
      </right>
      <top style="thin">
        <color indexed="64"/>
      </top>
      <bottom style="dotted">
        <color indexed="64"/>
      </bottom>
      <diagonal/>
    </border>
    <border>
      <left/>
      <right/>
      <top/>
      <bottom style="thin">
        <color theme="3"/>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indexed="64"/>
      </right>
      <top/>
      <bottom style="hair">
        <color indexed="64"/>
      </bottom>
      <diagonal/>
    </border>
    <border>
      <left style="hair">
        <color auto="1"/>
      </left>
      <right/>
      <top/>
      <bottom style="hair">
        <color auto="1"/>
      </bottom>
      <diagonal/>
    </border>
    <border>
      <left/>
      <right/>
      <top/>
      <bottom style="thick">
        <color rgb="FFFF0000"/>
      </bottom>
      <diagonal/>
    </border>
    <border>
      <left/>
      <right/>
      <top/>
      <bottom style="thin">
        <color theme="3" tint="-0.24994659260841701"/>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dashed">
        <color indexed="64"/>
      </top>
      <bottom/>
      <diagonal/>
    </border>
    <border>
      <left/>
      <right/>
      <top style="dashed">
        <color indexed="64"/>
      </top>
      <bottom/>
      <diagonal/>
    </border>
    <border>
      <left style="medium">
        <color indexed="64"/>
      </left>
      <right/>
      <top style="dashed">
        <color indexed="64"/>
      </top>
      <bottom/>
      <diagonal/>
    </border>
    <border>
      <left style="medium">
        <color auto="1"/>
      </left>
      <right/>
      <top style="thick">
        <color auto="1"/>
      </top>
      <bottom/>
      <diagonal/>
    </border>
    <border>
      <left/>
      <right style="medium">
        <color indexed="64"/>
      </right>
      <top style="thick">
        <color auto="1"/>
      </top>
      <bottom/>
      <diagonal/>
    </border>
    <border>
      <left style="medium">
        <color indexed="64"/>
      </left>
      <right/>
      <top/>
      <bottom style="dashed">
        <color indexed="64"/>
      </bottom>
      <diagonal/>
    </border>
    <border>
      <left/>
      <right style="medium">
        <color indexed="64"/>
      </right>
      <top style="hair">
        <color indexed="64"/>
      </top>
      <bottom style="hair">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ck">
        <color auto="1"/>
      </left>
      <right/>
      <top style="thick">
        <color auto="1"/>
      </top>
      <bottom/>
      <diagonal/>
    </border>
    <border>
      <left/>
      <right style="thick">
        <color indexed="64"/>
      </right>
      <top style="thick">
        <color indexed="64"/>
      </top>
      <bottom/>
      <diagonal/>
    </border>
    <border>
      <left/>
      <right style="thick">
        <color indexed="64"/>
      </right>
      <top/>
      <bottom/>
      <diagonal/>
    </border>
    <border>
      <left style="thin">
        <color indexed="64"/>
      </left>
      <right/>
      <top style="thin">
        <color indexed="64"/>
      </top>
      <bottom style="medium">
        <color indexed="64"/>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diagonal/>
    </border>
    <border>
      <left style="medium">
        <color indexed="64"/>
      </left>
      <right style="thick">
        <color indexed="64"/>
      </right>
      <top style="medium">
        <color indexed="64"/>
      </top>
      <bottom style="medium">
        <color indexed="64"/>
      </bottom>
      <diagonal/>
    </border>
    <border>
      <left style="thick">
        <color indexed="64"/>
      </left>
      <right/>
      <top style="medium">
        <color indexed="64"/>
      </top>
      <bottom style="thin">
        <color indexed="64"/>
      </bottom>
      <diagonal/>
    </border>
    <border>
      <left style="thick">
        <color auto="1"/>
      </left>
      <right style="thick">
        <color auto="1"/>
      </right>
      <top style="thin">
        <color auto="1"/>
      </top>
      <bottom style="thin">
        <color auto="1"/>
      </bottom>
      <diagonal/>
    </border>
    <border>
      <left style="thick">
        <color indexed="64"/>
      </left>
      <right/>
      <top style="thin">
        <color indexed="64"/>
      </top>
      <bottom style="thin">
        <color indexed="64"/>
      </bottom>
      <diagonal/>
    </border>
    <border>
      <left style="thick">
        <color indexed="64"/>
      </left>
      <right/>
      <top style="thin">
        <color indexed="64"/>
      </top>
      <bottom style="medium">
        <color indexed="64"/>
      </bottom>
      <diagonal/>
    </border>
    <border>
      <left style="thick">
        <color auto="1"/>
      </left>
      <right style="thick">
        <color auto="1"/>
      </right>
      <top style="thin">
        <color auto="1"/>
      </top>
      <bottom style="medium">
        <color auto="1"/>
      </bottom>
      <diagonal/>
    </border>
    <border>
      <left style="thick">
        <color auto="1"/>
      </left>
      <right style="thick">
        <color auto="1"/>
      </right>
      <top style="medium">
        <color auto="1"/>
      </top>
      <bottom/>
      <diagonal/>
    </border>
    <border>
      <left style="thick">
        <color auto="1"/>
      </left>
      <right style="thick">
        <color auto="1"/>
      </right>
      <top style="medium">
        <color auto="1"/>
      </top>
      <bottom style="medium">
        <color auto="1"/>
      </bottom>
      <diagonal/>
    </border>
    <border>
      <left style="thick">
        <color indexed="64"/>
      </left>
      <right style="medium">
        <color indexed="64"/>
      </right>
      <top/>
      <bottom/>
      <diagonal/>
    </border>
    <border>
      <left style="thick">
        <color indexed="64"/>
      </left>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top style="thin">
        <color indexed="64"/>
      </top>
      <bottom style="thick">
        <color indexed="64"/>
      </bottom>
      <diagonal/>
    </border>
    <border>
      <left style="thick">
        <color auto="1"/>
      </left>
      <right style="thick">
        <color auto="1"/>
      </right>
      <top style="thin">
        <color auto="1"/>
      </top>
      <bottom style="thick">
        <color auto="1"/>
      </bottom>
      <diagonal/>
    </border>
    <border>
      <left style="medium">
        <color indexed="64"/>
      </left>
      <right style="thick">
        <color auto="1"/>
      </right>
      <top style="medium">
        <color indexed="64"/>
      </top>
      <bottom/>
      <diagonal/>
    </border>
    <border>
      <left style="medium">
        <color indexed="64"/>
      </left>
      <right style="thick">
        <color auto="1"/>
      </right>
      <top/>
      <bottom/>
      <diagonal/>
    </border>
    <border>
      <left style="medium">
        <color indexed="64"/>
      </left>
      <right style="thick">
        <color auto="1"/>
      </right>
      <top/>
      <bottom style="thin">
        <color indexed="64"/>
      </bottom>
      <diagonal/>
    </border>
    <border>
      <left style="thin">
        <color indexed="64"/>
      </left>
      <right style="medium">
        <color indexed="64"/>
      </right>
      <top style="thin">
        <color indexed="64"/>
      </top>
      <bottom/>
      <diagonal/>
    </border>
  </borders>
  <cellStyleXfs count="13">
    <xf numFmtId="0" fontId="0" fillId="0" borderId="0"/>
    <xf numFmtId="9" fontId="2" fillId="0" borderId="0" applyFont="0" applyFill="0" applyBorder="0" applyAlignment="0" applyProtection="0"/>
    <xf numFmtId="0" fontId="3" fillId="0" borderId="0"/>
    <xf numFmtId="0" fontId="3" fillId="0" borderId="0"/>
    <xf numFmtId="0" fontId="2" fillId="0" borderId="0"/>
    <xf numFmtId="0" fontId="3" fillId="0" borderId="0"/>
    <xf numFmtId="0" fontId="3" fillId="0" borderId="0"/>
    <xf numFmtId="0" fontId="3" fillId="0" borderId="0"/>
    <xf numFmtId="0" fontId="2" fillId="0" borderId="0"/>
    <xf numFmtId="0" fontId="2" fillId="0" borderId="0"/>
    <xf numFmtId="0" fontId="2" fillId="0" borderId="0"/>
    <xf numFmtId="0" fontId="75" fillId="0" borderId="0"/>
    <xf numFmtId="0" fontId="96" fillId="0" borderId="0" applyNumberFormat="0" applyFill="0" applyBorder="0" applyAlignment="0" applyProtection="0"/>
  </cellStyleXfs>
  <cellXfs count="1687">
    <xf numFmtId="0" fontId="0" fillId="0" borderId="0" xfId="0"/>
    <xf numFmtId="0" fontId="2" fillId="0" borderId="0" xfId="3" applyFont="1"/>
    <xf numFmtId="0" fontId="7" fillId="0" borderId="0" xfId="0" applyFont="1" applyBorder="1"/>
    <xf numFmtId="0" fontId="2" fillId="0" borderId="0" xfId="0" applyFont="1" applyBorder="1"/>
    <xf numFmtId="0" fontId="2" fillId="0" borderId="0" xfId="0" applyFont="1" applyFill="1" applyBorder="1" applyAlignment="1">
      <alignment horizontal="center"/>
    </xf>
    <xf numFmtId="0" fontId="2" fillId="0" borderId="0" xfId="3" applyFont="1" applyFill="1"/>
    <xf numFmtId="0" fontId="2" fillId="0" borderId="1" xfId="3" applyFont="1" applyBorder="1" applyAlignment="1">
      <alignment horizontal="left"/>
    </xf>
    <xf numFmtId="0" fontId="2" fillId="0" borderId="0" xfId="3" applyFont="1" applyAlignment="1">
      <alignment vertical="center" wrapText="1"/>
    </xf>
    <xf numFmtId="0" fontId="3" fillId="0" borderId="0" xfId="2" applyBorder="1" applyAlignment="1" applyProtection="1"/>
    <xf numFmtId="0" fontId="3" fillId="0" borderId="0" xfId="2" applyFont="1" applyBorder="1" applyAlignment="1" applyProtection="1">
      <alignment horizontal="left"/>
    </xf>
    <xf numFmtId="0" fontId="3" fillId="0" borderId="0" xfId="2" applyProtection="1"/>
    <xf numFmtId="14" fontId="3" fillId="0" borderId="0" xfId="2" applyNumberFormat="1" applyFont="1" applyBorder="1" applyAlignment="1" applyProtection="1">
      <alignment horizontal="left" vertical="center"/>
    </xf>
    <xf numFmtId="0" fontId="3" fillId="0" borderId="0" xfId="2" applyAlignment="1" applyProtection="1"/>
    <xf numFmtId="0" fontId="3" fillId="0" borderId="0" xfId="2" applyFill="1" applyBorder="1" applyAlignment="1" applyProtection="1"/>
    <xf numFmtId="0" fontId="0" fillId="0" borderId="0" xfId="0" applyAlignment="1">
      <alignment wrapText="1"/>
    </xf>
    <xf numFmtId="0" fontId="0" fillId="0" borderId="0" xfId="0" applyBorder="1" applyProtection="1"/>
    <xf numFmtId="0" fontId="0" fillId="0" borderId="0" xfId="0" applyProtection="1"/>
    <xf numFmtId="49" fontId="3" fillId="0" borderId="0" xfId="7" applyNumberFormat="1" applyAlignment="1">
      <alignment horizontal="center" vertical="top"/>
    </xf>
    <xf numFmtId="0" fontId="3" fillId="0" borderId="0" xfId="7" applyAlignment="1">
      <alignment horizontal="center" vertical="top"/>
    </xf>
    <xf numFmtId="0" fontId="3" fillId="0" borderId="0" xfId="7"/>
    <xf numFmtId="49" fontId="3" fillId="0" borderId="0" xfId="7" applyNumberFormat="1" applyFont="1" applyFill="1" applyAlignment="1">
      <alignment horizontal="center" vertical="top"/>
    </xf>
    <xf numFmtId="0" fontId="3" fillId="0" borderId="0" xfId="7" applyFont="1" applyFill="1" applyAlignment="1">
      <alignment horizontal="center" vertical="top" wrapText="1"/>
    </xf>
    <xf numFmtId="0" fontId="3" fillId="0" borderId="0" xfId="7" applyAlignment="1">
      <alignment wrapText="1"/>
    </xf>
    <xf numFmtId="49" fontId="3" fillId="0" borderId="0" xfId="7" applyNumberFormat="1" applyFont="1" applyFill="1" applyAlignment="1">
      <alignment horizontal="center" vertical="top" wrapText="1"/>
    </xf>
    <xf numFmtId="49" fontId="11" fillId="0" borderId="0" xfId="7" applyNumberFormat="1" applyFont="1" applyFill="1" applyAlignment="1">
      <alignment horizontal="center" vertical="top" wrapText="1"/>
    </xf>
    <xf numFmtId="0" fontId="3" fillId="0" borderId="0" xfId="7" applyBorder="1" applyAlignment="1">
      <alignment wrapText="1"/>
    </xf>
    <xf numFmtId="0" fontId="25" fillId="0" borderId="0" xfId="7" applyFont="1" applyAlignment="1">
      <alignment horizontal="left"/>
    </xf>
    <xf numFmtId="49" fontId="3" fillId="0" borderId="0" xfId="7" applyNumberFormat="1" applyFill="1" applyAlignment="1">
      <alignment horizontal="center" vertical="top"/>
    </xf>
    <xf numFmtId="0" fontId="3" fillId="0" borderId="0" xfId="5" applyBorder="1" applyAlignment="1" applyProtection="1">
      <alignment horizontal="centerContinuous"/>
    </xf>
    <xf numFmtId="0" fontId="13" fillId="0" borderId="0" xfId="5" applyFont="1" applyBorder="1" applyAlignment="1" applyProtection="1">
      <alignment horizontal="right" vertical="center"/>
    </xf>
    <xf numFmtId="0" fontId="13" fillId="0" borderId="0" xfId="5" applyFont="1" applyBorder="1" applyAlignment="1" applyProtection="1">
      <alignment vertical="center"/>
    </xf>
    <xf numFmtId="0" fontId="3" fillId="0" borderId="0" xfId="5" applyBorder="1" applyAlignment="1" applyProtection="1">
      <alignment vertical="center"/>
    </xf>
    <xf numFmtId="0" fontId="3" fillId="0" borderId="0" xfId="5" applyProtection="1"/>
    <xf numFmtId="0" fontId="3" fillId="0" borderId="0" xfId="5" applyFont="1" applyBorder="1" applyAlignment="1" applyProtection="1">
      <alignment vertical="center"/>
    </xf>
    <xf numFmtId="0" fontId="3" fillId="0" borderId="0" xfId="5" applyAlignment="1" applyProtection="1">
      <alignment vertical="center"/>
    </xf>
    <xf numFmtId="0" fontId="28" fillId="0" borderId="0" xfId="6" applyFont="1" applyBorder="1" applyProtection="1"/>
    <xf numFmtId="0" fontId="21" fillId="0" borderId="0" xfId="5" applyFont="1" applyBorder="1" applyAlignment="1" applyProtection="1">
      <alignment vertical="center"/>
    </xf>
    <xf numFmtId="0" fontId="1" fillId="0" borderId="0" xfId="5" applyFont="1" applyProtection="1"/>
    <xf numFmtId="0" fontId="3" fillId="0" borderId="0" xfId="5" applyBorder="1" applyProtection="1"/>
    <xf numFmtId="0" fontId="2" fillId="0" borderId="0" xfId="5" applyFont="1" applyBorder="1" applyAlignment="1" applyProtection="1">
      <alignment horizontal="center" vertical="center"/>
    </xf>
    <xf numFmtId="0" fontId="15" fillId="0" borderId="0" xfId="5" applyFont="1" applyBorder="1" applyAlignment="1" applyProtection="1">
      <alignment vertical="center"/>
    </xf>
    <xf numFmtId="0" fontId="8" fillId="0" borderId="0" xfId="5" applyFont="1" applyAlignment="1" applyProtection="1">
      <alignment vertical="center"/>
    </xf>
    <xf numFmtId="0" fontId="13" fillId="0" borderId="0" xfId="5" applyFont="1" applyAlignment="1" applyProtection="1">
      <alignment vertical="center"/>
    </xf>
    <xf numFmtId="0" fontId="15" fillId="0" borderId="0" xfId="5" applyFont="1" applyBorder="1" applyAlignment="1" applyProtection="1">
      <alignment horizontal="center" vertical="center"/>
    </xf>
    <xf numFmtId="0" fontId="0" fillId="0" borderId="0" xfId="0" applyAlignment="1" applyProtection="1">
      <alignment horizontal="center" vertical="center"/>
    </xf>
    <xf numFmtId="0" fontId="0" fillId="0" borderId="6" xfId="0" applyBorder="1" applyAlignment="1" applyProtection="1">
      <alignment horizontal="center" vertical="center"/>
    </xf>
    <xf numFmtId="0" fontId="0" fillId="0" borderId="0" xfId="0" applyBorder="1"/>
    <xf numFmtId="0" fontId="0" fillId="0" borderId="0" xfId="0" applyBorder="1" applyAlignment="1"/>
    <xf numFmtId="0" fontId="3" fillId="0" borderId="7" xfId="5" applyBorder="1" applyProtection="1"/>
    <xf numFmtId="0" fontId="3" fillId="0" borderId="6" xfId="5" applyBorder="1" applyAlignment="1" applyProtection="1">
      <alignment vertical="center"/>
    </xf>
    <xf numFmtId="0" fontId="1" fillId="0" borderId="7" xfId="5" applyFont="1" applyBorder="1" applyProtection="1"/>
    <xf numFmtId="0" fontId="0" fillId="0" borderId="6" xfId="0" applyBorder="1" applyProtection="1"/>
    <xf numFmtId="0" fontId="3" fillId="0" borderId="6" xfId="5" applyBorder="1" applyAlignment="1" applyProtection="1">
      <alignment horizontal="center" vertical="center"/>
    </xf>
    <xf numFmtId="0" fontId="13" fillId="0" borderId="6" xfId="5" applyFont="1" applyBorder="1" applyAlignment="1" applyProtection="1">
      <alignment vertical="center"/>
    </xf>
    <xf numFmtId="0" fontId="3" fillId="0" borderId="6" xfId="5" applyBorder="1" applyProtection="1"/>
    <xf numFmtId="0" fontId="30" fillId="0" borderId="0" xfId="3" applyFont="1" applyBorder="1" applyAlignment="1">
      <alignment wrapText="1"/>
    </xf>
    <xf numFmtId="1" fontId="30" fillId="0" borderId="0" xfId="3" applyNumberFormat="1" applyFont="1" applyFill="1" applyBorder="1" applyAlignment="1" applyProtection="1">
      <alignment horizontal="center" wrapText="1"/>
    </xf>
    <xf numFmtId="0" fontId="30" fillId="0" borderId="0" xfId="3" applyFont="1" applyFill="1" applyBorder="1" applyAlignment="1">
      <alignment wrapText="1"/>
    </xf>
    <xf numFmtId="0" fontId="2" fillId="0" borderId="2" xfId="0" applyFont="1" applyBorder="1" applyAlignment="1">
      <alignment horizontal="left"/>
    </xf>
    <xf numFmtId="14" fontId="2" fillId="0" borderId="2" xfId="0" applyNumberFormat="1" applyFont="1" applyBorder="1" applyAlignment="1">
      <alignment horizontal="left"/>
    </xf>
    <xf numFmtId="0" fontId="2" fillId="0" borderId="2" xfId="0" applyFont="1" applyBorder="1" applyAlignment="1">
      <alignment horizontal="center"/>
    </xf>
    <xf numFmtId="0" fontId="2" fillId="0" borderId="2" xfId="3" applyFont="1" applyFill="1" applyBorder="1" applyAlignment="1">
      <alignment horizontal="left"/>
    </xf>
    <xf numFmtId="0" fontId="2" fillId="0" borderId="2" xfId="3" applyFont="1" applyBorder="1" applyAlignment="1">
      <alignment horizontal="left"/>
    </xf>
    <xf numFmtId="14" fontId="2" fillId="0" borderId="2" xfId="3" applyNumberFormat="1" applyFont="1" applyBorder="1" applyAlignment="1">
      <alignment horizontal="left"/>
    </xf>
    <xf numFmtId="0" fontId="2" fillId="0" borderId="2" xfId="3" applyFont="1" applyFill="1" applyBorder="1" applyAlignment="1">
      <alignment horizontal="left" vertical="center" wrapText="1"/>
    </xf>
    <xf numFmtId="0" fontId="2" fillId="0" borderId="0" xfId="3" applyFont="1" applyBorder="1" applyAlignment="1">
      <alignment wrapText="1"/>
    </xf>
    <xf numFmtId="0" fontId="2" fillId="0" borderId="6" xfId="3" applyFont="1" applyBorder="1"/>
    <xf numFmtId="0" fontId="30" fillId="0" borderId="0" xfId="3" applyFont="1" applyBorder="1" applyAlignment="1">
      <alignment horizontal="right" wrapText="1"/>
    </xf>
    <xf numFmtId="0" fontId="22" fillId="0" borderId="11" xfId="3" applyFont="1" applyBorder="1"/>
    <xf numFmtId="0" fontId="3" fillId="0" borderId="0" xfId="2" applyFont="1" applyBorder="1" applyAlignment="1" applyProtection="1"/>
    <xf numFmtId="0" fontId="24" fillId="0" borderId="0" xfId="5" applyFont="1" applyBorder="1" applyAlignment="1" applyProtection="1">
      <alignment vertical="center"/>
    </xf>
    <xf numFmtId="0" fontId="6" fillId="0" borderId="0" xfId="5" applyFont="1" applyBorder="1" applyAlignment="1" applyProtection="1">
      <alignment horizontal="left" vertical="center"/>
    </xf>
    <xf numFmtId="0" fontId="6" fillId="0" borderId="0" xfId="5" applyFont="1" applyBorder="1" applyAlignment="1" applyProtection="1">
      <alignment vertical="center"/>
    </xf>
    <xf numFmtId="0" fontId="6" fillId="0" borderId="0" xfId="0" applyFont="1" applyBorder="1" applyAlignment="1" applyProtection="1">
      <alignment vertical="center"/>
    </xf>
    <xf numFmtId="0" fontId="0" fillId="0" borderId="0" xfId="0" applyFill="1" applyProtection="1"/>
    <xf numFmtId="0" fontId="2" fillId="0" borderId="12" xfId="3" applyFont="1" applyFill="1" applyBorder="1" applyAlignment="1">
      <alignment horizontal="left"/>
    </xf>
    <xf numFmtId="0" fontId="2" fillId="0" borderId="0" xfId="3" applyFont="1" applyBorder="1"/>
    <xf numFmtId="0" fontId="3" fillId="0" borderId="0" xfId="2" applyFont="1" applyBorder="1" applyAlignment="1" applyProtection="1">
      <alignment vertical="center"/>
    </xf>
    <xf numFmtId="0" fontId="3" fillId="0" borderId="0" xfId="2" applyFont="1" applyBorder="1" applyAlignment="1" applyProtection="1">
      <alignment horizontal="left" vertical="center"/>
    </xf>
    <xf numFmtId="0" fontId="6" fillId="0" borderId="4" xfId="2" applyFont="1" applyBorder="1" applyAlignment="1" applyProtection="1">
      <alignment horizontal="centerContinuous" vertical="top"/>
    </xf>
    <xf numFmtId="0" fontId="3" fillId="0" borderId="4" xfId="2" applyFont="1" applyBorder="1" applyAlignment="1" applyProtection="1">
      <alignment horizontal="centerContinuous"/>
    </xf>
    <xf numFmtId="0" fontId="12" fillId="0" borderId="4" xfId="2" applyFont="1" applyBorder="1" applyAlignment="1" applyProtection="1">
      <alignment vertical="center" wrapText="1"/>
    </xf>
    <xf numFmtId="0" fontId="3" fillId="0" borderId="0" xfId="2" applyFill="1" applyProtection="1"/>
    <xf numFmtId="0" fontId="6" fillId="0" borderId="0" xfId="2" applyFont="1" applyFill="1" applyBorder="1" applyAlignment="1" applyProtection="1"/>
    <xf numFmtId="0" fontId="6" fillId="0" borderId="0" xfId="2" applyFont="1" applyFill="1" applyBorder="1" applyAlignment="1" applyProtection="1">
      <alignment wrapText="1"/>
    </xf>
    <xf numFmtId="0" fontId="0" fillId="0" borderId="0" xfId="0" applyFill="1"/>
    <xf numFmtId="0" fontId="27" fillId="0" borderId="4" xfId="7" applyFont="1" applyBorder="1" applyAlignment="1">
      <alignment vertical="center" wrapText="1"/>
    </xf>
    <xf numFmtId="0" fontId="27" fillId="0" borderId="0" xfId="7" applyFont="1" applyBorder="1" applyAlignment="1">
      <alignment vertical="center" wrapText="1"/>
    </xf>
    <xf numFmtId="0" fontId="25" fillId="0" borderId="0" xfId="7" applyFont="1" applyBorder="1"/>
    <xf numFmtId="0" fontId="24" fillId="0" borderId="0" xfId="7" applyFont="1" applyBorder="1" applyAlignment="1">
      <alignment horizontal="left"/>
    </xf>
    <xf numFmtId="164" fontId="25" fillId="0" borderId="0" xfId="2" applyNumberFormat="1" applyFont="1" applyBorder="1" applyAlignment="1" applyProtection="1">
      <alignment horizontal="left"/>
    </xf>
    <xf numFmtId="0" fontId="25" fillId="0" borderId="0" xfId="7" applyFont="1" applyBorder="1" applyAlignment="1">
      <alignment vertical="center"/>
    </xf>
    <xf numFmtId="0" fontId="24" fillId="0" borderId="0" xfId="7" applyFont="1" applyBorder="1" applyAlignment="1">
      <alignment vertical="center"/>
    </xf>
    <xf numFmtId="0" fontId="3" fillId="0" borderId="4" xfId="7" applyBorder="1" applyAlignment="1">
      <alignment horizontal="center" vertical="top"/>
    </xf>
    <xf numFmtId="0" fontId="25" fillId="0" borderId="4" xfId="7" applyFont="1" applyBorder="1"/>
    <xf numFmtId="0" fontId="24" fillId="0" borderId="4" xfId="7" applyFont="1" applyBorder="1" applyAlignment="1">
      <alignment horizontal="left"/>
    </xf>
    <xf numFmtId="164" fontId="25" fillId="0" borderId="4" xfId="2" applyNumberFormat="1" applyFont="1" applyBorder="1" applyAlignment="1" applyProtection="1">
      <alignment horizontal="left"/>
    </xf>
    <xf numFmtId="0" fontId="30" fillId="0" borderId="0" xfId="7" applyFont="1" applyAlignment="1">
      <alignment horizontal="left" vertical="top"/>
    </xf>
    <xf numFmtId="0" fontId="36" fillId="0" borderId="0" xfId="7" applyFont="1" applyBorder="1" applyAlignment="1">
      <alignment vertical="center" wrapText="1"/>
    </xf>
    <xf numFmtId="0" fontId="6" fillId="0" borderId="4" xfId="2" applyFont="1" applyFill="1" applyBorder="1" applyAlignment="1" applyProtection="1">
      <alignment wrapText="1"/>
    </xf>
    <xf numFmtId="14" fontId="25" fillId="0" borderId="0" xfId="7" applyNumberFormat="1" applyFont="1" applyBorder="1" applyAlignment="1">
      <alignment horizontal="left"/>
    </xf>
    <xf numFmtId="0" fontId="3" fillId="0" borderId="15" xfId="5" applyBorder="1" applyProtection="1"/>
    <xf numFmtId="0" fontId="19" fillId="0" borderId="9" xfId="0" applyFont="1" applyBorder="1" applyProtection="1"/>
    <xf numFmtId="0" fontId="0" fillId="0" borderId="9" xfId="0" applyBorder="1" applyProtection="1"/>
    <xf numFmtId="0" fontId="0" fillId="0" borderId="10" xfId="0" applyBorder="1" applyProtection="1"/>
    <xf numFmtId="0" fontId="7" fillId="0" borderId="0" xfId="0" applyFont="1" applyFill="1"/>
    <xf numFmtId="49" fontId="7" fillId="0" borderId="0" xfId="0" applyNumberFormat="1" applyFont="1" applyFill="1"/>
    <xf numFmtId="0" fontId="37" fillId="0" borderId="0" xfId="7" applyFont="1" applyAlignment="1">
      <alignment horizontal="left" vertical="top"/>
    </xf>
    <xf numFmtId="0" fontId="7" fillId="0" borderId="0" xfId="0" applyFont="1"/>
    <xf numFmtId="0" fontId="36" fillId="0" borderId="0" xfId="7" applyFont="1" applyBorder="1" applyAlignment="1">
      <alignment horizontal="left" vertical="top" wrapText="1"/>
    </xf>
    <xf numFmtId="0" fontId="3" fillId="0" borderId="0" xfId="7" applyFont="1"/>
    <xf numFmtId="14" fontId="2" fillId="0" borderId="0" xfId="2" applyNumberFormat="1" applyFont="1" applyFill="1" applyBorder="1" applyAlignment="1" applyProtection="1"/>
    <xf numFmtId="0" fontId="25" fillId="0" borderId="0" xfId="7" applyFont="1" applyBorder="1" applyAlignment="1">
      <alignment horizontal="left" vertical="top"/>
    </xf>
    <xf numFmtId="0" fontId="25" fillId="0" borderId="0" xfId="7" applyFont="1" applyBorder="1" applyAlignment="1">
      <alignment horizontal="left" vertical="top" wrapText="1"/>
    </xf>
    <xf numFmtId="0" fontId="7" fillId="0" borderId="0" xfId="3" applyFont="1" applyBorder="1"/>
    <xf numFmtId="0" fontId="30" fillId="0" borderId="4" xfId="3" applyFont="1" applyFill="1" applyBorder="1" applyAlignment="1">
      <alignment wrapText="1"/>
    </xf>
    <xf numFmtId="0" fontId="0" fillId="2" borderId="20" xfId="0" applyFill="1" applyBorder="1" applyAlignment="1">
      <alignment horizontal="center"/>
    </xf>
    <xf numFmtId="0" fontId="7" fillId="0" borderId="21" xfId="0" applyFont="1" applyBorder="1" applyAlignment="1">
      <alignment horizontal="center"/>
    </xf>
    <xf numFmtId="0" fontId="7" fillId="0" borderId="22" xfId="0" applyFont="1" applyBorder="1" applyAlignment="1">
      <alignment horizontal="center"/>
    </xf>
    <xf numFmtId="0" fontId="7" fillId="0" borderId="23" xfId="0" applyFont="1" applyBorder="1" applyAlignment="1">
      <alignment horizontal="center"/>
    </xf>
    <xf numFmtId="0" fontId="0" fillId="2" borderId="24" xfId="0" applyFill="1" applyBorder="1" applyAlignment="1">
      <alignment horizontal="center"/>
    </xf>
    <xf numFmtId="0" fontId="0" fillId="3" borderId="25" xfId="0" applyFill="1" applyBorder="1" applyAlignment="1">
      <alignment horizontal="center"/>
    </xf>
    <xf numFmtId="0" fontId="0" fillId="4" borderId="25" xfId="0" applyFill="1" applyBorder="1" applyAlignment="1">
      <alignment horizontal="center"/>
    </xf>
    <xf numFmtId="0" fontId="0" fillId="4" borderId="26" xfId="0" applyFill="1" applyBorder="1" applyAlignment="1">
      <alignment horizontal="center"/>
    </xf>
    <xf numFmtId="0" fontId="7" fillId="0" borderId="27" xfId="0" applyFont="1" applyBorder="1" applyAlignment="1">
      <alignment horizontal="center"/>
    </xf>
    <xf numFmtId="0" fontId="0" fillId="3" borderId="28" xfId="0" applyFill="1" applyBorder="1" applyAlignment="1">
      <alignment horizontal="center"/>
    </xf>
    <xf numFmtId="0" fontId="7" fillId="0" borderId="29" xfId="0" applyFont="1" applyBorder="1" applyAlignment="1">
      <alignment horizontal="center"/>
    </xf>
    <xf numFmtId="0" fontId="0" fillId="2" borderId="30" xfId="0" applyFill="1" applyBorder="1" applyAlignment="1">
      <alignment horizontal="center"/>
    </xf>
    <xf numFmtId="0" fontId="0" fillId="4" borderId="28" xfId="0" applyFill="1" applyBorder="1" applyAlignment="1">
      <alignment horizontal="center"/>
    </xf>
    <xf numFmtId="0" fontId="0" fillId="3" borderId="24" xfId="0" applyFill="1" applyBorder="1" applyAlignment="1">
      <alignment horizontal="center"/>
    </xf>
    <xf numFmtId="0" fontId="0" fillId="3" borderId="26" xfId="0" applyFill="1" applyBorder="1" applyAlignment="1">
      <alignment horizontal="center"/>
    </xf>
    <xf numFmtId="0" fontId="11" fillId="0" borderId="0" xfId="0" applyFont="1"/>
    <xf numFmtId="0" fontId="0" fillId="2" borderId="13" xfId="0" applyFill="1" applyBorder="1" applyAlignment="1">
      <alignment horizontal="center"/>
    </xf>
    <xf numFmtId="0" fontId="0" fillId="3" borderId="21" xfId="0" applyFill="1" applyBorder="1" applyAlignment="1">
      <alignment horizontal="center"/>
    </xf>
    <xf numFmtId="0" fontId="0" fillId="3" borderId="22" xfId="0" applyFill="1" applyBorder="1" applyAlignment="1">
      <alignment horizontal="center"/>
    </xf>
    <xf numFmtId="0" fontId="0" fillId="3" borderId="23" xfId="0" applyFill="1" applyBorder="1" applyAlignment="1">
      <alignment horizontal="center"/>
    </xf>
    <xf numFmtId="0" fontId="0" fillId="3" borderId="27" xfId="0" applyFill="1" applyBorder="1" applyAlignment="1">
      <alignment horizontal="center"/>
    </xf>
    <xf numFmtId="0" fontId="0" fillId="0" borderId="25" xfId="0" applyFill="1" applyBorder="1" applyAlignment="1">
      <alignment horizontal="center"/>
    </xf>
    <xf numFmtId="0" fontId="0" fillId="2" borderId="11" xfId="0" applyFill="1" applyBorder="1" applyAlignment="1">
      <alignment horizontal="center"/>
    </xf>
    <xf numFmtId="0" fontId="0" fillId="2" borderId="31" xfId="0" applyFill="1" applyBorder="1" applyAlignment="1">
      <alignment horizontal="center"/>
    </xf>
    <xf numFmtId="0" fontId="0" fillId="2" borderId="32" xfId="0" applyFill="1" applyBorder="1" applyAlignment="1">
      <alignment horizontal="center"/>
    </xf>
    <xf numFmtId="0" fontId="0" fillId="3" borderId="32" xfId="0" applyFill="1" applyBorder="1" applyAlignment="1">
      <alignment horizontal="center"/>
    </xf>
    <xf numFmtId="0" fontId="0" fillId="3" borderId="33" xfId="0" applyFill="1" applyBorder="1" applyAlignment="1">
      <alignment horizontal="center"/>
    </xf>
    <xf numFmtId="0" fontId="0" fillId="3" borderId="4"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2" borderId="25" xfId="0" applyFill="1" applyBorder="1" applyAlignment="1">
      <alignment horizontal="center"/>
    </xf>
    <xf numFmtId="0" fontId="0" fillId="2" borderId="26" xfId="0" applyFill="1" applyBorder="1" applyAlignment="1">
      <alignment horizontal="center"/>
    </xf>
    <xf numFmtId="0" fontId="0" fillId="2" borderId="28" xfId="0" applyFill="1" applyBorder="1" applyAlignment="1">
      <alignment horizontal="center"/>
    </xf>
    <xf numFmtId="0" fontId="0" fillId="0" borderId="26" xfId="0" applyFill="1" applyBorder="1" applyAlignment="1">
      <alignment horizontal="center"/>
    </xf>
    <xf numFmtId="0" fontId="0" fillId="2" borderId="33" xfId="0" applyFill="1" applyBorder="1" applyAlignment="1">
      <alignment horizontal="center"/>
    </xf>
    <xf numFmtId="0" fontId="0" fillId="2" borderId="4" xfId="0" applyFill="1" applyBorder="1" applyAlignment="1">
      <alignment horizontal="center"/>
    </xf>
    <xf numFmtId="0" fontId="0" fillId="2" borderId="34" xfId="0" applyFill="1" applyBorder="1" applyAlignment="1">
      <alignment horizontal="center"/>
    </xf>
    <xf numFmtId="0" fontId="0" fillId="2" borderId="35" xfId="0" applyFill="1" applyBorder="1" applyAlignment="1">
      <alignment horizontal="center"/>
    </xf>
    <xf numFmtId="0" fontId="0" fillId="2" borderId="36" xfId="0" applyFill="1" applyBorder="1" applyAlignment="1">
      <alignment horizontal="center"/>
    </xf>
    <xf numFmtId="0" fontId="0" fillId="3" borderId="36" xfId="0" applyFill="1" applyBorder="1" applyAlignment="1">
      <alignment horizontal="center"/>
    </xf>
    <xf numFmtId="0" fontId="0" fillId="2" borderId="37" xfId="0" applyFill="1" applyBorder="1" applyAlignment="1">
      <alignment horizontal="center"/>
    </xf>
    <xf numFmtId="0" fontId="0" fillId="2" borderId="38"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2" fillId="0" borderId="0" xfId="2" applyFont="1" applyFill="1" applyBorder="1" applyAlignment="1" applyProtection="1">
      <alignment wrapText="1"/>
    </xf>
    <xf numFmtId="0" fontId="2" fillId="0" borderId="0" xfId="2" applyFont="1" applyFill="1" applyBorder="1" applyAlignment="1" applyProtection="1"/>
    <xf numFmtId="14" fontId="1" fillId="0" borderId="0" xfId="2" applyNumberFormat="1" applyFont="1" applyFill="1" applyBorder="1" applyAlignment="1" applyProtection="1"/>
    <xf numFmtId="0" fontId="2" fillId="0" borderId="0" xfId="2" applyFont="1" applyFill="1" applyBorder="1" applyAlignment="1" applyProtection="1">
      <alignment vertical="center"/>
    </xf>
    <xf numFmtId="0" fontId="21" fillId="0" borderId="11" xfId="5" applyFont="1" applyBorder="1" applyAlignment="1" applyProtection="1">
      <alignment horizontal="centerContinuous"/>
    </xf>
    <xf numFmtId="0" fontId="21" fillId="0" borderId="0" xfId="5" applyFont="1" applyBorder="1" applyAlignment="1" applyProtection="1">
      <alignment horizontal="centerContinuous" vertical="center"/>
    </xf>
    <xf numFmtId="1" fontId="21" fillId="0" borderId="0" xfId="5" applyNumberFormat="1" applyFont="1" applyBorder="1" applyAlignment="1" applyProtection="1">
      <alignment vertical="center"/>
    </xf>
    <xf numFmtId="0" fontId="3" fillId="0" borderId="0" xfId="5" applyAlignment="1" applyProtection="1">
      <alignment horizontal="center"/>
    </xf>
    <xf numFmtId="0" fontId="2" fillId="0" borderId="41" xfId="6" applyFont="1" applyBorder="1" applyAlignment="1" applyProtection="1">
      <alignment vertical="top"/>
    </xf>
    <xf numFmtId="0" fontId="3" fillId="0" borderId="9" xfId="5" applyBorder="1" applyAlignment="1" applyProtection="1">
      <alignment horizontal="centerContinuous"/>
    </xf>
    <xf numFmtId="0" fontId="3" fillId="0" borderId="10" xfId="5" applyBorder="1" applyAlignment="1" applyProtection="1">
      <alignment horizontal="centerContinuous"/>
    </xf>
    <xf numFmtId="1" fontId="21" fillId="0" borderId="0" xfId="5" applyNumberFormat="1" applyFont="1" applyBorder="1" applyAlignment="1" applyProtection="1">
      <alignment horizontal="centerContinuous" vertical="center"/>
    </xf>
    <xf numFmtId="0" fontId="26" fillId="0" borderId="0" xfId="5" applyFont="1" applyBorder="1" applyAlignment="1" applyProtection="1">
      <alignment vertical="center"/>
    </xf>
    <xf numFmtId="9" fontId="3" fillId="0" borderId="0" xfId="5" applyNumberFormat="1" applyFont="1" applyBorder="1" applyAlignment="1" applyProtection="1">
      <alignment vertical="center"/>
    </xf>
    <xf numFmtId="0" fontId="11" fillId="0" borderId="0" xfId="5" applyFont="1" applyBorder="1" applyAlignment="1" applyProtection="1">
      <alignment vertical="center"/>
    </xf>
    <xf numFmtId="0" fontId="13" fillId="0" borderId="0" xfId="5" applyFont="1" applyFill="1" applyBorder="1" applyAlignment="1" applyProtection="1">
      <alignment vertical="center"/>
    </xf>
    <xf numFmtId="0" fontId="3" fillId="0" borderId="0" xfId="5" applyFill="1" applyBorder="1" applyAlignment="1" applyProtection="1">
      <alignment vertical="center"/>
    </xf>
    <xf numFmtId="0" fontId="3" fillId="0" borderId="0" xfId="5" applyFont="1" applyProtection="1"/>
    <xf numFmtId="0" fontId="21" fillId="0" borderId="0" xfId="5" applyFont="1" applyFill="1" applyBorder="1" applyAlignment="1" applyProtection="1">
      <alignment vertical="center"/>
    </xf>
    <xf numFmtId="0" fontId="0" fillId="0" borderId="0" xfId="0" applyFill="1" applyBorder="1" applyProtection="1"/>
    <xf numFmtId="0" fontId="1" fillId="0" borderId="0" xfId="5" applyFont="1" applyBorder="1" applyAlignment="1" applyProtection="1">
      <alignment vertical="center"/>
    </xf>
    <xf numFmtId="0" fontId="13" fillId="0" borderId="0" xfId="5" applyFont="1" applyFill="1" applyBorder="1" applyAlignment="1" applyProtection="1">
      <alignment horizontal="right" vertical="center"/>
    </xf>
    <xf numFmtId="0" fontId="19" fillId="0" borderId="0" xfId="0" applyFont="1" applyBorder="1" applyAlignment="1" applyProtection="1">
      <alignment horizontal="right"/>
    </xf>
    <xf numFmtId="0" fontId="15" fillId="0" borderId="0" xfId="5" applyFont="1" applyBorder="1" applyAlignment="1" applyProtection="1">
      <alignment horizontal="right" vertical="center"/>
    </xf>
    <xf numFmtId="1" fontId="1" fillId="0" borderId="0" xfId="5" applyNumberFormat="1" applyFont="1" applyBorder="1" applyAlignment="1" applyProtection="1">
      <alignment horizontal="center" vertical="center"/>
    </xf>
    <xf numFmtId="0" fontId="2" fillId="0" borderId="0" xfId="5" applyFont="1" applyFill="1" applyBorder="1" applyAlignment="1" applyProtection="1">
      <alignment vertical="center"/>
    </xf>
    <xf numFmtId="0" fontId="3" fillId="0" borderId="0" xfId="5" applyFill="1" applyBorder="1" applyProtection="1"/>
    <xf numFmtId="0" fontId="2" fillId="0" borderId="0" xfId="5" applyFont="1" applyFill="1" applyBorder="1" applyAlignment="1" applyProtection="1">
      <alignment horizontal="center" vertical="center"/>
    </xf>
    <xf numFmtId="0" fontId="21" fillId="0" borderId="6" xfId="5" applyFont="1" applyBorder="1" applyAlignment="1" applyProtection="1">
      <alignment vertical="center"/>
    </xf>
    <xf numFmtId="0" fontId="8" fillId="0" borderId="0" xfId="5" applyFont="1" applyBorder="1" applyAlignment="1" applyProtection="1">
      <alignment vertical="center"/>
    </xf>
    <xf numFmtId="0" fontId="18" fillId="0" borderId="0" xfId="5" applyFont="1" applyBorder="1" applyAlignment="1" applyProtection="1">
      <alignment vertical="center"/>
    </xf>
    <xf numFmtId="0" fontId="8" fillId="0" borderId="6" xfId="5" applyFont="1" applyBorder="1" applyAlignment="1" applyProtection="1">
      <alignment vertical="center"/>
    </xf>
    <xf numFmtId="0" fontId="13" fillId="0" borderId="0" xfId="5" applyFont="1" applyProtection="1"/>
    <xf numFmtId="0" fontId="15" fillId="0" borderId="0" xfId="5" applyFont="1" applyFill="1" applyBorder="1" applyAlignment="1" applyProtection="1">
      <alignment vertical="center"/>
    </xf>
    <xf numFmtId="0" fontId="15" fillId="0" borderId="0" xfId="5" applyFont="1" applyFill="1" applyBorder="1" applyAlignment="1" applyProtection="1">
      <alignment horizontal="center" vertical="center"/>
    </xf>
    <xf numFmtId="9" fontId="3" fillId="0" borderId="0" xfId="5" applyNumberFormat="1" applyProtection="1"/>
    <xf numFmtId="0" fontId="21" fillId="0" borderId="0" xfId="5" applyFont="1" applyFill="1" applyBorder="1" applyAlignment="1" applyProtection="1">
      <alignment horizontal="center" vertical="center"/>
    </xf>
    <xf numFmtId="0" fontId="2" fillId="0" borderId="0" xfId="5" applyFont="1" applyBorder="1" applyAlignment="1" applyProtection="1">
      <alignment vertical="center"/>
    </xf>
    <xf numFmtId="0" fontId="44" fillId="0" borderId="0" xfId="5" applyFont="1" applyBorder="1" applyAlignment="1" applyProtection="1">
      <alignment vertical="center"/>
    </xf>
    <xf numFmtId="0" fontId="0" fillId="0" borderId="0" xfId="0" applyBorder="1" applyAlignment="1" applyProtection="1"/>
    <xf numFmtId="0" fontId="19" fillId="0" borderId="0" xfId="0" applyFont="1" applyBorder="1" applyAlignment="1" applyProtection="1">
      <alignment horizontal="center" vertical="center"/>
    </xf>
    <xf numFmtId="0" fontId="15" fillId="0" borderId="0" xfId="5" applyFont="1" applyBorder="1" applyAlignment="1" applyProtection="1">
      <alignment horizontal="left" vertical="center"/>
    </xf>
    <xf numFmtId="1" fontId="11" fillId="0" borderId="0" xfId="5" applyNumberFormat="1" applyFont="1" applyBorder="1" applyAlignment="1" applyProtection="1">
      <alignment horizontal="center"/>
    </xf>
    <xf numFmtId="9" fontId="18" fillId="0" borderId="0" xfId="1" applyFont="1" applyBorder="1" applyAlignment="1" applyProtection="1">
      <alignment horizontal="center"/>
    </xf>
    <xf numFmtId="0" fontId="1" fillId="0" borderId="0" xfId="5" applyFont="1" applyBorder="1" applyAlignment="1" applyProtection="1">
      <alignment horizontal="left" vertical="center"/>
    </xf>
    <xf numFmtId="0" fontId="45" fillId="0" borderId="0" xfId="0" applyFont="1" applyBorder="1" applyAlignment="1" applyProtection="1">
      <alignment horizontal="center" vertical="center"/>
    </xf>
    <xf numFmtId="0" fontId="15" fillId="0" borderId="0" xfId="0" applyFont="1" applyBorder="1" applyAlignment="1" applyProtection="1">
      <alignment horizontal="center" vertical="center"/>
    </xf>
    <xf numFmtId="0" fontId="15" fillId="0" borderId="0" xfId="0" applyFont="1" applyBorder="1" applyAlignment="1" applyProtection="1">
      <alignment horizontal="center" vertical="center" wrapText="1"/>
    </xf>
    <xf numFmtId="0" fontId="7" fillId="0" borderId="0" xfId="0" applyFont="1" applyBorder="1" applyAlignment="1" applyProtection="1">
      <alignment horizontal="center" vertical="center"/>
    </xf>
    <xf numFmtId="9" fontId="1" fillId="0" borderId="0" xfId="1" applyFont="1" applyBorder="1" applyAlignment="1" applyProtection="1">
      <alignment horizontal="center" vertical="center"/>
    </xf>
    <xf numFmtId="1" fontId="1" fillId="0" borderId="0" xfId="0" applyNumberFormat="1" applyFont="1" applyBorder="1" applyAlignment="1" applyProtection="1">
      <alignment horizontal="center" vertical="center"/>
    </xf>
    <xf numFmtId="1" fontId="1" fillId="0" borderId="6" xfId="0" applyNumberFormat="1" applyFont="1" applyBorder="1" applyAlignment="1" applyProtection="1">
      <alignment horizontal="center" vertical="center"/>
    </xf>
    <xf numFmtId="9" fontId="6" fillId="0" borderId="0" xfId="5" applyNumberFormat="1" applyFont="1" applyBorder="1" applyAlignment="1" applyProtection="1">
      <alignment horizontal="center" vertical="center"/>
    </xf>
    <xf numFmtId="9" fontId="1" fillId="0" borderId="0" xfId="5" applyNumberFormat="1" applyFont="1" applyBorder="1" applyAlignment="1" applyProtection="1">
      <alignment horizontal="center" vertical="center"/>
    </xf>
    <xf numFmtId="0" fontId="19" fillId="0" borderId="0" xfId="2" applyFont="1" applyAlignment="1" applyProtection="1">
      <alignment horizontal="left" vertical="center"/>
    </xf>
    <xf numFmtId="0" fontId="0" fillId="0" borderId="0" xfId="0" applyAlignment="1" applyProtection="1">
      <alignment horizontal="left" vertical="center"/>
    </xf>
    <xf numFmtId="0" fontId="3" fillId="0" borderId="0" xfId="7" applyFill="1" applyAlignment="1">
      <alignment horizontal="center" vertical="top"/>
    </xf>
    <xf numFmtId="0" fontId="27" fillId="0" borderId="0" xfId="7" applyFont="1" applyFill="1" applyBorder="1" applyAlignment="1">
      <alignment vertical="center" wrapText="1"/>
    </xf>
    <xf numFmtId="0" fontId="25" fillId="0" borderId="0" xfId="7" applyFont="1" applyFill="1" applyBorder="1" applyAlignment="1">
      <alignment vertical="center"/>
    </xf>
    <xf numFmtId="0" fontId="24" fillId="0" borderId="0" xfId="7" applyFont="1" applyFill="1" applyBorder="1" applyAlignment="1">
      <alignment vertical="center"/>
    </xf>
    <xf numFmtId="0" fontId="25" fillId="0" borderId="0" xfId="7" applyFont="1" applyFill="1" applyBorder="1" applyAlignment="1">
      <alignment horizontal="left" vertical="top" wrapText="1"/>
    </xf>
    <xf numFmtId="0" fontId="23" fillId="0" borderId="0" xfId="7" applyFont="1" applyFill="1" applyBorder="1" applyAlignment="1">
      <alignment horizontal="centerContinuous" vertical="top" wrapText="1"/>
    </xf>
    <xf numFmtId="0" fontId="0" fillId="0" borderId="0" xfId="0" applyBorder="1" applyAlignment="1" applyProtection="1">
      <alignment horizontal="left"/>
    </xf>
    <xf numFmtId="0" fontId="26" fillId="0" borderId="0" xfId="6" applyFont="1" applyBorder="1" applyProtection="1"/>
    <xf numFmtId="0" fontId="24" fillId="0" borderId="0" xfId="6" applyFont="1" applyBorder="1" applyProtection="1"/>
    <xf numFmtId="0" fontId="26" fillId="0" borderId="0" xfId="5" applyFont="1" applyBorder="1" applyAlignment="1" applyProtection="1"/>
    <xf numFmtId="0" fontId="3" fillId="0" borderId="0" xfId="5" applyFont="1" applyFill="1" applyBorder="1" applyAlignment="1" applyProtection="1">
      <alignment horizontal="center" vertical="center"/>
    </xf>
    <xf numFmtId="1" fontId="14" fillId="0" borderId="0" xfId="0" applyNumberFormat="1" applyFont="1" applyBorder="1" applyProtection="1"/>
    <xf numFmtId="1" fontId="14" fillId="0" borderId="0" xfId="5" applyNumberFormat="1" applyFont="1" applyBorder="1" applyAlignment="1" applyProtection="1">
      <alignment horizontal="center" vertical="center"/>
    </xf>
    <xf numFmtId="0" fontId="24" fillId="0" borderId="0" xfId="0" applyFont="1" applyBorder="1" applyAlignment="1" applyProtection="1">
      <alignment vertical="center" wrapText="1"/>
    </xf>
    <xf numFmtId="0" fontId="24" fillId="0" borderId="0" xfId="0" applyFont="1" applyBorder="1" applyProtection="1"/>
    <xf numFmtId="0" fontId="25" fillId="0" borderId="0" xfId="2" applyFont="1" applyFill="1" applyBorder="1" applyAlignment="1" applyProtection="1"/>
    <xf numFmtId="0" fontId="3" fillId="0" borderId="14" xfId="5" applyFont="1" applyFill="1" applyBorder="1" applyAlignment="1" applyProtection="1">
      <alignment horizontal="center" vertical="center"/>
    </xf>
    <xf numFmtId="0" fontId="2" fillId="0" borderId="11" xfId="3" applyFont="1" applyBorder="1"/>
    <xf numFmtId="0" fontId="0" fillId="0" borderId="11" xfId="0" applyBorder="1" applyAlignment="1"/>
    <xf numFmtId="9" fontId="3" fillId="0" borderId="0" xfId="5" applyNumberFormat="1" applyBorder="1" applyAlignment="1" applyProtection="1">
      <alignment vertical="center"/>
    </xf>
    <xf numFmtId="49" fontId="3" fillId="0" borderId="0" xfId="5" applyNumberFormat="1" applyProtection="1"/>
    <xf numFmtId="9" fontId="13" fillId="0" borderId="0" xfId="5" applyNumberFormat="1" applyFont="1" applyProtection="1"/>
    <xf numFmtId="0" fontId="5" fillId="0" borderId="11" xfId="3" applyFont="1" applyFill="1" applyBorder="1" applyAlignment="1">
      <alignment vertical="center"/>
    </xf>
    <xf numFmtId="0" fontId="30" fillId="0" borderId="4" xfId="3" applyFont="1" applyBorder="1" applyAlignment="1">
      <alignment horizontal="right" wrapText="1"/>
    </xf>
    <xf numFmtId="0" fontId="39" fillId="0" borderId="0" xfId="3" applyFont="1" applyBorder="1" applyAlignment="1">
      <alignment horizontal="left" vertical="center" wrapText="1"/>
    </xf>
    <xf numFmtId="0" fontId="3" fillId="0" borderId="0" xfId="5" applyAlignment="1" applyProtection="1">
      <alignment wrapText="1"/>
    </xf>
    <xf numFmtId="0" fontId="3" fillId="0" borderId="0" xfId="5" applyFont="1" applyAlignment="1" applyProtection="1">
      <alignment wrapText="1"/>
    </xf>
    <xf numFmtId="0" fontId="1" fillId="0" borderId="0" xfId="5" applyFont="1" applyAlignment="1" applyProtection="1">
      <alignment wrapText="1"/>
    </xf>
    <xf numFmtId="9" fontId="3" fillId="0" borderId="0" xfId="5" applyNumberFormat="1" applyFont="1" applyAlignment="1" applyProtection="1">
      <alignment wrapText="1"/>
    </xf>
    <xf numFmtId="0" fontId="13" fillId="0" borderId="0" xfId="5" applyFont="1" applyAlignment="1" applyProtection="1">
      <alignment wrapText="1"/>
    </xf>
    <xf numFmtId="0" fontId="2" fillId="0" borderId="2" xfId="3" applyFont="1" applyBorder="1" applyAlignment="1">
      <alignment horizontal="left" wrapText="1"/>
    </xf>
    <xf numFmtId="0" fontId="2" fillId="0" borderId="0" xfId="3" applyFont="1" applyAlignment="1">
      <alignment wrapText="1"/>
    </xf>
    <xf numFmtId="0" fontId="3" fillId="0" borderId="5" xfId="5" applyBorder="1" applyProtection="1"/>
    <xf numFmtId="14" fontId="2" fillId="0" borderId="0" xfId="2" applyNumberFormat="1" applyFont="1" applyBorder="1" applyAlignment="1" applyProtection="1">
      <alignment vertical="top"/>
    </xf>
    <xf numFmtId="14" fontId="2" fillId="0" borderId="51" xfId="2" applyNumberFormat="1" applyFont="1" applyBorder="1" applyAlignment="1" applyProtection="1">
      <alignment vertical="top"/>
    </xf>
    <xf numFmtId="0" fontId="2" fillId="0" borderId="2" xfId="0" applyFont="1" applyFill="1" applyBorder="1" applyAlignment="1">
      <alignment horizontal="left"/>
    </xf>
    <xf numFmtId="0" fontId="2" fillId="0" borderId="0" xfId="0" applyFont="1" applyFill="1" applyBorder="1"/>
    <xf numFmtId="0" fontId="2" fillId="0" borderId="34" xfId="3" applyFont="1" applyBorder="1"/>
    <xf numFmtId="9" fontId="3" fillId="0" borderId="0" xfId="5" applyNumberFormat="1" applyAlignment="1" applyProtection="1">
      <alignment wrapText="1"/>
    </xf>
    <xf numFmtId="0" fontId="50" fillId="8" borderId="0" xfId="0" applyFont="1" applyFill="1" applyAlignment="1">
      <alignment horizontal="center" vertical="center" wrapText="1"/>
    </xf>
    <xf numFmtId="0" fontId="10" fillId="0" borderId="0" xfId="0" applyFont="1" applyBorder="1" applyProtection="1"/>
    <xf numFmtId="9" fontId="1" fillId="9" borderId="0" xfId="1" applyFont="1" applyFill="1" applyBorder="1" applyAlignment="1" applyProtection="1">
      <alignment horizontal="center" vertical="center"/>
    </xf>
    <xf numFmtId="0" fontId="0" fillId="9" borderId="0" xfId="0" applyFill="1" applyBorder="1" applyProtection="1"/>
    <xf numFmtId="0" fontId="0" fillId="9" borderId="0" xfId="0" applyFill="1" applyBorder="1" applyAlignment="1" applyProtection="1"/>
    <xf numFmtId="0" fontId="3" fillId="9" borderId="0" xfId="5" applyFill="1" applyBorder="1" applyProtection="1"/>
    <xf numFmtId="1" fontId="1" fillId="9" borderId="0" xfId="5" applyNumberFormat="1" applyFont="1" applyFill="1" applyBorder="1" applyAlignment="1" applyProtection="1">
      <alignment horizontal="center" vertical="center"/>
    </xf>
    <xf numFmtId="1" fontId="7" fillId="9" borderId="0" xfId="5" applyNumberFormat="1" applyFont="1" applyFill="1" applyBorder="1" applyAlignment="1" applyProtection="1">
      <alignment vertical="center"/>
    </xf>
    <xf numFmtId="0" fontId="0" fillId="9" borderId="0" xfId="0" applyFill="1" applyBorder="1" applyAlignment="1" applyProtection="1">
      <alignment horizontal="center" vertical="center"/>
    </xf>
    <xf numFmtId="0" fontId="45" fillId="9" borderId="0" xfId="0" applyFont="1" applyFill="1" applyBorder="1" applyAlignment="1" applyProtection="1">
      <alignment vertical="center"/>
    </xf>
    <xf numFmtId="0" fontId="15" fillId="9" borderId="0" xfId="0" applyFont="1" applyFill="1" applyBorder="1" applyAlignment="1" applyProtection="1">
      <alignment vertical="center" wrapText="1"/>
    </xf>
    <xf numFmtId="0" fontId="15" fillId="9" borderId="0" xfId="5" applyFont="1" applyFill="1" applyBorder="1" applyAlignment="1" applyProtection="1">
      <alignment horizontal="left" vertical="center"/>
    </xf>
    <xf numFmtId="0" fontId="3" fillId="9" borderId="0" xfId="5" applyFill="1" applyBorder="1" applyAlignment="1" applyProtection="1">
      <alignment vertical="center"/>
    </xf>
    <xf numFmtId="0" fontId="11" fillId="7" borderId="11" xfId="5" applyFont="1" applyFill="1" applyBorder="1" applyProtection="1"/>
    <xf numFmtId="0" fontId="11" fillId="7" borderId="34" xfId="5" applyFont="1" applyFill="1" applyBorder="1" applyProtection="1"/>
    <xf numFmtId="0" fontId="20" fillId="5" borderId="0" xfId="5" applyFont="1" applyFill="1" applyBorder="1" applyProtection="1"/>
    <xf numFmtId="0" fontId="13" fillId="0" borderId="0" xfId="5" applyFont="1" applyBorder="1" applyProtection="1"/>
    <xf numFmtId="0" fontId="3" fillId="0" borderId="0" xfId="5" applyFont="1" applyBorder="1" applyProtection="1"/>
    <xf numFmtId="0" fontId="3" fillId="10" borderId="0" xfId="5" applyFill="1" applyBorder="1" applyProtection="1"/>
    <xf numFmtId="0" fontId="3" fillId="0" borderId="3" xfId="5" applyBorder="1" applyProtection="1"/>
    <xf numFmtId="0" fontId="3" fillId="0" borderId="2" xfId="5" applyBorder="1" applyProtection="1"/>
    <xf numFmtId="0" fontId="3" fillId="0" borderId="4" xfId="5" applyBorder="1" applyProtection="1"/>
    <xf numFmtId="0" fontId="20" fillId="5" borderId="14" xfId="5" applyFont="1" applyFill="1" applyBorder="1" applyProtection="1"/>
    <xf numFmtId="9" fontId="13" fillId="0" borderId="7" xfId="5" applyNumberFormat="1" applyFont="1" applyBorder="1" applyProtection="1"/>
    <xf numFmtId="0" fontId="13" fillId="0" borderId="7" xfId="5" applyFont="1" applyBorder="1" applyProtection="1"/>
    <xf numFmtId="0" fontId="13" fillId="0" borderId="15" xfId="5" applyFont="1" applyBorder="1" applyProtection="1"/>
    <xf numFmtId="0" fontId="3" fillId="7" borderId="13" xfId="5" applyFont="1" applyFill="1" applyBorder="1" applyProtection="1"/>
    <xf numFmtId="0" fontId="7" fillId="9" borderId="0" xfId="5" applyFont="1" applyFill="1" applyBorder="1" applyProtection="1"/>
    <xf numFmtId="0" fontId="3" fillId="9" borderId="6" xfId="5" applyFill="1" applyBorder="1" applyProtection="1"/>
    <xf numFmtId="0" fontId="2" fillId="9" borderId="0" xfId="5" applyFont="1" applyFill="1" applyBorder="1" applyProtection="1"/>
    <xf numFmtId="0" fontId="3" fillId="9" borderId="0" xfId="5" applyFont="1" applyFill="1" applyBorder="1" applyProtection="1"/>
    <xf numFmtId="0" fontId="3" fillId="9" borderId="6" xfId="5" applyFont="1" applyFill="1" applyBorder="1" applyProtection="1"/>
    <xf numFmtId="166" fontId="3" fillId="9" borderId="0" xfId="5" applyNumberFormat="1" applyFill="1" applyBorder="1" applyProtection="1"/>
    <xf numFmtId="0" fontId="20" fillId="5" borderId="29" xfId="5" applyFont="1" applyFill="1" applyBorder="1" applyProtection="1"/>
    <xf numFmtId="0" fontId="3" fillId="0" borderId="0" xfId="5" applyAlignment="1" applyProtection="1">
      <alignment textRotation="90"/>
    </xf>
    <xf numFmtId="0" fontId="30" fillId="9" borderId="0" xfId="5" applyFont="1" applyFill="1" applyBorder="1" applyProtection="1"/>
    <xf numFmtId="0" fontId="30" fillId="9" borderId="0" xfId="5" applyFont="1" applyFill="1" applyBorder="1" applyAlignment="1" applyProtection="1">
      <alignment horizontal="left"/>
    </xf>
    <xf numFmtId="0" fontId="3" fillId="10" borderId="2" xfId="5" applyFill="1" applyBorder="1" applyProtection="1"/>
    <xf numFmtId="0" fontId="52" fillId="10" borderId="19" xfId="5" applyFont="1" applyFill="1" applyBorder="1" applyProtection="1"/>
    <xf numFmtId="0" fontId="53" fillId="10" borderId="3" xfId="5" applyFont="1" applyFill="1" applyBorder="1" applyProtection="1"/>
    <xf numFmtId="0" fontId="53" fillId="10" borderId="8" xfId="5" applyFont="1" applyFill="1" applyBorder="1" applyProtection="1"/>
    <xf numFmtId="0" fontId="53" fillId="10" borderId="12" xfId="5" applyFont="1" applyFill="1" applyBorder="1" applyProtection="1"/>
    <xf numFmtId="0" fontId="53" fillId="10" borderId="0" xfId="5" applyFont="1" applyFill="1" applyBorder="1" applyProtection="1"/>
    <xf numFmtId="0" fontId="53" fillId="10" borderId="2" xfId="5" applyFont="1" applyFill="1" applyBorder="1" applyProtection="1"/>
    <xf numFmtId="0" fontId="53" fillId="10" borderId="17" xfId="5" applyFont="1" applyFill="1" applyBorder="1" applyProtection="1"/>
    <xf numFmtId="0" fontId="53" fillId="10" borderId="4" xfId="5" applyFont="1" applyFill="1" applyBorder="1" applyProtection="1"/>
    <xf numFmtId="0" fontId="53" fillId="10" borderId="5" xfId="5" applyFont="1" applyFill="1" applyBorder="1" applyProtection="1"/>
    <xf numFmtId="0" fontId="3" fillId="0" borderId="4" xfId="5" applyBorder="1" applyAlignment="1" applyProtection="1">
      <alignment horizontal="center"/>
    </xf>
    <xf numFmtId="0" fontId="3" fillId="0" borderId="43" xfId="5" applyBorder="1" applyAlignment="1" applyProtection="1">
      <alignment horizontal="center"/>
    </xf>
    <xf numFmtId="49" fontId="3" fillId="0" borderId="19" xfId="5" applyNumberFormat="1" applyFont="1" applyBorder="1" applyAlignment="1" applyProtection="1">
      <alignment horizontal="center"/>
    </xf>
    <xf numFmtId="0" fontId="3" fillId="0" borderId="3" xfId="5" applyBorder="1" applyAlignment="1" applyProtection="1">
      <alignment horizontal="center"/>
    </xf>
    <xf numFmtId="0" fontId="3" fillId="0" borderId="8" xfId="5" applyBorder="1" applyAlignment="1" applyProtection="1">
      <alignment horizontal="center"/>
    </xf>
    <xf numFmtId="49" fontId="3" fillId="0" borderId="29" xfId="5" applyNumberFormat="1" applyFont="1" applyBorder="1" applyAlignment="1" applyProtection="1">
      <alignment horizontal="center"/>
    </xf>
    <xf numFmtId="0" fontId="3" fillId="0" borderId="5" xfId="5" applyBorder="1" applyAlignment="1" applyProtection="1">
      <alignment horizontal="center"/>
    </xf>
    <xf numFmtId="0" fontId="3" fillId="0" borderId="19" xfId="5" applyFont="1" applyBorder="1" applyAlignment="1" applyProtection="1">
      <alignment textRotation="90"/>
    </xf>
    <xf numFmtId="0" fontId="3" fillId="0" borderId="3" xfId="5" applyFont="1" applyBorder="1" applyAlignment="1" applyProtection="1">
      <alignment textRotation="90"/>
    </xf>
    <xf numFmtId="0" fontId="3" fillId="0" borderId="3" xfId="5" applyBorder="1" applyAlignment="1" applyProtection="1">
      <alignment textRotation="90"/>
    </xf>
    <xf numFmtId="0" fontId="3" fillId="0" borderId="8" xfId="5" applyFont="1" applyBorder="1" applyAlignment="1" applyProtection="1">
      <alignment textRotation="90"/>
    </xf>
    <xf numFmtId="0" fontId="11" fillId="0" borderId="12" xfId="5" applyFont="1" applyBorder="1" applyProtection="1"/>
    <xf numFmtId="49" fontId="3" fillId="0" borderId="12" xfId="5" applyNumberFormat="1" applyBorder="1" applyProtection="1"/>
    <xf numFmtId="49" fontId="11" fillId="0" borderId="12" xfId="5" applyNumberFormat="1" applyFont="1" applyBorder="1" applyProtection="1"/>
    <xf numFmtId="49" fontId="3" fillId="0" borderId="17" xfId="5" applyNumberFormat="1" applyBorder="1" applyProtection="1"/>
    <xf numFmtId="0" fontId="3" fillId="0" borderId="4" xfId="5" applyFont="1" applyBorder="1" applyProtection="1"/>
    <xf numFmtId="0" fontId="26" fillId="7" borderId="11" xfId="5" applyFont="1" applyFill="1" applyBorder="1" applyProtection="1"/>
    <xf numFmtId="0" fontId="13" fillId="9" borderId="0" xfId="5" applyFont="1" applyFill="1" applyBorder="1" applyProtection="1"/>
    <xf numFmtId="0" fontId="51" fillId="9" borderId="0" xfId="5" applyFont="1" applyFill="1" applyBorder="1" applyProtection="1"/>
    <xf numFmtId="0" fontId="13" fillId="9" borderId="69" xfId="5" applyFont="1" applyFill="1" applyBorder="1" applyProtection="1"/>
    <xf numFmtId="0" fontId="13" fillId="9" borderId="43" xfId="5" applyFont="1" applyFill="1" applyBorder="1" applyProtection="1"/>
    <xf numFmtId="0" fontId="13" fillId="9" borderId="9" xfId="5" applyFont="1" applyFill="1" applyBorder="1" applyProtection="1"/>
    <xf numFmtId="0" fontId="3" fillId="9" borderId="10" xfId="5" applyFill="1" applyBorder="1" applyProtection="1"/>
    <xf numFmtId="0" fontId="3" fillId="10" borderId="4" xfId="5" applyFill="1" applyBorder="1" applyProtection="1"/>
    <xf numFmtId="0" fontId="9" fillId="0" borderId="0" xfId="0" applyFont="1"/>
    <xf numFmtId="0" fontId="3" fillId="0" borderId="14" xfId="5" applyBorder="1" applyProtection="1"/>
    <xf numFmtId="0" fontId="3" fillId="9" borderId="9" xfId="5" applyFill="1" applyBorder="1" applyProtection="1"/>
    <xf numFmtId="0" fontId="9" fillId="9" borderId="0" xfId="0" applyFont="1" applyFill="1" applyBorder="1" applyProtection="1"/>
    <xf numFmtId="0" fontId="1" fillId="9" borderId="0" xfId="0" applyFont="1" applyFill="1" applyBorder="1" applyProtection="1"/>
    <xf numFmtId="10" fontId="54" fillId="0" borderId="0" xfId="5" applyNumberFormat="1" applyFont="1" applyProtection="1"/>
    <xf numFmtId="167" fontId="15" fillId="9" borderId="0" xfId="5" applyNumberFormat="1" applyFont="1" applyFill="1" applyBorder="1" applyAlignment="1" applyProtection="1">
      <alignment horizontal="left" vertical="center"/>
    </xf>
    <xf numFmtId="0" fontId="47" fillId="9" borderId="0" xfId="3" applyFont="1" applyFill="1" applyBorder="1" applyAlignment="1">
      <alignment horizontal="center" vertical="center" wrapText="1"/>
    </xf>
    <xf numFmtId="0" fontId="0" fillId="9" borderId="0" xfId="0" applyFill="1" applyBorder="1" applyAlignment="1"/>
    <xf numFmtId="0" fontId="2" fillId="0" borderId="0" xfId="0" applyFont="1"/>
    <xf numFmtId="0" fontId="1" fillId="0" borderId="0" xfId="0" applyFont="1"/>
    <xf numFmtId="0" fontId="36" fillId="0" borderId="0" xfId="7" applyFont="1" applyBorder="1" applyAlignment="1">
      <alignment horizontal="left" vertical="center" wrapText="1"/>
    </xf>
    <xf numFmtId="0" fontId="2" fillId="0" borderId="0" xfId="0" applyFont="1" applyFill="1"/>
    <xf numFmtId="49" fontId="8" fillId="0" borderId="0" xfId="5" quotePrefix="1" applyNumberFormat="1" applyFont="1" applyFill="1" applyBorder="1" applyAlignment="1" applyProtection="1">
      <alignment vertical="center"/>
    </xf>
    <xf numFmtId="49" fontId="8" fillId="0" borderId="0" xfId="5" applyNumberFormat="1" applyFont="1" applyFill="1" applyBorder="1" applyAlignment="1" applyProtection="1">
      <alignment vertical="center"/>
    </xf>
    <xf numFmtId="49" fontId="8" fillId="0" borderId="0" xfId="5" applyNumberFormat="1" applyFont="1" applyFill="1" applyBorder="1" applyAlignment="1" applyProtection="1">
      <alignment horizontal="right" vertical="center"/>
    </xf>
    <xf numFmtId="49" fontId="8" fillId="0" borderId="0" xfId="5" applyNumberFormat="1" applyFont="1" applyBorder="1" applyAlignment="1" applyProtection="1">
      <alignment horizontal="left" vertical="center"/>
    </xf>
    <xf numFmtId="49" fontId="8" fillId="0" borderId="0" xfId="5" applyNumberFormat="1" applyFont="1" applyBorder="1" applyAlignment="1" applyProtection="1">
      <alignment horizontal="right" vertical="center"/>
    </xf>
    <xf numFmtId="49" fontId="15" fillId="0" borderId="0" xfId="5" applyNumberFormat="1" applyFont="1" applyBorder="1" applyAlignment="1" applyProtection="1">
      <alignment vertical="center"/>
    </xf>
    <xf numFmtId="49" fontId="8" fillId="0" borderId="0" xfId="5" applyNumberFormat="1" applyFont="1" applyBorder="1" applyAlignment="1" applyProtection="1">
      <alignment vertical="center"/>
    </xf>
    <xf numFmtId="49" fontId="8" fillId="0" borderId="0" xfId="5" quotePrefix="1" applyNumberFormat="1" applyFont="1" applyBorder="1" applyAlignment="1" applyProtection="1">
      <alignment vertical="center"/>
    </xf>
    <xf numFmtId="164" fontId="25" fillId="0" borderId="0" xfId="7" applyNumberFormat="1" applyFont="1" applyBorder="1" applyAlignment="1">
      <alignment horizontal="left"/>
    </xf>
    <xf numFmtId="49" fontId="3" fillId="0" borderId="0" xfId="7" applyNumberFormat="1" applyFont="1" applyFill="1" applyAlignment="1">
      <alignment horizontal="center" wrapText="1"/>
    </xf>
    <xf numFmtId="0" fontId="25" fillId="0" borderId="73" xfId="0" applyNumberFormat="1" applyFont="1" applyFill="1" applyBorder="1" applyAlignment="1" applyProtection="1">
      <alignment horizontal="center" vertical="center" shrinkToFit="1"/>
      <protection locked="0"/>
    </xf>
    <xf numFmtId="0" fontId="25" fillId="0" borderId="63" xfId="0" applyNumberFormat="1" applyFont="1" applyFill="1" applyBorder="1" applyAlignment="1" applyProtection="1">
      <alignment horizontal="center" vertical="center" shrinkToFit="1"/>
      <protection locked="0"/>
    </xf>
    <xf numFmtId="0" fontId="25" fillId="0" borderId="14" xfId="0" applyNumberFormat="1" applyFont="1" applyFill="1" applyBorder="1" applyAlignment="1" applyProtection="1">
      <alignment horizontal="center" vertical="center" shrinkToFit="1"/>
      <protection locked="0"/>
    </xf>
    <xf numFmtId="0" fontId="25" fillId="0" borderId="66" xfId="0" applyNumberFormat="1" applyFont="1" applyFill="1" applyBorder="1" applyAlignment="1" applyProtection="1">
      <alignment horizontal="center" vertical="center" shrinkToFit="1"/>
      <protection locked="0"/>
    </xf>
    <xf numFmtId="0" fontId="25" fillId="7" borderId="14" xfId="0" applyNumberFormat="1" applyFont="1" applyFill="1" applyBorder="1" applyAlignment="1" applyProtection="1">
      <alignment horizontal="center" vertical="center" shrinkToFit="1"/>
      <protection locked="0"/>
    </xf>
    <xf numFmtId="0" fontId="25" fillId="7" borderId="66" xfId="0" applyNumberFormat="1" applyFont="1" applyFill="1" applyBorder="1" applyAlignment="1" applyProtection="1">
      <alignment horizontal="center" vertical="center" shrinkToFit="1"/>
      <protection locked="0"/>
    </xf>
    <xf numFmtId="0" fontId="25" fillId="0" borderId="5" xfId="0" applyNumberFormat="1" applyFont="1" applyBorder="1" applyAlignment="1" applyProtection="1">
      <alignment horizontal="center" vertical="center" shrinkToFit="1"/>
      <protection locked="0"/>
    </xf>
    <xf numFmtId="0" fontId="25" fillId="0" borderId="2" xfId="0" applyNumberFormat="1" applyFont="1" applyBorder="1" applyAlignment="1" applyProtection="1">
      <alignment horizontal="center" vertical="center" shrinkToFit="1"/>
      <protection locked="0"/>
    </xf>
    <xf numFmtId="0" fontId="25" fillId="7" borderId="2" xfId="0" applyNumberFormat="1" applyFont="1" applyFill="1" applyBorder="1" applyAlignment="1" applyProtection="1">
      <alignment horizontal="center" vertical="center" shrinkToFit="1"/>
      <protection locked="0"/>
    </xf>
    <xf numFmtId="0" fontId="25" fillId="0" borderId="63" xfId="0" applyNumberFormat="1" applyFont="1" applyBorder="1" applyAlignment="1" applyProtection="1">
      <alignment horizontal="center" vertical="center" shrinkToFit="1"/>
      <protection locked="0"/>
    </xf>
    <xf numFmtId="0" fontId="25" fillId="0" borderId="5" xfId="0" applyNumberFormat="1" applyFont="1" applyFill="1" applyBorder="1" applyAlignment="1" applyProtection="1">
      <alignment horizontal="center" vertical="center" shrinkToFit="1"/>
      <protection locked="0"/>
    </xf>
    <xf numFmtId="0" fontId="25" fillId="9" borderId="2" xfId="0" applyNumberFormat="1" applyFont="1" applyFill="1" applyBorder="1" applyAlignment="1" applyProtection="1">
      <alignment horizontal="center" vertical="center" shrinkToFit="1"/>
      <protection locked="0"/>
    </xf>
    <xf numFmtId="0" fontId="3" fillId="0" borderId="9" xfId="7" applyFont="1" applyFill="1" applyBorder="1" applyAlignment="1">
      <alignment horizontal="center" vertical="top" wrapText="1"/>
    </xf>
    <xf numFmtId="0" fontId="25" fillId="0" borderId="9" xfId="7" applyFont="1" applyFill="1" applyBorder="1" applyAlignment="1">
      <alignment horizontal="left" vertical="top" wrapText="1"/>
    </xf>
    <xf numFmtId="1" fontId="25" fillId="0" borderId="16" xfId="7" applyNumberFormat="1" applyFont="1" applyBorder="1" applyAlignment="1">
      <alignment horizontal="center" vertical="top" shrinkToFit="1"/>
    </xf>
    <xf numFmtId="1" fontId="25" fillId="0" borderId="9" xfId="7" applyNumberFormat="1" applyFont="1" applyBorder="1" applyAlignment="1">
      <alignment horizontal="center" vertical="top" shrinkToFit="1"/>
    </xf>
    <xf numFmtId="1" fontId="25" fillId="0" borderId="0" xfId="7" applyNumberFormat="1" applyFont="1" applyBorder="1" applyAlignment="1">
      <alignment horizontal="center" vertical="top" shrinkToFit="1"/>
    </xf>
    <xf numFmtId="0" fontId="25" fillId="0" borderId="0" xfId="2" applyFont="1" applyAlignment="1" applyProtection="1">
      <alignment horizontal="left" vertical="top" wrapText="1"/>
    </xf>
    <xf numFmtId="0" fontId="37" fillId="0" borderId="0" xfId="2" applyFont="1" applyBorder="1" applyAlignment="1" applyProtection="1">
      <alignment horizontal="center"/>
    </xf>
    <xf numFmtId="0" fontId="25" fillId="0" borderId="16" xfId="7" applyFont="1" applyFill="1" applyBorder="1" applyAlignment="1">
      <alignment horizontal="center" vertical="top" wrapText="1"/>
    </xf>
    <xf numFmtId="49" fontId="25" fillId="0" borderId="16" xfId="7" applyNumberFormat="1" applyFont="1" applyFill="1" applyBorder="1" applyAlignment="1">
      <alignment horizontal="center" vertical="top" wrapText="1"/>
    </xf>
    <xf numFmtId="0" fontId="3" fillId="0" borderId="4" xfId="7" applyFont="1" applyFill="1" applyBorder="1" applyAlignment="1">
      <alignment horizontal="center" vertical="top" wrapText="1"/>
    </xf>
    <xf numFmtId="0" fontId="25" fillId="0" borderId="4" xfId="7" applyFont="1" applyFill="1" applyBorder="1" applyAlignment="1">
      <alignment horizontal="left" vertical="top" wrapText="1"/>
    </xf>
    <xf numFmtId="1" fontId="25" fillId="0" borderId="4" xfId="7" applyNumberFormat="1" applyFont="1" applyBorder="1" applyAlignment="1">
      <alignment horizontal="center" vertical="top" shrinkToFit="1"/>
    </xf>
    <xf numFmtId="0" fontId="25" fillId="0" borderId="4" xfId="7" applyFont="1" applyFill="1" applyBorder="1" applyAlignment="1">
      <alignment horizontal="center" vertical="top" wrapText="1"/>
    </xf>
    <xf numFmtId="0" fontId="25" fillId="0" borderId="9" xfId="7" applyFont="1" applyFill="1" applyBorder="1" applyAlignment="1">
      <alignment horizontal="center" vertical="top" wrapText="1"/>
    </xf>
    <xf numFmtId="49" fontId="25" fillId="0" borderId="4" xfId="7" applyNumberFormat="1" applyFont="1" applyFill="1" applyBorder="1" applyAlignment="1">
      <alignment horizontal="center" vertical="top" wrapText="1"/>
    </xf>
    <xf numFmtId="0" fontId="25" fillId="0" borderId="32" xfId="7" applyFont="1" applyFill="1" applyBorder="1" applyAlignment="1">
      <alignment horizontal="center" vertical="top" wrapText="1"/>
    </xf>
    <xf numFmtId="0" fontId="3" fillId="0" borderId="32" xfId="7" applyFont="1" applyFill="1" applyBorder="1" applyAlignment="1">
      <alignment horizontal="center" vertical="top" wrapText="1"/>
    </xf>
    <xf numFmtId="0" fontId="25" fillId="0" borderId="32" xfId="7" applyFont="1" applyFill="1" applyBorder="1" applyAlignment="1">
      <alignment horizontal="left" vertical="top" wrapText="1"/>
    </xf>
    <xf numFmtId="1" fontId="25" fillId="0" borderId="32" xfId="7" applyNumberFormat="1" applyFont="1" applyBorder="1" applyAlignment="1">
      <alignment horizontal="center" vertical="top" shrinkToFit="1"/>
    </xf>
    <xf numFmtId="0" fontId="25" fillId="0" borderId="0" xfId="7" applyFont="1" applyFill="1" applyBorder="1" applyAlignment="1">
      <alignment horizontal="center" vertical="top" wrapText="1"/>
    </xf>
    <xf numFmtId="0" fontId="25" fillId="0" borderId="72" xfId="7" applyFont="1" applyFill="1" applyBorder="1" applyAlignment="1">
      <alignment horizontal="center" vertical="top" wrapText="1"/>
    </xf>
    <xf numFmtId="0" fontId="3" fillId="0" borderId="3" xfId="7" applyFont="1" applyFill="1" applyBorder="1" applyAlignment="1">
      <alignment horizontal="center" vertical="top" wrapText="1"/>
    </xf>
    <xf numFmtId="0" fontId="25" fillId="0" borderId="3" xfId="7" applyFont="1" applyFill="1" applyBorder="1" applyAlignment="1">
      <alignment horizontal="left" vertical="top" wrapText="1"/>
    </xf>
    <xf numFmtId="1" fontId="25" fillId="0" borderId="72" xfId="7" applyNumberFormat="1" applyFont="1" applyBorder="1" applyAlignment="1">
      <alignment horizontal="center" vertical="top" shrinkToFit="1"/>
    </xf>
    <xf numFmtId="0" fontId="25" fillId="0" borderId="3" xfId="7" applyFont="1" applyBorder="1" applyAlignment="1">
      <alignment horizontal="left" vertical="top"/>
    </xf>
    <xf numFmtId="0" fontId="25" fillId="0" borderId="3" xfId="7" applyFont="1" applyBorder="1" applyAlignment="1">
      <alignment horizontal="left" vertical="top" wrapText="1"/>
    </xf>
    <xf numFmtId="0" fontId="2" fillId="0" borderId="4" xfId="3" applyFont="1" applyBorder="1"/>
    <xf numFmtId="0" fontId="2" fillId="0" borderId="38" xfId="3" applyFont="1" applyBorder="1"/>
    <xf numFmtId="0" fontId="11" fillId="0" borderId="40" xfId="6" applyFont="1" applyBorder="1" applyAlignment="1" applyProtection="1">
      <alignment vertical="center"/>
    </xf>
    <xf numFmtId="49" fontId="8" fillId="0" borderId="0" xfId="5" applyNumberFormat="1" applyFont="1" applyFill="1" applyBorder="1" applyAlignment="1" applyProtection="1">
      <alignment horizontal="center" vertical="center"/>
    </xf>
    <xf numFmtId="0" fontId="6" fillId="15" borderId="42" xfId="3" applyFont="1" applyFill="1" applyBorder="1" applyAlignment="1" applyProtection="1">
      <alignment horizontal="left" wrapText="1"/>
      <protection locked="0"/>
    </xf>
    <xf numFmtId="0" fontId="6" fillId="15" borderId="5" xfId="3" applyFont="1" applyFill="1" applyBorder="1" applyAlignment="1" applyProtection="1">
      <alignment horizontal="left" wrapText="1"/>
      <protection locked="0"/>
    </xf>
    <xf numFmtId="0" fontId="6" fillId="15" borderId="14" xfId="3" applyFont="1" applyFill="1" applyBorder="1" applyAlignment="1" applyProtection="1">
      <alignment horizontal="left" wrapText="1"/>
      <protection locked="0"/>
    </xf>
    <xf numFmtId="0" fontId="25" fillId="12" borderId="63" xfId="0" applyNumberFormat="1" applyFont="1" applyFill="1" applyBorder="1" applyAlignment="1" applyProtection="1">
      <alignment horizontal="center" vertical="center" shrinkToFit="1"/>
      <protection locked="0"/>
    </xf>
    <xf numFmtId="0" fontId="25" fillId="0" borderId="74" xfId="0" applyNumberFormat="1" applyFont="1" applyFill="1" applyBorder="1" applyAlignment="1" applyProtection="1">
      <alignment horizontal="center" vertical="center" shrinkToFit="1"/>
      <protection locked="0"/>
    </xf>
    <xf numFmtId="0" fontId="25" fillId="12" borderId="14" xfId="0" applyNumberFormat="1" applyFont="1" applyFill="1" applyBorder="1" applyAlignment="1" applyProtection="1">
      <alignment horizontal="center" vertical="center" shrinkToFit="1"/>
      <protection locked="0"/>
    </xf>
    <xf numFmtId="0" fontId="25" fillId="12" borderId="66" xfId="0" applyNumberFormat="1" applyFont="1" applyFill="1" applyBorder="1" applyAlignment="1" applyProtection="1">
      <alignment horizontal="center" vertical="center" shrinkToFit="1"/>
      <protection locked="0"/>
    </xf>
    <xf numFmtId="0" fontId="3" fillId="0" borderId="12" xfId="5" applyNumberFormat="1" applyBorder="1" applyProtection="1"/>
    <xf numFmtId="0" fontId="25" fillId="12" borderId="2" xfId="0" applyNumberFormat="1" applyFont="1" applyFill="1" applyBorder="1" applyAlignment="1" applyProtection="1">
      <alignment horizontal="center" vertical="center" shrinkToFit="1"/>
      <protection locked="0"/>
    </xf>
    <xf numFmtId="0" fontId="10" fillId="0" borderId="11" xfId="0" applyFont="1" applyBorder="1" applyProtection="1"/>
    <xf numFmtId="0" fontId="3" fillId="0" borderId="11" xfId="5" applyBorder="1" applyAlignment="1" applyProtection="1">
      <alignment horizontal="center" vertical="center"/>
    </xf>
    <xf numFmtId="0" fontId="61" fillId="16" borderId="0" xfId="0" applyFont="1" applyFill="1" applyAlignment="1">
      <alignment horizontal="center"/>
    </xf>
    <xf numFmtId="14" fontId="2" fillId="0" borderId="51" xfId="2" applyNumberFormat="1" applyFont="1" applyBorder="1" applyAlignment="1" applyProtection="1">
      <alignment horizontal="center" vertical="top"/>
    </xf>
    <xf numFmtId="14" fontId="2" fillId="0" borderId="65" xfId="2" applyNumberFormat="1" applyFont="1" applyBorder="1" applyAlignment="1" applyProtection="1">
      <alignment horizontal="center" vertical="top"/>
    </xf>
    <xf numFmtId="0" fontId="63" fillId="0" borderId="0" xfId="8" applyFont="1" applyAlignment="1" applyProtection="1">
      <alignment horizontal="left" vertical="top"/>
    </xf>
    <xf numFmtId="0" fontId="33" fillId="0" borderId="0" xfId="8" applyFont="1" applyAlignment="1" applyProtection="1">
      <alignment horizontal="right" vertical="center" wrapText="1"/>
    </xf>
    <xf numFmtId="0" fontId="16" fillId="0" borderId="0" xfId="8" applyFont="1" applyAlignment="1" applyProtection="1">
      <alignment horizontal="right" vertical="center" wrapText="1"/>
    </xf>
    <xf numFmtId="0" fontId="1" fillId="0" borderId="0" xfId="8" applyFont="1" applyAlignment="1" applyProtection="1">
      <alignment vertical="center"/>
    </xf>
    <xf numFmtId="0" fontId="1" fillId="5" borderId="0" xfId="8" applyFont="1" applyFill="1" applyAlignment="1" applyProtection="1">
      <alignment vertical="center"/>
    </xf>
    <xf numFmtId="0" fontId="16" fillId="0" borderId="0" xfId="8" applyFont="1" applyAlignment="1" applyProtection="1">
      <alignment horizontal="right" vertical="top" wrapText="1"/>
    </xf>
    <xf numFmtId="0" fontId="65" fillId="5" borderId="0" xfId="8" applyFont="1" applyFill="1" applyAlignment="1" applyProtection="1">
      <alignment horizontal="left"/>
    </xf>
    <xf numFmtId="0" fontId="1" fillId="5" borderId="0" xfId="8" applyFont="1" applyFill="1" applyProtection="1"/>
    <xf numFmtId="0" fontId="1" fillId="0" borderId="0" xfId="8" applyFont="1" applyProtection="1"/>
    <xf numFmtId="0" fontId="11" fillId="0" borderId="0" xfId="8" applyFont="1" applyBorder="1" applyProtection="1"/>
    <xf numFmtId="0" fontId="11" fillId="0" borderId="0" xfId="8" applyFont="1" applyBorder="1" applyAlignment="1" applyProtection="1">
      <alignment horizontal="center"/>
    </xf>
    <xf numFmtId="0" fontId="11" fillId="0" borderId="0" xfId="8" applyFont="1" applyBorder="1" applyAlignment="1" applyProtection="1">
      <alignment horizontal="left"/>
    </xf>
    <xf numFmtId="0" fontId="11" fillId="0" borderId="0" xfId="8" applyFont="1" applyProtection="1"/>
    <xf numFmtId="0" fontId="11" fillId="5" borderId="0" xfId="8" applyFont="1" applyFill="1" applyProtection="1"/>
    <xf numFmtId="0" fontId="6" fillId="0" borderId="0" xfId="8" applyFont="1" applyBorder="1" applyProtection="1"/>
    <xf numFmtId="0" fontId="1" fillId="0" borderId="0" xfId="8" applyFont="1" applyBorder="1" applyProtection="1"/>
    <xf numFmtId="0" fontId="6" fillId="0" borderId="0" xfId="8" applyFont="1" applyBorder="1" applyAlignment="1" applyProtection="1">
      <alignment horizontal="center"/>
    </xf>
    <xf numFmtId="0" fontId="6" fillId="0" borderId="0" xfId="8" applyFont="1" applyFill="1" applyBorder="1" applyAlignment="1" applyProtection="1">
      <alignment horizontal="left"/>
    </xf>
    <xf numFmtId="0" fontId="1" fillId="0" borderId="0" xfId="8" applyFont="1" applyFill="1" applyBorder="1" applyProtection="1"/>
    <xf numFmtId="0" fontId="2" fillId="0" borderId="0" xfId="8" applyNumberFormat="1" applyFont="1" applyBorder="1" applyAlignment="1" applyProtection="1">
      <alignment horizontal="left" vertical="top" wrapText="1"/>
    </xf>
    <xf numFmtId="0" fontId="13" fillId="0" borderId="0" xfId="8" applyFont="1" applyAlignment="1" applyProtection="1">
      <alignment horizontal="center"/>
    </xf>
    <xf numFmtId="0" fontId="8" fillId="0" borderId="0" xfId="8" applyFont="1" applyAlignment="1" applyProtection="1">
      <alignment horizontal="left" vertical="top" wrapText="1"/>
    </xf>
    <xf numFmtId="0" fontId="8" fillId="0" borderId="0" xfId="8" applyFont="1" applyAlignment="1" applyProtection="1">
      <alignment vertical="top" wrapText="1"/>
    </xf>
    <xf numFmtId="0" fontId="25" fillId="0" borderId="0" xfId="8" applyFont="1" applyAlignment="1" applyProtection="1">
      <alignment horizontal="center"/>
    </xf>
    <xf numFmtId="164" fontId="2" fillId="0" borderId="0" xfId="8" applyNumberFormat="1" applyFont="1" applyAlignment="1" applyProtection="1">
      <alignment horizontal="left"/>
    </xf>
    <xf numFmtId="0" fontId="6" fillId="0" borderId="0" xfId="8" applyFont="1" applyAlignment="1" applyProtection="1">
      <alignment horizontal="center"/>
    </xf>
    <xf numFmtId="0" fontId="6" fillId="0" borderId="0" xfId="8" applyFont="1" applyAlignment="1" applyProtection="1">
      <alignment horizontal="left"/>
    </xf>
    <xf numFmtId="0" fontId="67" fillId="5" borderId="0" xfId="8" applyFont="1" applyFill="1" applyProtection="1"/>
    <xf numFmtId="0" fontId="6" fillId="5" borderId="0" xfId="8" applyFont="1" applyFill="1" applyAlignment="1" applyProtection="1">
      <alignment horizontal="center"/>
    </xf>
    <xf numFmtId="0" fontId="6" fillId="5" borderId="0" xfId="8" applyFont="1" applyFill="1" applyAlignment="1" applyProtection="1">
      <alignment horizontal="left"/>
    </xf>
    <xf numFmtId="0" fontId="6" fillId="5" borderId="0" xfId="8" applyFont="1" applyFill="1" applyProtection="1"/>
    <xf numFmtId="0" fontId="0" fillId="0" borderId="0" xfId="0" applyAlignment="1" applyProtection="1">
      <alignment horizontal="right" vertical="center" wrapText="1"/>
    </xf>
    <xf numFmtId="0" fontId="17" fillId="0" borderId="0" xfId="0" applyFont="1" applyBorder="1" applyAlignment="1" applyProtection="1"/>
    <xf numFmtId="0" fontId="17" fillId="5" borderId="0" xfId="0" applyFont="1" applyFill="1" applyBorder="1" applyAlignment="1" applyProtection="1"/>
    <xf numFmtId="0" fontId="66" fillId="0" borderId="0" xfId="0" applyFont="1" applyAlignment="1" applyProtection="1"/>
    <xf numFmtId="0" fontId="22" fillId="0" borderId="0" xfId="0" applyFont="1" applyAlignment="1" applyProtection="1">
      <alignment vertical="top" wrapText="1"/>
    </xf>
    <xf numFmtId="0" fontId="2" fillId="0" borderId="0" xfId="0" applyFont="1" applyAlignment="1" applyProtection="1">
      <alignment horizontal="right" vertical="center" wrapText="1"/>
    </xf>
    <xf numFmtId="0" fontId="33" fillId="0" borderId="0" xfId="8" applyFont="1" applyAlignment="1" applyProtection="1">
      <alignment horizontal="right" vertical="center"/>
    </xf>
    <xf numFmtId="0" fontId="4" fillId="0" borderId="0" xfId="0" applyFont="1"/>
    <xf numFmtId="0" fontId="70" fillId="0" borderId="0" xfId="8" applyFont="1" applyBorder="1" applyProtection="1"/>
    <xf numFmtId="0" fontId="69" fillId="0" borderId="0" xfId="8" applyFont="1" applyBorder="1" applyAlignment="1" applyProtection="1">
      <alignment horizontal="left"/>
    </xf>
    <xf numFmtId="0" fontId="6" fillId="0" borderId="0" xfId="8" applyFont="1" applyBorder="1" applyAlignment="1" applyProtection="1">
      <alignment horizontal="left"/>
    </xf>
    <xf numFmtId="0" fontId="37" fillId="0" borderId="0" xfId="8" applyFont="1" applyBorder="1" applyAlignment="1" applyProtection="1"/>
    <xf numFmtId="0" fontId="73" fillId="0" borderId="0" xfId="8" applyFont="1" applyBorder="1" applyProtection="1"/>
    <xf numFmtId="0" fontId="73" fillId="0" borderId="0" xfId="8" applyFont="1" applyAlignment="1" applyProtection="1">
      <alignment horizontal="left" vertical="top"/>
    </xf>
    <xf numFmtId="0" fontId="71" fillId="0" borderId="104" xfId="8" applyFont="1" applyBorder="1" applyAlignment="1" applyProtection="1">
      <alignment horizontal="left" vertical="top"/>
    </xf>
    <xf numFmtId="0" fontId="63" fillId="0" borderId="104" xfId="8" applyFont="1" applyBorder="1" applyAlignment="1" applyProtection="1">
      <alignment horizontal="left" vertical="top"/>
    </xf>
    <xf numFmtId="0" fontId="0" fillId="0" borderId="104" xfId="0" applyBorder="1" applyAlignment="1" applyProtection="1">
      <alignment horizontal="right" vertical="center" wrapText="1"/>
    </xf>
    <xf numFmtId="0" fontId="72" fillId="0" borderId="104" xfId="0" applyFont="1" applyBorder="1" applyAlignment="1" applyProtection="1">
      <alignment horizontal="right" vertical="center"/>
    </xf>
    <xf numFmtId="0" fontId="0" fillId="0" borderId="104" xfId="0" applyBorder="1"/>
    <xf numFmtId="0" fontId="16" fillId="0" borderId="104" xfId="8" applyFont="1" applyBorder="1" applyAlignment="1" applyProtection="1">
      <alignment horizontal="right" vertical="center" wrapText="1"/>
    </xf>
    <xf numFmtId="0" fontId="64" fillId="0" borderId="0" xfId="8" applyFont="1" applyBorder="1" applyAlignment="1" applyProtection="1">
      <alignment vertical="center" wrapText="1"/>
    </xf>
    <xf numFmtId="0" fontId="0" fillId="0" borderId="0" xfId="0" applyBorder="1" applyAlignment="1" applyProtection="1">
      <alignment horizontal="right" vertical="center" wrapText="1"/>
    </xf>
    <xf numFmtId="0" fontId="66" fillId="0" borderId="0" xfId="0" applyFont="1" applyBorder="1" applyAlignment="1" applyProtection="1"/>
    <xf numFmtId="0" fontId="25" fillId="0" borderId="0" xfId="0" applyFont="1" applyAlignment="1" applyProtection="1">
      <alignment vertical="top" wrapText="1"/>
    </xf>
    <xf numFmtId="0" fontId="64" fillId="0" borderId="104" xfId="8" applyFont="1" applyBorder="1" applyAlignment="1" applyProtection="1">
      <alignment vertical="center" wrapText="1"/>
    </xf>
    <xf numFmtId="0" fontId="17" fillId="0" borderId="0" xfId="8" applyFont="1" applyFill="1" applyAlignment="1" applyProtection="1">
      <alignment vertical="center" wrapText="1"/>
    </xf>
    <xf numFmtId="0" fontId="33" fillId="0" borderId="0" xfId="8" applyFont="1" applyBorder="1" applyProtection="1"/>
    <xf numFmtId="0" fontId="25" fillId="0" borderId="0" xfId="8" applyFont="1" applyFill="1" applyAlignment="1" applyProtection="1">
      <alignment vertical="center" wrapText="1"/>
    </xf>
    <xf numFmtId="0" fontId="25" fillId="0" borderId="0" xfId="0" applyFont="1" applyFill="1" applyAlignment="1" applyProtection="1">
      <alignment horizontal="left" vertical="top" wrapText="1"/>
    </xf>
    <xf numFmtId="0" fontId="22" fillId="0" borderId="0" xfId="0" applyFont="1" applyAlignment="1" applyProtection="1">
      <alignment horizontal="right" vertical="center" wrapText="1"/>
    </xf>
    <xf numFmtId="0" fontId="22" fillId="0" borderId="0" xfId="8" applyFont="1" applyAlignment="1" applyProtection="1">
      <alignment horizontal="right" vertical="center"/>
    </xf>
    <xf numFmtId="0" fontId="16" fillId="0" borderId="0" xfId="8" applyFont="1" applyBorder="1" applyAlignment="1" applyProtection="1">
      <alignment horizontal="right" vertical="top" wrapText="1"/>
    </xf>
    <xf numFmtId="0" fontId="16" fillId="0" borderId="0" xfId="8" applyFont="1" applyBorder="1" applyAlignment="1" applyProtection="1">
      <alignment horizontal="right" vertical="center" wrapText="1"/>
    </xf>
    <xf numFmtId="0" fontId="3" fillId="0" borderId="4" xfId="2" applyFill="1" applyBorder="1" applyProtection="1"/>
    <xf numFmtId="0" fontId="3" fillId="0" borderId="65" xfId="2" applyFill="1" applyBorder="1" applyAlignment="1" applyProtection="1"/>
    <xf numFmtId="0" fontId="25" fillId="0" borderId="0" xfId="3" applyFont="1" applyBorder="1" applyAlignment="1">
      <alignment wrapText="1"/>
    </xf>
    <xf numFmtId="0" fontId="6" fillId="15" borderId="52" xfId="3" applyFont="1" applyFill="1" applyBorder="1" applyAlignment="1" applyProtection="1">
      <alignment wrapText="1"/>
      <protection locked="0"/>
    </xf>
    <xf numFmtId="14" fontId="6" fillId="15" borderId="55" xfId="3" applyNumberFormat="1" applyFont="1" applyFill="1" applyBorder="1" applyAlignment="1" applyProtection="1">
      <alignment horizontal="left" wrapText="1"/>
      <protection locked="0"/>
    </xf>
    <xf numFmtId="0" fontId="6" fillId="15" borderId="55" xfId="3" applyFont="1" applyFill="1" applyBorder="1" applyAlignment="1" applyProtection="1">
      <alignment wrapText="1"/>
      <protection locked="0"/>
    </xf>
    <xf numFmtId="0" fontId="6" fillId="15" borderId="57" xfId="3" applyFont="1" applyFill="1" applyBorder="1" applyAlignment="1" applyProtection="1">
      <alignment wrapText="1"/>
      <protection locked="0"/>
    </xf>
    <xf numFmtId="0" fontId="6" fillId="15" borderId="57" xfId="3" applyFont="1" applyFill="1" applyBorder="1" applyAlignment="1" applyProtection="1">
      <alignment horizontal="left" wrapText="1"/>
      <protection locked="0"/>
    </xf>
    <xf numFmtId="0" fontId="6" fillId="15" borderId="65" xfId="3" applyFont="1" applyFill="1" applyBorder="1" applyAlignment="1" applyProtection="1">
      <alignment horizontal="left" wrapText="1"/>
      <protection locked="0"/>
    </xf>
    <xf numFmtId="0" fontId="6" fillId="15" borderId="105" xfId="3" applyFont="1" applyFill="1" applyBorder="1" applyAlignment="1" applyProtection="1">
      <alignment horizontal="left" wrapText="1"/>
      <protection locked="0"/>
    </xf>
    <xf numFmtId="0" fontId="6" fillId="15" borderId="108" xfId="3" applyFont="1" applyFill="1" applyBorder="1" applyAlignment="1" applyProtection="1">
      <alignment horizontal="left" wrapText="1"/>
      <protection locked="0"/>
    </xf>
    <xf numFmtId="0" fontId="16" fillId="0" borderId="0" xfId="8" applyFont="1" applyBorder="1" applyProtection="1"/>
    <xf numFmtId="0" fontId="33" fillId="0" borderId="0" xfId="8" applyFont="1" applyBorder="1" applyAlignment="1" applyProtection="1">
      <alignment horizontal="left"/>
    </xf>
    <xf numFmtId="0" fontId="3" fillId="0" borderId="0" xfId="2" applyFill="1" applyAlignment="1" applyProtection="1">
      <alignment vertical="center"/>
    </xf>
    <xf numFmtId="0" fontId="6" fillId="15" borderId="107" xfId="3" applyFont="1" applyFill="1" applyBorder="1" applyAlignment="1" applyProtection="1">
      <alignment wrapText="1"/>
      <protection locked="0"/>
    </xf>
    <xf numFmtId="0" fontId="25" fillId="0" borderId="0" xfId="3" applyFont="1" applyFill="1" applyBorder="1" applyAlignment="1">
      <alignment wrapText="1"/>
    </xf>
    <xf numFmtId="0" fontId="3" fillId="0" borderId="0" xfId="2" applyAlignment="1" applyProtection="1">
      <alignment vertical="center"/>
    </xf>
    <xf numFmtId="0" fontId="24" fillId="11" borderId="49" xfId="7" applyFont="1" applyFill="1" applyBorder="1" applyAlignment="1">
      <alignment vertical="center"/>
    </xf>
    <xf numFmtId="0" fontId="24" fillId="11" borderId="32" xfId="7" applyFont="1" applyFill="1" applyBorder="1" applyAlignment="1">
      <alignment vertical="center"/>
    </xf>
    <xf numFmtId="0" fontId="35" fillId="11" borderId="32" xfId="7" applyFont="1" applyFill="1" applyBorder="1" applyAlignment="1">
      <alignment vertical="center"/>
    </xf>
    <xf numFmtId="0" fontId="35" fillId="11" borderId="63" xfId="7" applyFont="1" applyFill="1" applyBorder="1" applyAlignment="1">
      <alignment vertical="center"/>
    </xf>
    <xf numFmtId="9" fontId="6" fillId="9" borderId="0" xfId="5" applyNumberFormat="1" applyFont="1" applyFill="1" applyBorder="1" applyAlignment="1" applyProtection="1">
      <alignment vertical="center"/>
    </xf>
    <xf numFmtId="9" fontId="6" fillId="0" borderId="0" xfId="5" applyNumberFormat="1" applyFont="1" applyFill="1" applyBorder="1" applyAlignment="1" applyProtection="1">
      <alignment vertical="center"/>
    </xf>
    <xf numFmtId="0" fontId="17" fillId="0" borderId="0" xfId="8" applyFont="1" applyFill="1" applyAlignment="1" applyProtection="1">
      <alignment vertical="center"/>
    </xf>
    <xf numFmtId="0" fontId="3" fillId="0" borderId="0" xfId="5" applyAlignment="1" applyProtection="1">
      <alignment horizontal="center" vertical="center"/>
    </xf>
    <xf numFmtId="0" fontId="3" fillId="0" borderId="0" xfId="5" applyFont="1" applyBorder="1" applyAlignment="1" applyProtection="1">
      <alignment horizontal="center" vertical="center"/>
    </xf>
    <xf numFmtId="0" fontId="3" fillId="0" borderId="0" xfId="5" applyBorder="1" applyAlignment="1" applyProtection="1">
      <alignment horizontal="center" vertical="center"/>
    </xf>
    <xf numFmtId="0" fontId="2" fillId="0" borderId="0" xfId="0" applyFont="1" applyAlignment="1">
      <alignment wrapText="1"/>
    </xf>
    <xf numFmtId="0" fontId="0" fillId="0" borderId="109" xfId="0" applyBorder="1"/>
    <xf numFmtId="0" fontId="2" fillId="0" borderId="0" xfId="0" applyFont="1" applyBorder="1" applyProtection="1"/>
    <xf numFmtId="0" fontId="0" fillId="0" borderId="4" xfId="0" applyBorder="1"/>
    <xf numFmtId="0" fontId="17" fillId="0" borderId="4" xfId="0" applyFont="1" applyBorder="1" applyAlignment="1" applyProtection="1"/>
    <xf numFmtId="0" fontId="17" fillId="5" borderId="4" xfId="0" applyFont="1" applyFill="1" applyBorder="1" applyAlignment="1" applyProtection="1"/>
    <xf numFmtId="0" fontId="11" fillId="5" borderId="4" xfId="8" applyFont="1" applyFill="1" applyBorder="1" applyProtection="1"/>
    <xf numFmtId="0" fontId="11" fillId="5" borderId="0" xfId="8" applyFont="1" applyFill="1" applyBorder="1" applyProtection="1"/>
    <xf numFmtId="0" fontId="68" fillId="0" borderId="110" xfId="8" applyFont="1" applyBorder="1" applyAlignment="1" applyProtection="1">
      <alignment horizontal="right"/>
    </xf>
    <xf numFmtId="0" fontId="11" fillId="0" borderId="110" xfId="8" applyFont="1" applyBorder="1" applyAlignment="1" applyProtection="1">
      <alignment horizontal="left"/>
    </xf>
    <xf numFmtId="0" fontId="68" fillId="0" borderId="110" xfId="0" applyFont="1" applyBorder="1" applyAlignment="1" applyProtection="1">
      <alignment horizontal="right"/>
    </xf>
    <xf numFmtId="49" fontId="68" fillId="0" borderId="110" xfId="0" applyNumberFormat="1" applyFont="1" applyBorder="1" applyAlignment="1" applyProtection="1"/>
    <xf numFmtId="14" fontId="3" fillId="0" borderId="0" xfId="6" applyNumberFormat="1" applyFont="1" applyBorder="1" applyAlignment="1" applyProtection="1"/>
    <xf numFmtId="0" fontId="17" fillId="0" borderId="0" xfId="8" applyFont="1" applyBorder="1" applyProtection="1"/>
    <xf numFmtId="14" fontId="4" fillId="0" borderId="0" xfId="6" applyNumberFormat="1" applyFont="1" applyBorder="1" applyAlignment="1" applyProtection="1">
      <alignment vertical="top" wrapText="1"/>
    </xf>
    <xf numFmtId="0" fontId="11" fillId="0" borderId="110" xfId="8" applyFont="1" applyBorder="1" applyProtection="1"/>
    <xf numFmtId="0" fontId="6" fillId="15" borderId="58" xfId="3" applyFont="1" applyFill="1" applyBorder="1" applyAlignment="1" applyProtection="1">
      <alignment horizontal="left" wrapText="1"/>
      <protection locked="0"/>
    </xf>
    <xf numFmtId="0" fontId="25" fillId="0" borderId="0" xfId="0" applyFont="1" applyBorder="1" applyAlignment="1">
      <alignment horizontal="right" wrapText="1"/>
    </xf>
    <xf numFmtId="0" fontId="6" fillId="0" borderId="0" xfId="2" applyFont="1" applyBorder="1" applyAlignment="1" applyProtection="1">
      <alignment horizontal="left" vertical="center"/>
    </xf>
    <xf numFmtId="0" fontId="6" fillId="11" borderId="49" xfId="2" applyFont="1" applyFill="1" applyBorder="1" applyAlignment="1" applyProtection="1">
      <alignment vertical="center"/>
    </xf>
    <xf numFmtId="0" fontId="56" fillId="11" borderId="32" xfId="2" applyFont="1" applyFill="1" applyBorder="1" applyAlignment="1" applyProtection="1">
      <alignment vertical="center"/>
    </xf>
    <xf numFmtId="0" fontId="57" fillId="11" borderId="32" xfId="2" applyFont="1" applyFill="1" applyBorder="1" applyAlignment="1" applyProtection="1">
      <alignment vertical="center"/>
    </xf>
    <xf numFmtId="0" fontId="57" fillId="11" borderId="63" xfId="2" applyFont="1" applyFill="1" applyBorder="1" applyAlignment="1" applyProtection="1">
      <alignment vertical="center"/>
    </xf>
    <xf numFmtId="0" fontId="25" fillId="11" borderId="14" xfId="2" applyFont="1" applyFill="1" applyBorder="1" applyAlignment="1" applyProtection="1">
      <alignment vertical="top" wrapText="1"/>
    </xf>
    <xf numFmtId="0" fontId="25" fillId="11" borderId="14" xfId="2" applyFont="1" applyFill="1" applyBorder="1" applyAlignment="1" applyProtection="1">
      <alignment vertical="top"/>
    </xf>
    <xf numFmtId="9" fontId="16" fillId="0" borderId="14" xfId="2" applyNumberFormat="1" applyFont="1" applyFill="1" applyBorder="1" applyAlignment="1" applyProtection="1">
      <alignment horizontal="center" vertical="center"/>
    </xf>
    <xf numFmtId="0" fontId="16" fillId="0" borderId="14" xfId="2" applyNumberFormat="1" applyFont="1" applyFill="1" applyBorder="1" applyAlignment="1" applyProtection="1">
      <alignment horizontal="center" vertical="center"/>
    </xf>
    <xf numFmtId="0" fontId="56" fillId="11" borderId="63" xfId="2" applyFont="1" applyFill="1" applyBorder="1" applyAlignment="1" applyProtection="1">
      <alignment vertical="center"/>
    </xf>
    <xf numFmtId="9" fontId="74" fillId="11" borderId="14" xfId="2" applyNumberFormat="1" applyFont="1" applyFill="1" applyBorder="1" applyAlignment="1" applyProtection="1">
      <alignment horizontal="center" vertical="center"/>
    </xf>
    <xf numFmtId="1" fontId="74" fillId="11" borderId="14" xfId="2" applyNumberFormat="1" applyFont="1" applyFill="1" applyBorder="1" applyAlignment="1" applyProtection="1">
      <alignment horizontal="center" vertical="center"/>
    </xf>
    <xf numFmtId="0" fontId="4" fillId="0" borderId="60" xfId="2" applyFont="1" applyFill="1" applyBorder="1" applyAlignment="1" applyProtection="1">
      <alignment horizontal="center" vertical="center"/>
    </xf>
    <xf numFmtId="9" fontId="4" fillId="0" borderId="60" xfId="2" applyNumberFormat="1" applyFont="1" applyFill="1" applyBorder="1" applyAlignment="1" applyProtection="1">
      <alignment horizontal="center" vertical="top"/>
    </xf>
    <xf numFmtId="0" fontId="4" fillId="0" borderId="60" xfId="2" applyNumberFormat="1" applyFont="1" applyFill="1" applyBorder="1" applyAlignment="1" applyProtection="1">
      <alignment horizontal="center" vertical="top"/>
    </xf>
    <xf numFmtId="0" fontId="4" fillId="0" borderId="61" xfId="2" applyFont="1" applyFill="1" applyBorder="1" applyAlignment="1" applyProtection="1">
      <alignment horizontal="center" vertical="center"/>
    </xf>
    <xf numFmtId="9" fontId="4" fillId="0" borderId="61" xfId="2" applyNumberFormat="1" applyFont="1" applyFill="1" applyBorder="1" applyAlignment="1" applyProtection="1">
      <alignment horizontal="center" vertical="top"/>
    </xf>
    <xf numFmtId="0" fontId="4" fillId="0" borderId="61" xfId="2" applyNumberFormat="1" applyFont="1" applyFill="1" applyBorder="1" applyAlignment="1" applyProtection="1">
      <alignment horizontal="center" vertical="top"/>
    </xf>
    <xf numFmtId="0" fontId="4" fillId="0" borderId="62" xfId="2" applyFont="1" applyFill="1" applyBorder="1" applyAlignment="1" applyProtection="1">
      <alignment horizontal="center" vertical="center"/>
    </xf>
    <xf numFmtId="9" fontId="4" fillId="0" borderId="62" xfId="2" applyNumberFormat="1" applyFont="1" applyFill="1" applyBorder="1" applyAlignment="1" applyProtection="1">
      <alignment horizontal="center" vertical="top"/>
    </xf>
    <xf numFmtId="0" fontId="4" fillId="0" borderId="62" xfId="2" applyNumberFormat="1" applyFont="1" applyFill="1" applyBorder="1" applyAlignment="1" applyProtection="1">
      <alignment horizontal="center" vertical="top"/>
    </xf>
    <xf numFmtId="0" fontId="3" fillId="11" borderId="3" xfId="2" applyFont="1" applyFill="1" applyBorder="1" applyAlignment="1" applyProtection="1">
      <alignment horizontal="center" vertical="center" wrapText="1"/>
    </xf>
    <xf numFmtId="0" fontId="3" fillId="11" borderId="14" xfId="2" applyFont="1" applyFill="1" applyBorder="1" applyAlignment="1" applyProtection="1">
      <alignment horizontal="center" vertical="center" wrapText="1"/>
    </xf>
    <xf numFmtId="14" fontId="38" fillId="0" borderId="62" xfId="2" applyNumberFormat="1" applyFont="1" applyBorder="1" applyAlignment="1" applyProtection="1">
      <alignment horizontal="left" vertical="top"/>
    </xf>
    <xf numFmtId="0" fontId="38" fillId="0" borderId="62" xfId="2" applyFont="1" applyBorder="1" applyAlignment="1" applyProtection="1">
      <alignment horizontal="left" vertical="top"/>
    </xf>
    <xf numFmtId="0" fontId="11" fillId="11" borderId="19" xfId="2" applyFont="1" applyFill="1" applyBorder="1" applyProtection="1"/>
    <xf numFmtId="0" fontId="11" fillId="11" borderId="3" xfId="2" applyFont="1" applyFill="1" applyBorder="1" applyProtection="1"/>
    <xf numFmtId="0" fontId="2" fillId="0" borderId="111" xfId="2" applyFont="1" applyFill="1" applyBorder="1" applyAlignment="1" applyProtection="1">
      <alignment horizontal="left" vertical="center"/>
    </xf>
    <xf numFmtId="14" fontId="2" fillId="0" borderId="111" xfId="2" applyNumberFormat="1" applyFont="1" applyBorder="1" applyAlignment="1" applyProtection="1">
      <alignment vertical="center"/>
    </xf>
    <xf numFmtId="0" fontId="2" fillId="0" borderId="112" xfId="2" applyFont="1" applyFill="1" applyBorder="1" applyAlignment="1" applyProtection="1">
      <alignment horizontal="center" vertical="center"/>
    </xf>
    <xf numFmtId="14" fontId="2" fillId="0" borderId="55" xfId="2" applyNumberFormat="1" applyFont="1" applyBorder="1" applyAlignment="1" applyProtection="1">
      <alignment horizontal="left" vertical="center"/>
    </xf>
    <xf numFmtId="14" fontId="2" fillId="0" borderId="55" xfId="2" applyNumberFormat="1" applyFont="1" applyBorder="1" applyAlignment="1" applyProtection="1">
      <alignment vertical="center"/>
    </xf>
    <xf numFmtId="0" fontId="2" fillId="0" borderId="56" xfId="2" applyFont="1" applyFill="1" applyBorder="1" applyAlignment="1" applyProtection="1">
      <alignment horizontal="center" vertical="center"/>
    </xf>
    <xf numFmtId="0" fontId="2" fillId="0" borderId="56" xfId="2" applyFont="1" applyFill="1" applyBorder="1" applyAlignment="1" applyProtection="1">
      <alignment horizontal="left" vertical="center"/>
    </xf>
    <xf numFmtId="14" fontId="2" fillId="0" borderId="57" xfId="2" applyNumberFormat="1" applyFont="1" applyBorder="1" applyAlignment="1" applyProtection="1">
      <alignment horizontal="left" vertical="center"/>
    </xf>
    <xf numFmtId="14" fontId="2" fillId="0" borderId="58" xfId="2" applyNumberFormat="1" applyFont="1" applyBorder="1" applyAlignment="1" applyProtection="1">
      <alignment vertical="top"/>
    </xf>
    <xf numFmtId="14" fontId="2" fillId="0" borderId="57" xfId="2" applyNumberFormat="1" applyFont="1" applyBorder="1" applyAlignment="1" applyProtection="1">
      <alignment vertical="center"/>
    </xf>
    <xf numFmtId="14" fontId="2" fillId="0" borderId="58" xfId="2" applyNumberFormat="1" applyFont="1" applyBorder="1" applyAlignment="1" applyProtection="1">
      <alignment horizontal="center" vertical="top"/>
    </xf>
    <xf numFmtId="0" fontId="2" fillId="0" borderId="59" xfId="2" applyFont="1" applyFill="1" applyBorder="1" applyAlignment="1" applyProtection="1">
      <alignment horizontal="center" vertical="center"/>
    </xf>
    <xf numFmtId="0" fontId="2" fillId="0" borderId="59" xfId="2" applyFont="1" applyFill="1" applyBorder="1" applyAlignment="1" applyProtection="1">
      <alignment horizontal="left" vertical="center"/>
    </xf>
    <xf numFmtId="0" fontId="6" fillId="0" borderId="0" xfId="2" applyFont="1" applyFill="1" applyProtection="1"/>
    <xf numFmtId="0" fontId="25" fillId="0" borderId="4" xfId="2" applyFont="1" applyBorder="1" applyAlignment="1" applyProtection="1"/>
    <xf numFmtId="164" fontId="25" fillId="0" borderId="4" xfId="2" applyNumberFormat="1" applyFont="1" applyBorder="1" applyAlignment="1" applyProtection="1"/>
    <xf numFmtId="0" fontId="6" fillId="0" borderId="0" xfId="2" applyFont="1" applyBorder="1" applyAlignment="1" applyProtection="1">
      <alignment vertical="center"/>
    </xf>
    <xf numFmtId="0" fontId="25" fillId="0" borderId="0" xfId="2" applyFont="1" applyBorder="1" applyAlignment="1" applyProtection="1">
      <alignment vertical="center" wrapText="1"/>
    </xf>
    <xf numFmtId="0" fontId="25" fillId="0" borderId="0" xfId="2" applyFont="1" applyBorder="1" applyAlignment="1" applyProtection="1">
      <alignment vertical="center"/>
    </xf>
    <xf numFmtId="14" fontId="25" fillId="0" borderId="0" xfId="2" applyNumberFormat="1" applyFont="1" applyBorder="1" applyAlignment="1" applyProtection="1">
      <alignment horizontal="left" vertical="center"/>
    </xf>
    <xf numFmtId="14" fontId="25" fillId="0" borderId="0" xfId="2" applyNumberFormat="1" applyFont="1" applyBorder="1" applyAlignment="1" applyProtection="1">
      <alignment horizontal="left" vertical="top"/>
    </xf>
    <xf numFmtId="0" fontId="6" fillId="0" borderId="0" xfId="2" applyFont="1" applyBorder="1" applyAlignment="1" applyProtection="1">
      <alignment horizontal="left" vertical="center" wrapText="1"/>
    </xf>
    <xf numFmtId="0" fontId="25" fillId="0" borderId="0" xfId="2" applyNumberFormat="1" applyFont="1" applyBorder="1" applyAlignment="1" applyProtection="1">
      <alignment horizontal="left" vertical="top"/>
    </xf>
    <xf numFmtId="0" fontId="25" fillId="0" borderId="0" xfId="2" applyFont="1" applyBorder="1" applyAlignment="1" applyProtection="1">
      <alignment horizontal="left" vertical="top"/>
    </xf>
    <xf numFmtId="0" fontId="25" fillId="0" borderId="0" xfId="2" applyFont="1" applyBorder="1" applyAlignment="1" applyProtection="1"/>
    <xf numFmtId="0" fontId="25" fillId="0" borderId="0" xfId="2" applyFont="1" applyBorder="1" applyAlignment="1" applyProtection="1">
      <alignment vertical="top"/>
    </xf>
    <xf numFmtId="0" fontId="25" fillId="0" borderId="0" xfId="2" applyFont="1" applyFill="1" applyBorder="1" applyProtection="1"/>
    <xf numFmtId="0" fontId="1" fillId="0" borderId="0" xfId="2" applyFont="1" applyFill="1" applyBorder="1" applyAlignment="1" applyProtection="1">
      <alignment wrapText="1"/>
    </xf>
    <xf numFmtId="0" fontId="25" fillId="0" borderId="4" xfId="2" applyFont="1" applyFill="1" applyBorder="1" applyAlignment="1" applyProtection="1"/>
    <xf numFmtId="0" fontId="25" fillId="0" borderId="0" xfId="2" applyFont="1" applyFill="1" applyBorder="1" applyAlignment="1" applyProtection="1">
      <alignment vertical="center"/>
    </xf>
    <xf numFmtId="0" fontId="3" fillId="0" borderId="0" xfId="2" applyFont="1" applyFill="1" applyBorder="1" applyAlignment="1" applyProtection="1">
      <alignment vertical="center"/>
    </xf>
    <xf numFmtId="0" fontId="25" fillId="0" borderId="3" xfId="2" applyFont="1" applyFill="1" applyBorder="1" applyAlignment="1" applyProtection="1"/>
    <xf numFmtId="0" fontId="2" fillId="0" borderId="0" xfId="0" applyFont="1" applyFill="1" applyAlignment="1">
      <alignment vertical="top"/>
    </xf>
    <xf numFmtId="0" fontId="3" fillId="17" borderId="22" xfId="5" applyFill="1" applyBorder="1" applyProtection="1"/>
    <xf numFmtId="0" fontId="3" fillId="17" borderId="32" xfId="5" applyFill="1" applyBorder="1" applyProtection="1"/>
    <xf numFmtId="0" fontId="3" fillId="17" borderId="36" xfId="5" applyFill="1" applyBorder="1" applyProtection="1"/>
    <xf numFmtId="1" fontId="1" fillId="9" borderId="0" xfId="5" applyNumberFormat="1" applyFont="1" applyFill="1" applyBorder="1" applyAlignment="1" applyProtection="1">
      <alignment vertical="center"/>
    </xf>
    <xf numFmtId="0" fontId="2" fillId="9" borderId="0" xfId="9" applyFill="1" applyBorder="1" applyProtection="1"/>
    <xf numFmtId="0" fontId="2" fillId="9" borderId="0" xfId="9" applyFill="1" applyBorder="1" applyAlignment="1" applyProtection="1"/>
    <xf numFmtId="0" fontId="2" fillId="0" borderId="0" xfId="9" applyBorder="1" applyProtection="1"/>
    <xf numFmtId="0" fontId="2" fillId="0" borderId="6" xfId="9" applyBorder="1" applyProtection="1"/>
    <xf numFmtId="0" fontId="2" fillId="0" borderId="0" xfId="9" applyProtection="1"/>
    <xf numFmtId="0" fontId="3" fillId="0" borderId="7" xfId="5" applyBorder="1" applyAlignment="1" applyProtection="1">
      <alignment horizontal="right"/>
    </xf>
    <xf numFmtId="0" fontId="6" fillId="9" borderId="0" xfId="9" applyFont="1" applyFill="1" applyBorder="1" applyAlignment="1" applyProtection="1">
      <alignment vertical="center"/>
    </xf>
    <xf numFmtId="0" fontId="11" fillId="9" borderId="0" xfId="9" applyFont="1" applyFill="1" applyBorder="1" applyAlignment="1" applyProtection="1">
      <alignment vertical="center"/>
    </xf>
    <xf numFmtId="0" fontId="45" fillId="9" borderId="0" xfId="9" applyFont="1" applyFill="1" applyBorder="1" applyAlignment="1" applyProtection="1">
      <alignment vertical="center"/>
    </xf>
    <xf numFmtId="0" fontId="6" fillId="9" borderId="0" xfId="9" applyFont="1" applyFill="1" applyBorder="1" applyAlignment="1" applyProtection="1"/>
    <xf numFmtId="1" fontId="6" fillId="9" borderId="0" xfId="5" applyNumberFormat="1" applyFont="1" applyFill="1" applyBorder="1" applyAlignment="1" applyProtection="1">
      <alignment vertical="center" wrapText="1"/>
    </xf>
    <xf numFmtId="0" fontId="4" fillId="9" borderId="0" xfId="9" applyFont="1" applyFill="1" applyBorder="1" applyAlignment="1" applyProtection="1">
      <alignment vertical="center"/>
    </xf>
    <xf numFmtId="0" fontId="15" fillId="0" borderId="0" xfId="9" applyFont="1" applyBorder="1" applyAlignment="1" applyProtection="1">
      <alignment horizontal="center" vertical="center"/>
    </xf>
    <xf numFmtId="0" fontId="6" fillId="0" borderId="0" xfId="9" applyFont="1" applyBorder="1" applyAlignment="1" applyProtection="1">
      <alignment vertical="center" wrapText="1"/>
    </xf>
    <xf numFmtId="0" fontId="2" fillId="0" borderId="6" xfId="9" applyBorder="1" applyAlignment="1" applyProtection="1">
      <alignment horizontal="center" vertical="center"/>
    </xf>
    <xf numFmtId="0" fontId="2" fillId="0" borderId="0" xfId="9" applyAlignment="1" applyProtection="1">
      <alignment horizontal="center" vertical="center"/>
    </xf>
    <xf numFmtId="0" fontId="1" fillId="11" borderId="20" xfId="5" applyFont="1" applyFill="1" applyBorder="1" applyAlignment="1" applyProtection="1">
      <alignment vertical="center"/>
    </xf>
    <xf numFmtId="0" fontId="8" fillId="9" borderId="11" xfId="5" applyFont="1" applyFill="1" applyBorder="1" applyAlignment="1" applyProtection="1">
      <alignment vertical="center"/>
    </xf>
    <xf numFmtId="0" fontId="13" fillId="9" borderId="11" xfId="5" applyFont="1" applyFill="1" applyBorder="1" applyAlignment="1" applyProtection="1">
      <alignment vertical="center"/>
    </xf>
    <xf numFmtId="0" fontId="3" fillId="9" borderId="11" xfId="5" applyFill="1" applyBorder="1" applyAlignment="1" applyProtection="1">
      <alignment vertical="center"/>
    </xf>
    <xf numFmtId="0" fontId="2" fillId="9" borderId="11" xfId="9" applyFill="1" applyBorder="1" applyAlignment="1" applyProtection="1">
      <alignment vertical="center"/>
    </xf>
    <xf numFmtId="0" fontId="2" fillId="9" borderId="34" xfId="9" applyFill="1" applyBorder="1" applyAlignment="1" applyProtection="1">
      <alignment vertical="center"/>
    </xf>
    <xf numFmtId="0" fontId="2" fillId="0" borderId="0" xfId="9" applyBorder="1" applyAlignment="1" applyProtection="1"/>
    <xf numFmtId="0" fontId="1" fillId="11" borderId="18" xfId="5" applyFont="1" applyFill="1" applyBorder="1" applyAlignment="1" applyProtection="1">
      <alignment vertical="center"/>
    </xf>
    <xf numFmtId="0" fontId="8" fillId="9" borderId="0" xfId="5" applyFont="1" applyFill="1" applyBorder="1" applyAlignment="1" applyProtection="1">
      <alignment vertical="center"/>
    </xf>
    <xf numFmtId="0" fontId="13" fillId="9" borderId="0" xfId="5" applyFont="1" applyFill="1" applyBorder="1" applyAlignment="1" applyProtection="1">
      <alignment vertical="center"/>
    </xf>
    <xf numFmtId="0" fontId="15" fillId="9" borderId="0" xfId="5" applyFont="1" applyFill="1" applyBorder="1" applyAlignment="1" applyProtection="1">
      <alignment vertical="center"/>
    </xf>
    <xf numFmtId="0" fontId="15" fillId="9" borderId="6" xfId="5" applyFont="1" applyFill="1" applyBorder="1" applyAlignment="1" applyProtection="1">
      <alignment vertical="center"/>
    </xf>
    <xf numFmtId="0" fontId="10" fillId="0" borderId="0" xfId="9" applyFont="1" applyBorder="1" applyProtection="1"/>
    <xf numFmtId="0" fontId="1" fillId="5" borderId="18" xfId="5" applyFont="1" applyFill="1" applyBorder="1" applyAlignment="1" applyProtection="1">
      <alignment vertical="center"/>
    </xf>
    <xf numFmtId="0" fontId="15" fillId="9" borderId="0" xfId="9" applyFont="1" applyFill="1" applyBorder="1" applyAlignment="1" applyProtection="1">
      <alignment vertical="center"/>
    </xf>
    <xf numFmtId="0" fontId="6" fillId="0" borderId="0" xfId="5" applyFont="1" applyBorder="1" applyAlignment="1" applyProtection="1">
      <alignment vertical="top"/>
    </xf>
    <xf numFmtId="9" fontId="40" fillId="0" borderId="0" xfId="9" applyNumberFormat="1" applyFont="1" applyFill="1" applyBorder="1" applyAlignment="1" applyProtection="1">
      <alignment vertical="center"/>
    </xf>
    <xf numFmtId="0" fontId="1" fillId="5" borderId="47" xfId="5" applyFont="1" applyFill="1" applyBorder="1" applyAlignment="1" applyProtection="1">
      <alignment vertical="center"/>
    </xf>
    <xf numFmtId="0" fontId="8" fillId="9" borderId="9" xfId="5" applyFont="1" applyFill="1" applyBorder="1" applyAlignment="1" applyProtection="1">
      <alignment vertical="center"/>
    </xf>
    <xf numFmtId="0" fontId="13" fillId="9" borderId="9" xfId="5" applyFont="1" applyFill="1" applyBorder="1" applyAlignment="1" applyProtection="1">
      <alignment vertical="center"/>
    </xf>
    <xf numFmtId="0" fontId="3" fillId="9" borderId="9" xfId="5" applyFill="1" applyBorder="1" applyAlignment="1" applyProtection="1">
      <alignment vertical="center"/>
    </xf>
    <xf numFmtId="0" fontId="15" fillId="9" borderId="9" xfId="5" applyFont="1" applyFill="1" applyBorder="1" applyAlignment="1" applyProtection="1">
      <alignment vertical="center"/>
    </xf>
    <xf numFmtId="0" fontId="15" fillId="9" borderId="10" xfId="5" applyFont="1" applyFill="1" applyBorder="1" applyAlignment="1" applyProtection="1">
      <alignment vertical="center"/>
    </xf>
    <xf numFmtId="1" fontId="1" fillId="0" borderId="0" xfId="9" applyNumberFormat="1" applyFont="1" applyBorder="1" applyAlignment="1" applyProtection="1">
      <alignment horizontal="center" vertical="center"/>
    </xf>
    <xf numFmtId="1" fontId="1" fillId="0" borderId="6" xfId="9" applyNumberFormat="1" applyFont="1" applyBorder="1" applyAlignment="1" applyProtection="1">
      <alignment horizontal="center" vertical="center"/>
    </xf>
    <xf numFmtId="0" fontId="1" fillId="0" borderId="0" xfId="9" applyFont="1" applyBorder="1" applyAlignment="1" applyProtection="1">
      <alignment horizontal="center" vertical="center"/>
    </xf>
    <xf numFmtId="0" fontId="3" fillId="0" borderId="0" xfId="9" applyFont="1" applyBorder="1" applyAlignment="1" applyProtection="1">
      <alignment horizontal="left" vertical="center"/>
    </xf>
    <xf numFmtId="0" fontId="1" fillId="9" borderId="0" xfId="9" applyFont="1" applyFill="1" applyBorder="1" applyProtection="1"/>
    <xf numFmtId="0" fontId="2" fillId="9" borderId="0" xfId="9" applyFont="1" applyFill="1" applyBorder="1" applyProtection="1"/>
    <xf numFmtId="0" fontId="13" fillId="0" borderId="9" xfId="9" applyFont="1" applyBorder="1" applyProtection="1"/>
    <xf numFmtId="0" fontId="2" fillId="0" borderId="9" xfId="9" applyBorder="1" applyProtection="1"/>
    <xf numFmtId="0" fontId="2" fillId="0" borderId="10" xfId="9" applyBorder="1" applyProtection="1"/>
    <xf numFmtId="0" fontId="0" fillId="0" borderId="0" xfId="0" applyFill="1" applyBorder="1"/>
    <xf numFmtId="0" fontId="21" fillId="0" borderId="0" xfId="5" applyFont="1" applyBorder="1" applyAlignment="1" applyProtection="1">
      <alignment horizontal="center" vertical="center"/>
    </xf>
    <xf numFmtId="49" fontId="8" fillId="12" borderId="0" xfId="5" applyNumberFormat="1" applyFont="1" applyFill="1" applyBorder="1" applyAlignment="1" applyProtection="1">
      <alignment horizontal="center" vertical="center"/>
    </xf>
    <xf numFmtId="49" fontId="8" fillId="12" borderId="0" xfId="5" quotePrefix="1" applyNumberFormat="1" applyFont="1" applyFill="1" applyBorder="1" applyAlignment="1" applyProtection="1">
      <alignment vertical="center"/>
    </xf>
    <xf numFmtId="0" fontId="2" fillId="12" borderId="0" xfId="5" applyFont="1" applyFill="1" applyBorder="1" applyAlignment="1" applyProtection="1">
      <alignment vertical="center"/>
    </xf>
    <xf numFmtId="0" fontId="13" fillId="12" borderId="0" xfId="5" applyFont="1" applyFill="1" applyBorder="1" applyAlignment="1" applyProtection="1">
      <alignment vertical="center"/>
    </xf>
    <xf numFmtId="0" fontId="3" fillId="12" borderId="0" xfId="5" applyFill="1" applyBorder="1" applyAlignment="1" applyProtection="1">
      <alignment vertical="center"/>
    </xf>
    <xf numFmtId="0" fontId="3" fillId="12" borderId="14" xfId="5" applyFont="1" applyFill="1" applyBorder="1" applyAlignment="1" applyProtection="1">
      <alignment horizontal="center" vertical="center"/>
    </xf>
    <xf numFmtId="0" fontId="3" fillId="0" borderId="4" xfId="5" applyBorder="1" applyAlignment="1" applyProtection="1">
      <alignment wrapText="1"/>
    </xf>
    <xf numFmtId="0" fontId="3" fillId="0" borderId="27" xfId="5" applyBorder="1" applyProtection="1"/>
    <xf numFmtId="0" fontId="3" fillId="0" borderId="4" xfId="5" applyFill="1" applyBorder="1" applyAlignment="1" applyProtection="1">
      <alignment vertical="center"/>
    </xf>
    <xf numFmtId="0" fontId="2" fillId="0" borderId="4" xfId="5" applyFont="1" applyFill="1" applyBorder="1" applyAlignment="1" applyProtection="1">
      <alignment horizontal="center" vertical="center"/>
    </xf>
    <xf numFmtId="0" fontId="0" fillId="0" borderId="4" xfId="0" applyFill="1" applyBorder="1" applyProtection="1"/>
    <xf numFmtId="0" fontId="2" fillId="0" borderId="4" xfId="5" applyFont="1" applyBorder="1" applyAlignment="1" applyProtection="1">
      <alignment horizontal="center" vertical="center"/>
    </xf>
    <xf numFmtId="0" fontId="0" fillId="0" borderId="4" xfId="0" applyBorder="1" applyProtection="1"/>
    <xf numFmtId="0" fontId="10" fillId="0" borderId="4" xfId="0" applyFont="1" applyBorder="1" applyProtection="1"/>
    <xf numFmtId="0" fontId="0" fillId="0" borderId="38" xfId="0" applyBorder="1" applyProtection="1"/>
    <xf numFmtId="0" fontId="8" fillId="0" borderId="0" xfId="5" applyFont="1" applyAlignment="1" applyProtection="1">
      <alignment horizontal="center"/>
    </xf>
    <xf numFmtId="0" fontId="14" fillId="0" borderId="0" xfId="0" applyFont="1" applyBorder="1" applyAlignment="1" applyProtection="1">
      <alignment horizontal="left" vertical="center"/>
    </xf>
    <xf numFmtId="0" fontId="0" fillId="11" borderId="0" xfId="0" applyFill="1"/>
    <xf numFmtId="0" fontId="2" fillId="11" borderId="0" xfId="0" applyFont="1" applyFill="1" applyAlignment="1">
      <alignment wrapText="1"/>
    </xf>
    <xf numFmtId="0" fontId="0" fillId="11" borderId="0" xfId="0" applyFill="1" applyAlignment="1">
      <alignment wrapText="1"/>
    </xf>
    <xf numFmtId="0" fontId="0" fillId="18" borderId="0" xfId="0" applyFill="1"/>
    <xf numFmtId="0" fontId="0" fillId="18" borderId="0" xfId="0" applyFill="1" applyAlignment="1">
      <alignment wrapText="1"/>
    </xf>
    <xf numFmtId="0" fontId="0" fillId="0" borderId="0" xfId="0" applyFill="1" applyAlignment="1">
      <alignment wrapText="1"/>
    </xf>
    <xf numFmtId="0" fontId="78" fillId="0" borderId="0" xfId="0" applyFont="1"/>
    <xf numFmtId="0" fontId="79" fillId="0" borderId="0" xfId="0" applyFont="1" applyAlignment="1">
      <alignment wrapText="1"/>
    </xf>
    <xf numFmtId="170" fontId="14" fillId="0" borderId="45" xfId="5" applyNumberFormat="1" applyFont="1" applyBorder="1" applyAlignment="1" applyProtection="1">
      <alignment horizontal="center" vertical="center"/>
    </xf>
    <xf numFmtId="0" fontId="3" fillId="0" borderId="117" xfId="5" applyBorder="1" applyProtection="1"/>
    <xf numFmtId="0" fontId="6" fillId="0" borderId="116" xfId="5" applyFont="1" applyBorder="1" applyAlignment="1" applyProtection="1">
      <alignment vertical="center"/>
    </xf>
    <xf numFmtId="0" fontId="3" fillId="0" borderId="116" xfId="5" applyBorder="1" applyAlignment="1" applyProtection="1">
      <alignment vertical="center"/>
    </xf>
    <xf numFmtId="0" fontId="21" fillId="0" borderId="116" xfId="5" applyFont="1" applyBorder="1" applyAlignment="1" applyProtection="1">
      <alignment vertical="center"/>
    </xf>
    <xf numFmtId="0" fontId="3" fillId="0" borderId="115" xfId="5" applyBorder="1" applyAlignment="1" applyProtection="1">
      <alignment vertical="center"/>
    </xf>
    <xf numFmtId="0" fontId="3" fillId="0" borderId="0" xfId="5" applyBorder="1" applyAlignment="1" applyProtection="1">
      <alignment wrapText="1"/>
    </xf>
    <xf numFmtId="0" fontId="3" fillId="0" borderId="116" xfId="5" applyBorder="1" applyProtection="1"/>
    <xf numFmtId="0" fontId="0" fillId="0" borderId="116" xfId="0" applyBorder="1" applyProtection="1"/>
    <xf numFmtId="0" fontId="0" fillId="0" borderId="115" xfId="0" applyBorder="1" applyProtection="1"/>
    <xf numFmtId="0" fontId="1" fillId="19" borderId="0" xfId="5" applyFont="1" applyFill="1" applyAlignment="1" applyProtection="1">
      <alignment wrapText="1"/>
    </xf>
    <xf numFmtId="0" fontId="1" fillId="19" borderId="7" xfId="5" applyFont="1" applyFill="1" applyBorder="1" applyProtection="1"/>
    <xf numFmtId="0" fontId="1" fillId="19" borderId="0" xfId="5" applyFont="1" applyFill="1" applyBorder="1" applyAlignment="1" applyProtection="1">
      <alignment vertical="center"/>
    </xf>
    <xf numFmtId="0" fontId="1" fillId="19" borderId="0" xfId="5" applyFont="1" applyFill="1" applyAlignment="1" applyProtection="1">
      <alignment horizontal="center"/>
    </xf>
    <xf numFmtId="0" fontId="1" fillId="19" borderId="0" xfId="5" applyFont="1" applyFill="1" applyProtection="1"/>
    <xf numFmtId="0" fontId="15" fillId="19" borderId="0" xfId="5" applyFont="1" applyFill="1" applyBorder="1" applyAlignment="1" applyProtection="1">
      <alignment horizontal="right" vertical="center"/>
    </xf>
    <xf numFmtId="9" fontId="21" fillId="19" borderId="0" xfId="5" applyNumberFormat="1" applyFont="1" applyFill="1" applyBorder="1" applyAlignment="1" applyProtection="1">
      <alignment horizontal="center" vertical="center"/>
    </xf>
    <xf numFmtId="0" fontId="1" fillId="19" borderId="0" xfId="5" applyFont="1" applyFill="1" applyBorder="1" applyProtection="1"/>
    <xf numFmtId="0" fontId="1" fillId="19" borderId="0" xfId="5" applyFont="1" applyFill="1" applyBorder="1" applyAlignment="1" applyProtection="1">
      <alignment horizontal="center" vertical="center"/>
    </xf>
    <xf numFmtId="0" fontId="11" fillId="19" borderId="0" xfId="5" applyFont="1" applyFill="1" applyBorder="1" applyAlignment="1" applyProtection="1">
      <alignment horizontal="center" vertical="center"/>
    </xf>
    <xf numFmtId="1" fontId="1" fillId="19" borderId="0" xfId="5" applyNumberFormat="1" applyFont="1" applyFill="1" applyBorder="1" applyAlignment="1" applyProtection="1">
      <alignment horizontal="center" vertical="center"/>
    </xf>
    <xf numFmtId="0" fontId="0" fillId="19" borderId="6" xfId="0" applyFill="1" applyBorder="1" applyProtection="1"/>
    <xf numFmtId="0" fontId="0" fillId="19" borderId="0" xfId="0" applyFill="1" applyProtection="1"/>
    <xf numFmtId="0" fontId="1" fillId="19" borderId="0" xfId="5" applyFont="1" applyFill="1" applyBorder="1" applyAlignment="1" applyProtection="1">
      <alignment horizontal="center"/>
    </xf>
    <xf numFmtId="170" fontId="14" fillId="0" borderId="44" xfId="5" applyNumberFormat="1" applyFont="1" applyBorder="1" applyAlignment="1" applyProtection="1">
      <alignment horizontal="center" vertical="center"/>
    </xf>
    <xf numFmtId="170" fontId="14" fillId="12" borderId="46" xfId="5" applyNumberFormat="1" applyFont="1" applyFill="1" applyBorder="1" applyAlignment="1" applyProtection="1">
      <alignment horizontal="center" vertical="center"/>
    </xf>
    <xf numFmtId="170" fontId="14" fillId="12" borderId="45" xfId="5" applyNumberFormat="1" applyFont="1" applyFill="1" applyBorder="1" applyAlignment="1" applyProtection="1">
      <alignment horizontal="center" vertical="center"/>
    </xf>
    <xf numFmtId="170" fontId="14" fillId="0" borderId="46" xfId="5" applyNumberFormat="1" applyFont="1" applyBorder="1" applyAlignment="1" applyProtection="1">
      <alignment horizontal="center" vertical="center"/>
    </xf>
    <xf numFmtId="170" fontId="14" fillId="12" borderId="44" xfId="5" applyNumberFormat="1" applyFont="1" applyFill="1" applyBorder="1" applyAlignment="1" applyProtection="1">
      <alignment horizontal="center" vertical="center"/>
    </xf>
    <xf numFmtId="0" fontId="56" fillId="13" borderId="31" xfId="7" applyFont="1" applyFill="1" applyBorder="1" applyAlignment="1">
      <alignment horizontal="center" vertical="top"/>
    </xf>
    <xf numFmtId="0" fontId="56" fillId="13" borderId="32" xfId="7" applyFont="1" applyFill="1" applyBorder="1" applyAlignment="1">
      <alignment horizontal="center" vertical="top"/>
    </xf>
    <xf numFmtId="0" fontId="60" fillId="13" borderId="32" xfId="7" applyFont="1" applyFill="1" applyBorder="1" applyAlignment="1">
      <alignment horizontal="center" vertical="top" wrapText="1"/>
    </xf>
    <xf numFmtId="0" fontId="56" fillId="13" borderId="32" xfId="7" applyFont="1" applyFill="1" applyBorder="1" applyAlignment="1">
      <alignment horizontal="left" vertical="top"/>
    </xf>
    <xf numFmtId="0" fontId="59" fillId="13" borderId="32" xfId="7" applyFont="1" applyFill="1" applyBorder="1" applyAlignment="1">
      <alignment horizontal="left" vertical="top"/>
    </xf>
    <xf numFmtId="0" fontId="56" fillId="13" borderId="32" xfId="7" applyFont="1" applyFill="1" applyBorder="1" applyAlignment="1">
      <alignment horizontal="left" vertical="top" wrapText="1"/>
    </xf>
    <xf numFmtId="0" fontId="57" fillId="13" borderId="32" xfId="7" applyFont="1" applyFill="1" applyBorder="1" applyAlignment="1">
      <alignment vertical="top" wrapText="1"/>
    </xf>
    <xf numFmtId="169" fontId="57" fillId="13" borderId="32" xfId="7" applyNumberFormat="1" applyFont="1" applyFill="1" applyBorder="1" applyAlignment="1">
      <alignment horizontal="center" vertical="top" shrinkToFit="1"/>
    </xf>
    <xf numFmtId="0" fontId="57" fillId="13" borderId="32" xfId="7" applyFont="1" applyFill="1" applyBorder="1" applyAlignment="1">
      <alignment horizontal="left" vertical="top" wrapText="1"/>
    </xf>
    <xf numFmtId="14" fontId="57" fillId="13" borderId="32" xfId="7" applyNumberFormat="1" applyFont="1" applyFill="1" applyBorder="1" applyAlignment="1">
      <alignment horizontal="left" vertical="top" wrapText="1"/>
    </xf>
    <xf numFmtId="49" fontId="30" fillId="0" borderId="16" xfId="0" applyNumberFormat="1" applyFont="1" applyBorder="1" applyAlignment="1">
      <alignment vertical="top"/>
    </xf>
    <xf numFmtId="0" fontId="30" fillId="0" borderId="16" xfId="0" applyFont="1" applyBorder="1" applyAlignment="1">
      <alignment vertical="top"/>
    </xf>
    <xf numFmtId="49" fontId="30" fillId="0" borderId="16" xfId="0" applyNumberFormat="1" applyFont="1" applyBorder="1" applyAlignment="1">
      <alignment vertical="top" wrapText="1"/>
    </xf>
    <xf numFmtId="0" fontId="30" fillId="0" borderId="16" xfId="0" applyFont="1" applyBorder="1" applyAlignment="1">
      <alignment vertical="top" wrapText="1"/>
    </xf>
    <xf numFmtId="49" fontId="30" fillId="0" borderId="0" xfId="0" applyNumberFormat="1" applyFont="1" applyBorder="1" applyAlignment="1">
      <alignment vertical="top"/>
    </xf>
    <xf numFmtId="0" fontId="30" fillId="0" borderId="0" xfId="0" applyFont="1" applyBorder="1" applyAlignment="1">
      <alignment vertical="top"/>
    </xf>
    <xf numFmtId="0" fontId="30" fillId="0" borderId="0" xfId="0" applyFont="1" applyBorder="1" applyAlignment="1">
      <alignment vertical="top" wrapText="1"/>
    </xf>
    <xf numFmtId="0" fontId="60" fillId="13" borderId="31" xfId="7" applyFont="1" applyFill="1" applyBorder="1" applyAlignment="1">
      <alignment horizontal="center" vertical="top" wrapText="1"/>
    </xf>
    <xf numFmtId="0" fontId="56" fillId="13" borderId="31" xfId="7" applyFont="1" applyFill="1" applyBorder="1" applyAlignment="1">
      <alignment horizontal="left" vertical="top"/>
    </xf>
    <xf numFmtId="0" fontId="59" fillId="13" borderId="31" xfId="7" applyFont="1" applyFill="1" applyBorder="1" applyAlignment="1">
      <alignment horizontal="left" vertical="top"/>
    </xf>
    <xf numFmtId="0" fontId="56" fillId="13" borderId="31" xfId="7" applyFont="1" applyFill="1" applyBorder="1" applyAlignment="1">
      <alignment horizontal="left" vertical="top" wrapText="1"/>
    </xf>
    <xf numFmtId="0" fontId="57" fillId="13" borderId="31" xfId="7" applyFont="1" applyFill="1" applyBorder="1" applyAlignment="1">
      <alignment vertical="top" wrapText="1"/>
    </xf>
    <xf numFmtId="169" fontId="57" fillId="13" borderId="31" xfId="7" applyNumberFormat="1" applyFont="1" applyFill="1" applyBorder="1" applyAlignment="1">
      <alignment horizontal="center" vertical="top" shrinkToFit="1"/>
    </xf>
    <xf numFmtId="0" fontId="57" fillId="13" borderId="31" xfId="7" applyFont="1" applyFill="1" applyBorder="1" applyAlignment="1">
      <alignment horizontal="left" vertical="top" wrapText="1"/>
    </xf>
    <xf numFmtId="14" fontId="57" fillId="13" borderId="31" xfId="7" applyNumberFormat="1" applyFont="1" applyFill="1" applyBorder="1" applyAlignment="1">
      <alignment horizontal="left" vertical="top" wrapText="1"/>
    </xf>
    <xf numFmtId="0" fontId="25" fillId="0" borderId="16" xfId="0" applyFont="1" applyBorder="1" applyAlignment="1">
      <alignment horizontal="right" vertical="top"/>
    </xf>
    <xf numFmtId="0" fontId="25" fillId="0" borderId="4" xfId="0" applyFont="1" applyBorder="1" applyAlignment="1">
      <alignment horizontal="right" vertical="top"/>
    </xf>
    <xf numFmtId="0" fontId="30" fillId="0" borderId="4" xfId="0" applyFont="1" applyBorder="1" applyAlignment="1">
      <alignment vertical="top"/>
    </xf>
    <xf numFmtId="0" fontId="30" fillId="0" borderId="4" xfId="0" applyFont="1" applyBorder="1" applyAlignment="1">
      <alignment vertical="top" wrapText="1"/>
    </xf>
    <xf numFmtId="0" fontId="30" fillId="0" borderId="9" xfId="0" applyFont="1" applyBorder="1" applyAlignment="1">
      <alignment vertical="top"/>
    </xf>
    <xf numFmtId="0" fontId="30" fillId="0" borderId="9" xfId="0" applyFont="1" applyBorder="1" applyAlignment="1">
      <alignment vertical="top" wrapText="1"/>
    </xf>
    <xf numFmtId="0" fontId="25" fillId="0" borderId="32" xfId="0" applyFont="1" applyBorder="1" applyAlignment="1">
      <alignment horizontal="right" vertical="top"/>
    </xf>
    <xf numFmtId="0" fontId="30" fillId="0" borderId="32" xfId="0" applyFont="1" applyBorder="1" applyAlignment="1">
      <alignment vertical="top"/>
    </xf>
    <xf numFmtId="0" fontId="30" fillId="0" borderId="32" xfId="0" applyFont="1" applyBorder="1" applyAlignment="1">
      <alignment vertical="top" wrapText="1"/>
    </xf>
    <xf numFmtId="0" fontId="25" fillId="0" borderId="16" xfId="0" applyFont="1" applyBorder="1" applyAlignment="1">
      <alignment vertical="top"/>
    </xf>
    <xf numFmtId="49" fontId="30" fillId="0" borderId="16" xfId="0" applyNumberFormat="1" applyFont="1" applyFill="1" applyBorder="1" applyAlignment="1">
      <alignment vertical="top" wrapText="1"/>
    </xf>
    <xf numFmtId="0" fontId="25" fillId="0" borderId="72" xfId="0" applyFont="1" applyBorder="1" applyAlignment="1">
      <alignment vertical="top"/>
    </xf>
    <xf numFmtId="0" fontId="30" fillId="0" borderId="72" xfId="0" applyFont="1" applyBorder="1" applyAlignment="1">
      <alignment vertical="top"/>
    </xf>
    <xf numFmtId="0" fontId="30" fillId="0" borderId="3" xfId="0" applyFont="1" applyBorder="1" applyAlignment="1">
      <alignment vertical="top"/>
    </xf>
    <xf numFmtId="49" fontId="30" fillId="0" borderId="72" xfId="0" applyNumberFormat="1" applyFont="1" applyBorder="1" applyAlignment="1">
      <alignment vertical="top" wrapText="1"/>
    </xf>
    <xf numFmtId="0" fontId="1" fillId="0" borderId="0" xfId="0" applyFont="1" applyBorder="1" applyProtection="1"/>
    <xf numFmtId="170" fontId="14" fillId="0" borderId="45" xfId="5" applyNumberFormat="1" applyFont="1" applyFill="1" applyBorder="1" applyAlignment="1" applyProtection="1">
      <alignment horizontal="center" vertical="center"/>
    </xf>
    <xf numFmtId="0" fontId="15" fillId="9" borderId="0" xfId="9" applyFont="1" applyFill="1" applyBorder="1" applyAlignment="1" applyProtection="1">
      <alignment vertical="center" wrapText="1"/>
    </xf>
    <xf numFmtId="170" fontId="14" fillId="0" borderId="30" xfId="5" applyNumberFormat="1" applyFont="1" applyBorder="1" applyAlignment="1" applyProtection="1">
      <alignment horizontal="center" vertical="center"/>
    </xf>
    <xf numFmtId="0" fontId="3" fillId="10" borderId="0" xfId="5" applyFill="1" applyBorder="1" applyAlignment="1" applyProtection="1">
      <alignment horizontal="right"/>
    </xf>
    <xf numFmtId="0" fontId="3" fillId="10" borderId="2" xfId="5" applyFill="1" applyBorder="1" applyAlignment="1" applyProtection="1">
      <alignment horizontal="right"/>
    </xf>
    <xf numFmtId="1" fontId="8" fillId="0" borderId="0" xfId="5" applyNumberFormat="1" applyFont="1" applyAlignment="1" applyProtection="1">
      <alignment horizontal="center"/>
    </xf>
    <xf numFmtId="0" fontId="6" fillId="11" borderId="49" xfId="2" applyFont="1" applyFill="1" applyBorder="1" applyAlignment="1" applyProtection="1">
      <alignment horizontal="left" vertical="center"/>
    </xf>
    <xf numFmtId="0" fontId="0" fillId="0" borderId="0" xfId="0" applyFont="1" applyFill="1" applyBorder="1"/>
    <xf numFmtId="0" fontId="6" fillId="0" borderId="0" xfId="2" applyFont="1" applyBorder="1" applyAlignment="1" applyProtection="1">
      <alignment horizontal="right" vertical="center"/>
    </xf>
    <xf numFmtId="0" fontId="6" fillId="0" borderId="0" xfId="7" applyFont="1" applyAlignment="1">
      <alignment horizontal="right" vertical="top"/>
    </xf>
    <xf numFmtId="0" fontId="6" fillId="0" borderId="0" xfId="7" applyFont="1" applyBorder="1" applyAlignment="1">
      <alignment horizontal="right"/>
    </xf>
    <xf numFmtId="0" fontId="2" fillId="0" borderId="0" xfId="0" applyFont="1" applyBorder="1" applyAlignment="1">
      <alignment wrapText="1"/>
    </xf>
    <xf numFmtId="0" fontId="25" fillId="12" borderId="68" xfId="0" applyNumberFormat="1" applyFont="1" applyFill="1" applyBorder="1" applyAlignment="1" applyProtection="1">
      <alignment horizontal="center" vertical="center" shrinkToFit="1"/>
      <protection locked="0"/>
    </xf>
    <xf numFmtId="0" fontId="25" fillId="12" borderId="75" xfId="0" applyNumberFormat="1" applyFont="1" applyFill="1" applyBorder="1" applyAlignment="1" applyProtection="1">
      <alignment horizontal="center" vertical="center" shrinkToFit="1"/>
      <protection locked="0"/>
    </xf>
    <xf numFmtId="0" fontId="24" fillId="11" borderId="63" xfId="7" applyFont="1" applyFill="1" applyBorder="1" applyAlignment="1">
      <alignment vertical="center"/>
    </xf>
    <xf numFmtId="0" fontId="6" fillId="15" borderId="51" xfId="3" applyFont="1" applyFill="1" applyBorder="1" applyAlignment="1" applyProtection="1">
      <alignment horizontal="left" wrapText="1"/>
      <protection locked="0"/>
    </xf>
    <xf numFmtId="0" fontId="80" fillId="0" borderId="14" xfId="2" applyFont="1" applyFill="1" applyBorder="1" applyAlignment="1" applyProtection="1">
      <alignment horizontal="right" wrapText="1"/>
    </xf>
    <xf numFmtId="1" fontId="3" fillId="0" borderId="14" xfId="5" applyNumberFormat="1" applyFont="1" applyFill="1" applyBorder="1" applyAlignment="1" applyProtection="1">
      <alignment horizontal="center" vertical="center"/>
    </xf>
    <xf numFmtId="9" fontId="6" fillId="9" borderId="0" xfId="5" applyNumberFormat="1" applyFont="1" applyFill="1" applyBorder="1" applyAlignment="1" applyProtection="1">
      <alignment horizontal="center" vertical="center" wrapText="1"/>
    </xf>
    <xf numFmtId="0" fontId="45" fillId="9" borderId="0" xfId="0" applyFont="1" applyFill="1" applyBorder="1" applyAlignment="1" applyProtection="1">
      <alignment horizontal="center" vertical="center"/>
    </xf>
    <xf numFmtId="0" fontId="15" fillId="9" borderId="0" xfId="0" applyFont="1" applyFill="1" applyBorder="1" applyAlignment="1" applyProtection="1">
      <alignment horizontal="center" vertical="center" wrapText="1"/>
    </xf>
    <xf numFmtId="0" fontId="30" fillId="9" borderId="0" xfId="5" applyFont="1" applyFill="1" applyBorder="1" applyAlignment="1" applyProtection="1">
      <alignment horizontal="center"/>
    </xf>
    <xf numFmtId="14" fontId="2" fillId="0" borderId="0" xfId="2" applyNumberFormat="1" applyFont="1" applyBorder="1" applyAlignment="1" applyProtection="1">
      <alignment horizontal="center" vertical="top"/>
    </xf>
    <xf numFmtId="0" fontId="25" fillId="0" borderId="0" xfId="2" applyFont="1" applyBorder="1" applyAlignment="1" applyProtection="1">
      <alignment horizontal="left" vertical="center" wrapText="1"/>
    </xf>
    <xf numFmtId="0" fontId="2" fillId="0" borderId="112" xfId="2" applyFont="1" applyFill="1" applyBorder="1" applyAlignment="1" applyProtection="1">
      <alignment horizontal="left" vertical="center"/>
    </xf>
    <xf numFmtId="0" fontId="6" fillId="0" borderId="0" xfId="2" applyNumberFormat="1" applyFont="1" applyBorder="1" applyAlignment="1" applyProtection="1">
      <alignment horizontal="right" vertical="center"/>
    </xf>
    <xf numFmtId="0" fontId="25" fillId="0" borderId="0" xfId="2" applyFont="1" applyBorder="1" applyAlignment="1" applyProtection="1">
      <alignment horizontal="left" vertical="center"/>
    </xf>
    <xf numFmtId="0" fontId="24" fillId="11" borderId="32" xfId="7" applyFont="1" applyFill="1" applyBorder="1" applyAlignment="1">
      <alignment horizontal="center" vertical="center"/>
    </xf>
    <xf numFmtId="0" fontId="8" fillId="0" borderId="0" xfId="5" applyFont="1" applyBorder="1" applyAlignment="1" applyProtection="1">
      <alignment horizontal="center"/>
    </xf>
    <xf numFmtId="0" fontId="1" fillId="18" borderId="0" xfId="5" applyFont="1" applyFill="1" applyBorder="1" applyAlignment="1" applyProtection="1">
      <alignment horizontal="center"/>
    </xf>
    <xf numFmtId="0" fontId="1" fillId="20" borderId="0" xfId="5" applyFont="1" applyFill="1" applyAlignment="1" applyProtection="1">
      <alignment horizontal="center"/>
    </xf>
    <xf numFmtId="0" fontId="1" fillId="20" borderId="0" xfId="5" applyFont="1" applyFill="1" applyBorder="1" applyAlignment="1" applyProtection="1">
      <alignment horizontal="center"/>
    </xf>
    <xf numFmtId="49" fontId="8" fillId="0" borderId="13" xfId="5" quotePrefix="1" applyNumberFormat="1" applyFont="1" applyFill="1" applyBorder="1" applyAlignment="1" applyProtection="1">
      <alignment vertical="center"/>
    </xf>
    <xf numFmtId="49" fontId="8" fillId="0" borderId="11" xfId="5" applyNumberFormat="1" applyFont="1" applyFill="1" applyBorder="1" applyAlignment="1" applyProtection="1">
      <alignment vertical="center"/>
    </xf>
    <xf numFmtId="49" fontId="8" fillId="0" borderId="11" xfId="5" quotePrefix="1" applyNumberFormat="1" applyFont="1" applyFill="1" applyBorder="1" applyAlignment="1" applyProtection="1">
      <alignment vertical="center"/>
    </xf>
    <xf numFmtId="49" fontId="8" fillId="12" borderId="34" xfId="5" quotePrefix="1" applyNumberFormat="1" applyFont="1" applyFill="1" applyBorder="1" applyAlignment="1" applyProtection="1">
      <alignment vertical="center"/>
    </xf>
    <xf numFmtId="0" fontId="8" fillId="0" borderId="6" xfId="5" applyFont="1" applyBorder="1" applyAlignment="1" applyProtection="1">
      <alignment horizontal="center"/>
    </xf>
    <xf numFmtId="0" fontId="1" fillId="20" borderId="6" xfId="5" applyFont="1" applyFill="1" applyBorder="1" applyAlignment="1" applyProtection="1">
      <alignment horizontal="center"/>
    </xf>
    <xf numFmtId="0" fontId="15" fillId="0" borderId="15" xfId="5" applyFont="1" applyBorder="1" applyAlignment="1" applyProtection="1">
      <alignment horizontal="left" vertical="center"/>
    </xf>
    <xf numFmtId="0" fontId="15" fillId="0" borderId="9" xfId="5" applyFont="1" applyBorder="1" applyAlignment="1" applyProtection="1">
      <alignment horizontal="center" vertical="center"/>
    </xf>
    <xf numFmtId="0" fontId="7" fillId="0" borderId="9" xfId="5" applyFont="1" applyBorder="1" applyProtection="1"/>
    <xf numFmtId="49" fontId="8" fillId="12" borderId="11" xfId="5" quotePrefix="1" applyNumberFormat="1" applyFont="1" applyFill="1" applyBorder="1" applyAlignment="1" applyProtection="1">
      <alignment vertical="center"/>
    </xf>
    <xf numFmtId="49" fontId="8" fillId="0" borderId="34" xfId="5" quotePrefix="1" applyNumberFormat="1" applyFont="1" applyFill="1" applyBorder="1" applyAlignment="1" applyProtection="1">
      <alignment vertical="center"/>
    </xf>
    <xf numFmtId="0" fontId="3" fillId="0" borderId="7" xfId="5" applyBorder="1" applyAlignment="1" applyProtection="1">
      <alignment vertical="center"/>
    </xf>
    <xf numFmtId="0" fontId="1" fillId="0" borderId="9" xfId="5" applyFont="1" applyBorder="1" applyAlignment="1" applyProtection="1">
      <alignment horizontal="center" vertical="center"/>
    </xf>
    <xf numFmtId="0" fontId="8" fillId="0" borderId="7" xfId="5" applyFont="1" applyBorder="1" applyAlignment="1" applyProtection="1">
      <alignment horizontal="center"/>
    </xf>
    <xf numFmtId="0" fontId="1" fillId="18" borderId="7" xfId="5" applyFont="1" applyFill="1" applyBorder="1" applyAlignment="1" applyProtection="1">
      <alignment horizontal="center"/>
    </xf>
    <xf numFmtId="0" fontId="1" fillId="0" borderId="9" xfId="5" applyFont="1" applyBorder="1" applyAlignment="1" applyProtection="1">
      <alignment horizontal="left" vertical="center"/>
    </xf>
    <xf numFmtId="49" fontId="8" fillId="12" borderId="13" xfId="5" quotePrefix="1" applyNumberFormat="1" applyFont="1" applyFill="1" applyBorder="1" applyAlignment="1" applyProtection="1">
      <alignment vertical="center"/>
    </xf>
    <xf numFmtId="1" fontId="1" fillId="0" borderId="15" xfId="5" applyNumberFormat="1" applyFont="1" applyBorder="1" applyAlignment="1" applyProtection="1">
      <alignment horizontal="center" vertical="center"/>
    </xf>
    <xf numFmtId="0" fontId="3" fillId="0" borderId="9" xfId="5" applyBorder="1" applyProtection="1"/>
    <xf numFmtId="49" fontId="13" fillId="0" borderId="13" xfId="5" quotePrefix="1" applyNumberFormat="1" applyFont="1" applyBorder="1" applyAlignment="1" applyProtection="1">
      <alignment horizontal="center" vertical="center" shrinkToFit="1"/>
    </xf>
    <xf numFmtId="49" fontId="13" fillId="0" borderId="11" xfId="5" quotePrefix="1" applyNumberFormat="1" applyFont="1" applyBorder="1" applyAlignment="1" applyProtection="1">
      <alignment horizontal="center" vertical="center" shrinkToFit="1"/>
    </xf>
    <xf numFmtId="49" fontId="13" fillId="0" borderId="34" xfId="5" quotePrefix="1" applyNumberFormat="1" applyFont="1" applyBorder="1" applyAlignment="1" applyProtection="1">
      <alignment horizontal="center" vertical="center" shrinkToFit="1"/>
    </xf>
    <xf numFmtId="0" fontId="3" fillId="0" borderId="7" xfId="5" applyBorder="1" applyAlignment="1" applyProtection="1">
      <alignment horizontal="center" vertical="center"/>
    </xf>
    <xf numFmtId="1" fontId="11" fillId="0" borderId="6" xfId="5" applyNumberFormat="1" applyFont="1" applyBorder="1" applyAlignment="1" applyProtection="1">
      <alignment horizontal="center"/>
    </xf>
    <xf numFmtId="0" fontId="1" fillId="20" borderId="15" xfId="5" applyFont="1" applyFill="1" applyBorder="1" applyAlignment="1" applyProtection="1">
      <alignment horizontal="center"/>
    </xf>
    <xf numFmtId="0" fontId="1" fillId="20" borderId="9" xfId="5" applyFont="1" applyFill="1" applyBorder="1" applyAlignment="1" applyProtection="1">
      <alignment horizontal="center"/>
    </xf>
    <xf numFmtId="1" fontId="7" fillId="0" borderId="9" xfId="5" applyNumberFormat="1" applyFont="1" applyBorder="1" applyAlignment="1" applyProtection="1">
      <alignment horizontal="center"/>
    </xf>
    <xf numFmtId="0" fontId="1" fillId="20" borderId="7" xfId="5" applyFont="1" applyFill="1" applyBorder="1" applyAlignment="1" applyProtection="1">
      <alignment horizontal="center"/>
    </xf>
    <xf numFmtId="0" fontId="2" fillId="19" borderId="0" xfId="5" applyFont="1" applyFill="1" applyBorder="1" applyAlignment="1" applyProtection="1">
      <alignment horizontal="center" vertical="center"/>
    </xf>
    <xf numFmtId="1" fontId="11" fillId="19" borderId="14" xfId="5" applyNumberFormat="1" applyFont="1" applyFill="1" applyBorder="1" applyAlignment="1" applyProtection="1">
      <alignment horizontal="center" vertical="center"/>
    </xf>
    <xf numFmtId="0" fontId="4" fillId="15" borderId="42" xfId="3" applyFont="1" applyFill="1" applyBorder="1" applyAlignment="1" applyProtection="1">
      <alignment horizontal="center" wrapText="1"/>
      <protection locked="0"/>
    </xf>
    <xf numFmtId="0" fontId="6" fillId="0" borderId="0" xfId="3" applyFont="1" applyFill="1" applyBorder="1" applyAlignment="1" applyProtection="1">
      <alignment horizontal="right" wrapText="1"/>
    </xf>
    <xf numFmtId="0" fontId="4" fillId="0" borderId="11" xfId="3" applyFont="1" applyBorder="1" applyProtection="1"/>
    <xf numFmtId="0" fontId="30" fillId="0" borderId="96" xfId="3" applyFont="1" applyBorder="1" applyAlignment="1" applyProtection="1">
      <alignment wrapText="1"/>
    </xf>
    <xf numFmtId="0" fontId="4" fillId="0" borderId="0" xfId="3" applyFont="1" applyAlignment="1" applyProtection="1">
      <alignment horizontal="right"/>
    </xf>
    <xf numFmtId="0" fontId="30" fillId="0" borderId="0" xfId="3" applyFont="1" applyBorder="1" applyAlignment="1" applyProtection="1">
      <alignment vertical="top" wrapText="1"/>
    </xf>
    <xf numFmtId="0" fontId="30" fillId="0" borderId="0" xfId="3" applyFont="1" applyBorder="1" applyAlignment="1" applyProtection="1">
      <alignment horizontal="right" vertical="top" wrapText="1"/>
    </xf>
    <xf numFmtId="0" fontId="30" fillId="0" borderId="0" xfId="3" applyFont="1" applyBorder="1" applyAlignment="1" applyProtection="1">
      <alignment horizontal="right" wrapText="1"/>
    </xf>
    <xf numFmtId="0" fontId="30" fillId="0" borderId="39" xfId="3" applyFont="1" applyBorder="1" applyAlignment="1" applyProtection="1">
      <alignment wrapText="1"/>
    </xf>
    <xf numFmtId="0" fontId="30" fillId="0" borderId="8" xfId="3" applyFont="1" applyBorder="1" applyAlignment="1" applyProtection="1">
      <alignment wrapText="1"/>
    </xf>
    <xf numFmtId="0" fontId="6" fillId="0" borderId="0" xfId="3" applyFont="1" applyBorder="1" applyAlignment="1" applyProtection="1">
      <alignment wrapText="1"/>
    </xf>
    <xf numFmtId="0" fontId="25" fillId="0" borderId="0" xfId="3" applyFont="1" applyBorder="1" applyAlignment="1" applyProtection="1">
      <alignment horizontal="right" wrapText="1"/>
    </xf>
    <xf numFmtId="0" fontId="24" fillId="0" borderId="4" xfId="3" applyFont="1" applyBorder="1" applyAlignment="1" applyProtection="1">
      <alignment horizontal="center" wrapText="1"/>
    </xf>
    <xf numFmtId="0" fontId="24" fillId="0" borderId="103" xfId="3" applyFont="1" applyBorder="1" applyAlignment="1" applyProtection="1">
      <alignment horizontal="center"/>
    </xf>
    <xf numFmtId="0" fontId="24" fillId="0" borderId="64" xfId="3" applyFont="1" applyBorder="1" applyAlignment="1" applyProtection="1">
      <alignment horizontal="center" wrapText="1"/>
    </xf>
    <xf numFmtId="0" fontId="6" fillId="0" borderId="4" xfId="3" applyFont="1" applyFill="1" applyBorder="1" applyAlignment="1" applyProtection="1">
      <alignment horizontal="center" vertical="top" wrapText="1"/>
    </xf>
    <xf numFmtId="0" fontId="25" fillId="0" borderId="0" xfId="3" applyFont="1" applyBorder="1" applyAlignment="1" applyProtection="1"/>
    <xf numFmtId="0" fontId="25" fillId="0" borderId="0" xfId="3" applyFont="1" applyFill="1" applyBorder="1" applyAlignment="1" applyProtection="1">
      <alignment horizontal="left" wrapText="1"/>
    </xf>
    <xf numFmtId="0" fontId="24" fillId="0" borderId="0" xfId="3" applyFont="1" applyBorder="1" applyAlignment="1" applyProtection="1">
      <alignment horizontal="right" wrapText="1"/>
    </xf>
    <xf numFmtId="0" fontId="6" fillId="0" borderId="4" xfId="3" applyFont="1" applyBorder="1" applyAlignment="1" applyProtection="1">
      <alignment horizontal="right" vertical="top" wrapText="1"/>
    </xf>
    <xf numFmtId="0" fontId="6" fillId="0" borderId="0" xfId="3" applyFont="1" applyBorder="1" applyAlignment="1" applyProtection="1"/>
    <xf numFmtId="0" fontId="25" fillId="0" borderId="0" xfId="3" applyFont="1" applyBorder="1" applyAlignment="1" applyProtection="1">
      <alignment wrapText="1"/>
    </xf>
    <xf numFmtId="0" fontId="25" fillId="0" borderId="0" xfId="3" applyFont="1" applyBorder="1" applyAlignment="1" applyProtection="1">
      <alignment horizontal="right"/>
    </xf>
    <xf numFmtId="0" fontId="7" fillId="0" borderId="6" xfId="3" applyFont="1" applyFill="1" applyBorder="1" applyProtection="1"/>
    <xf numFmtId="0" fontId="6" fillId="0" borderId="0" xfId="3" applyFont="1" applyFill="1" applyBorder="1" applyAlignment="1" applyProtection="1">
      <alignment horizontal="center" wrapText="1"/>
    </xf>
    <xf numFmtId="0" fontId="6" fillId="0" borderId="6" xfId="3" applyFont="1" applyFill="1" applyBorder="1" applyAlignment="1" applyProtection="1">
      <alignment horizontal="left" wrapText="1"/>
    </xf>
    <xf numFmtId="0" fontId="7" fillId="0" borderId="0" xfId="3" applyFont="1" applyFill="1" applyBorder="1" applyProtection="1"/>
    <xf numFmtId="0" fontId="30" fillId="0" borderId="0" xfId="3" applyFont="1" applyFill="1" applyBorder="1" applyAlignment="1" applyProtection="1">
      <alignment wrapText="1"/>
    </xf>
    <xf numFmtId="0" fontId="6" fillId="0" borderId="0" xfId="3" applyFont="1" applyFill="1" applyBorder="1" applyAlignment="1" applyProtection="1">
      <alignment wrapText="1"/>
    </xf>
    <xf numFmtId="0" fontId="6" fillId="0" borderId="0" xfId="3" applyFont="1" applyFill="1" applyBorder="1" applyAlignment="1" applyProtection="1">
      <alignment horizontal="left" wrapText="1"/>
    </xf>
    <xf numFmtId="0" fontId="2" fillId="0" borderId="109" xfId="0" applyFont="1" applyFill="1" applyBorder="1"/>
    <xf numFmtId="0" fontId="26" fillId="0" borderId="85" xfId="0" applyFont="1" applyBorder="1" applyAlignment="1" applyProtection="1">
      <alignment wrapText="1" shrinkToFit="1"/>
    </xf>
    <xf numFmtId="1" fontId="30" fillId="0" borderId="85" xfId="0" applyNumberFormat="1" applyFont="1" applyBorder="1" applyAlignment="1" applyProtection="1">
      <alignment horizontal="right"/>
    </xf>
    <xf numFmtId="0" fontId="2" fillId="0" borderId="0" xfId="0" applyFont="1" applyFill="1" applyProtection="1"/>
    <xf numFmtId="0" fontId="30" fillId="0" borderId="0" xfId="0" applyFont="1" applyBorder="1" applyAlignment="1" applyProtection="1">
      <alignment vertical="top" wrapText="1" shrinkToFit="1"/>
    </xf>
    <xf numFmtId="1" fontId="30" fillId="0" borderId="0" xfId="0" applyNumberFormat="1" applyFont="1" applyBorder="1" applyAlignment="1" applyProtection="1">
      <alignment horizontal="right" vertical="top"/>
    </xf>
    <xf numFmtId="0" fontId="2" fillId="0" borderId="0" xfId="0" applyFont="1" applyFill="1" applyAlignment="1" applyProtection="1">
      <alignment vertical="top"/>
    </xf>
    <xf numFmtId="0" fontId="30" fillId="0" borderId="0" xfId="0" applyFont="1" applyBorder="1" applyAlignment="1" applyProtection="1">
      <alignment wrapText="1" shrinkToFit="1"/>
    </xf>
    <xf numFmtId="1" fontId="0" fillId="0" borderId="0" xfId="0" applyNumberFormat="1" applyBorder="1" applyAlignment="1" applyProtection="1">
      <alignment vertical="top" wrapText="1" shrinkToFit="1"/>
    </xf>
    <xf numFmtId="0" fontId="0" fillId="0" borderId="0" xfId="0" applyFill="1" applyAlignment="1" applyProtection="1">
      <alignment vertical="top"/>
    </xf>
    <xf numFmtId="0" fontId="0" fillId="0" borderId="0" xfId="0" applyBorder="1" applyAlignment="1" applyProtection="1">
      <alignment wrapText="1" shrinkToFit="1"/>
    </xf>
    <xf numFmtId="1" fontId="0" fillId="0" borderId="0" xfId="0" applyNumberFormat="1" applyBorder="1" applyAlignment="1" applyProtection="1">
      <alignment wrapText="1" shrinkToFit="1"/>
    </xf>
    <xf numFmtId="0" fontId="24" fillId="0" borderId="0" xfId="0" applyFont="1" applyBorder="1" applyAlignment="1" applyProtection="1">
      <alignment wrapText="1" shrinkToFit="1"/>
    </xf>
    <xf numFmtId="1" fontId="30" fillId="0" borderId="0" xfId="0" applyNumberFormat="1" applyFont="1" applyBorder="1" applyAlignment="1" applyProtection="1">
      <alignment wrapText="1" shrinkToFit="1"/>
    </xf>
    <xf numFmtId="49" fontId="0" fillId="0" borderId="78" xfId="0" applyNumberFormat="1" applyBorder="1" applyProtection="1"/>
    <xf numFmtId="49" fontId="0" fillId="0" borderId="2" xfId="0" applyNumberFormat="1" applyBorder="1" applyAlignment="1" applyProtection="1">
      <alignment horizontal="center"/>
    </xf>
    <xf numFmtId="0" fontId="0" fillId="0" borderId="1" xfId="0" applyBorder="1" applyAlignment="1" applyProtection="1">
      <alignment wrapText="1" shrinkToFit="1"/>
    </xf>
    <xf numFmtId="1" fontId="0" fillId="0" borderId="0" xfId="0" applyNumberFormat="1" applyAlignment="1" applyProtection="1">
      <alignment wrapText="1" shrinkToFit="1"/>
    </xf>
    <xf numFmtId="49" fontId="24" fillId="0" borderId="79" xfId="0" applyNumberFormat="1" applyFont="1" applyBorder="1" applyAlignment="1" applyProtection="1">
      <alignment vertical="top"/>
    </xf>
    <xf numFmtId="49" fontId="6" fillId="0" borderId="30" xfId="0" applyNumberFormat="1" applyFont="1" applyBorder="1" applyAlignment="1" applyProtection="1">
      <alignment horizontal="center" vertical="center" textRotation="90"/>
    </xf>
    <xf numFmtId="0" fontId="24" fillId="0" borderId="30" xfId="0" applyFont="1" applyBorder="1" applyAlignment="1" applyProtection="1">
      <alignment vertical="top" wrapText="1" shrinkToFit="1"/>
    </xf>
    <xf numFmtId="1" fontId="6" fillId="0" borderId="30" xfId="0" applyNumberFormat="1" applyFont="1" applyBorder="1" applyAlignment="1" applyProtection="1">
      <alignment horizontal="center" wrapText="1" shrinkToFit="1"/>
    </xf>
    <xf numFmtId="49" fontId="0" fillId="0" borderId="80" xfId="0" applyNumberFormat="1" applyBorder="1" applyProtection="1"/>
    <xf numFmtId="0" fontId="24" fillId="0" borderId="0" xfId="0" applyFont="1" applyBorder="1" applyAlignment="1" applyProtection="1">
      <alignment horizontal="right" wrapText="1" shrinkToFit="1"/>
    </xf>
    <xf numFmtId="0" fontId="25" fillId="0" borderId="6" xfId="0" applyNumberFormat="1" applyFont="1" applyBorder="1" applyAlignment="1" applyProtection="1">
      <alignment wrapText="1" shrinkToFit="1"/>
    </xf>
    <xf numFmtId="49" fontId="55" fillId="13" borderId="15" xfId="0" applyNumberFormat="1" applyFont="1" applyFill="1" applyBorder="1" applyAlignment="1" applyProtection="1">
      <alignment horizontal="center" vertical="center"/>
    </xf>
    <xf numFmtId="168" fontId="56" fillId="13" borderId="47" xfId="0" applyNumberFormat="1" applyFont="1" applyFill="1" applyBorder="1" applyAlignment="1" applyProtection="1">
      <alignment horizontal="center" vertical="center" textRotation="90"/>
    </xf>
    <xf numFmtId="0" fontId="55" fillId="13" borderId="47" xfId="0" applyFont="1" applyFill="1" applyBorder="1" applyAlignment="1" applyProtection="1">
      <alignment horizontal="left" vertical="center" wrapText="1" indent="3" shrinkToFit="1"/>
    </xf>
    <xf numFmtId="1" fontId="56" fillId="13" borderId="30" xfId="0" applyNumberFormat="1" applyFont="1" applyFill="1" applyBorder="1" applyAlignment="1" applyProtection="1">
      <alignment horizontal="center" vertical="center" textRotation="90" shrinkToFit="1"/>
    </xf>
    <xf numFmtId="1" fontId="56" fillId="14" borderId="47" xfId="0" applyNumberFormat="1" applyFont="1" applyFill="1" applyBorder="1" applyAlignment="1" applyProtection="1">
      <alignment horizontal="left" vertical="center" wrapText="1" shrinkToFit="1"/>
    </xf>
    <xf numFmtId="49" fontId="24" fillId="0" borderId="82" xfId="0" applyNumberFormat="1" applyFont="1" applyFill="1" applyBorder="1" applyAlignment="1" applyProtection="1">
      <alignment vertical="top"/>
    </xf>
    <xf numFmtId="49" fontId="24" fillId="0" borderId="4" xfId="0" applyNumberFormat="1" applyFont="1" applyFill="1" applyBorder="1" applyAlignment="1" applyProtection="1">
      <alignment horizontal="center" vertical="top"/>
    </xf>
    <xf numFmtId="0" fontId="25" fillId="0" borderId="42" xfId="0" applyFont="1" applyBorder="1" applyAlignment="1" applyProtection="1">
      <alignment vertical="top" wrapText="1" shrinkToFit="1"/>
    </xf>
    <xf numFmtId="49" fontId="24" fillId="0" borderId="83" xfId="0" applyNumberFormat="1" applyFont="1" applyFill="1" applyBorder="1" applyAlignment="1" applyProtection="1">
      <alignment vertical="top"/>
    </xf>
    <xf numFmtId="0" fontId="25" fillId="0" borderId="14" xfId="0" applyFont="1" applyBorder="1" applyAlignment="1" applyProtection="1">
      <alignment vertical="top" wrapText="1" shrinkToFit="1"/>
    </xf>
    <xf numFmtId="49" fontId="24" fillId="7" borderId="83" xfId="0" applyNumberFormat="1" applyFont="1" applyFill="1" applyBorder="1" applyAlignment="1" applyProtection="1">
      <alignment vertical="top"/>
    </xf>
    <xf numFmtId="49" fontId="24" fillId="7" borderId="4" xfId="0" applyNumberFormat="1" applyFont="1" applyFill="1" applyBorder="1" applyAlignment="1" applyProtection="1">
      <alignment horizontal="center" vertical="top"/>
    </xf>
    <xf numFmtId="49" fontId="24" fillId="0" borderId="84" xfId="0" applyNumberFormat="1" applyFont="1" applyFill="1" applyBorder="1" applyAlignment="1" applyProtection="1">
      <alignment vertical="top"/>
    </xf>
    <xf numFmtId="49" fontId="24" fillId="0" borderId="0" xfId="0" applyNumberFormat="1" applyFont="1" applyFill="1" applyBorder="1" applyAlignment="1" applyProtection="1">
      <alignment horizontal="center" vertical="top"/>
    </xf>
    <xf numFmtId="0" fontId="25" fillId="0" borderId="68" xfId="0" applyFont="1" applyBorder="1" applyAlignment="1" applyProtection="1">
      <alignment vertical="top" wrapText="1" shrinkToFit="1"/>
    </xf>
    <xf numFmtId="168" fontId="59" fillId="13" borderId="24" xfId="0" applyNumberFormat="1" applyFont="1" applyFill="1" applyBorder="1" applyAlignment="1" applyProtection="1">
      <alignment vertical="center" textRotation="90"/>
    </xf>
    <xf numFmtId="0" fontId="56" fillId="13" borderId="24" xfId="0" applyNumberFormat="1" applyFont="1" applyFill="1" applyBorder="1" applyAlignment="1" applyProtection="1">
      <alignment wrapText="1"/>
    </xf>
    <xf numFmtId="1" fontId="56" fillId="14" borderId="24" xfId="0" applyNumberFormat="1" applyFont="1" applyFill="1" applyBorder="1" applyAlignment="1" applyProtection="1">
      <alignment horizontal="left" vertical="top" wrapText="1" shrinkToFit="1"/>
    </xf>
    <xf numFmtId="0" fontId="58" fillId="0" borderId="0" xfId="0" applyFont="1" applyFill="1" applyAlignment="1" applyProtection="1">
      <alignment vertical="top"/>
    </xf>
    <xf numFmtId="168" fontId="59" fillId="13" borderId="47" xfId="0" applyNumberFormat="1" applyFont="1" applyFill="1" applyBorder="1" applyAlignment="1" applyProtection="1">
      <alignment vertical="center" textRotation="90"/>
    </xf>
    <xf numFmtId="0" fontId="56" fillId="13" borderId="47" xfId="0" applyNumberFormat="1" applyFont="1" applyFill="1" applyBorder="1" applyAlignment="1" applyProtection="1">
      <alignment wrapText="1"/>
    </xf>
    <xf numFmtId="1" fontId="56" fillId="14" borderId="28" xfId="0" applyNumberFormat="1" applyFont="1" applyFill="1" applyBorder="1" applyAlignment="1" applyProtection="1">
      <alignment horizontal="left" vertical="top" wrapText="1" shrinkToFit="1"/>
    </xf>
    <xf numFmtId="0" fontId="24" fillId="0" borderId="90" xfId="0" applyFont="1" applyBorder="1" applyAlignment="1" applyProtection="1">
      <alignment vertical="top" wrapText="1" shrinkToFit="1"/>
    </xf>
    <xf numFmtId="0" fontId="24" fillId="0" borderId="75" xfId="0" applyFont="1" applyBorder="1" applyAlignment="1" applyProtection="1">
      <alignment horizontal="center" vertical="top" wrapText="1" shrinkToFit="1"/>
    </xf>
    <xf numFmtId="0" fontId="25" fillId="0" borderId="75" xfId="0" applyFont="1" applyBorder="1" applyAlignment="1" applyProtection="1">
      <alignment vertical="top" wrapText="1" shrinkToFit="1"/>
    </xf>
    <xf numFmtId="0" fontId="24" fillId="0" borderId="83" xfId="0" applyFont="1" applyBorder="1" applyAlignment="1" applyProtection="1">
      <alignment vertical="top" wrapText="1" shrinkToFit="1"/>
    </xf>
    <xf numFmtId="0" fontId="24" fillId="0" borderId="14" xfId="0" applyFont="1" applyBorder="1" applyAlignment="1" applyProtection="1">
      <alignment horizontal="center" vertical="top" wrapText="1" shrinkToFit="1"/>
    </xf>
    <xf numFmtId="0" fontId="25" fillId="0" borderId="14" xfId="0" applyFont="1" applyBorder="1" applyAlignment="1" applyProtection="1">
      <alignment horizontal="right" vertical="top" wrapText="1" shrinkToFit="1"/>
    </xf>
    <xf numFmtId="0" fontId="24" fillId="0" borderId="91" xfId="0" applyFont="1" applyBorder="1" applyAlignment="1" applyProtection="1">
      <alignment vertical="top" wrapText="1" shrinkToFit="1"/>
    </xf>
    <xf numFmtId="0" fontId="24" fillId="0" borderId="66" xfId="0" applyFont="1" applyBorder="1" applyAlignment="1" applyProtection="1">
      <alignment horizontal="center" vertical="top" wrapText="1" shrinkToFit="1"/>
    </xf>
    <xf numFmtId="0" fontId="25" fillId="0" borderId="66" xfId="0" applyFont="1" applyBorder="1" applyAlignment="1" applyProtection="1">
      <alignment horizontal="right" vertical="top" wrapText="1" shrinkToFit="1"/>
    </xf>
    <xf numFmtId="0" fontId="24" fillId="7" borderId="82" xfId="0" applyFont="1" applyFill="1" applyBorder="1" applyAlignment="1" applyProtection="1">
      <alignment vertical="top" wrapText="1" shrinkToFit="1"/>
    </xf>
    <xf numFmtId="0" fontId="24" fillId="7" borderId="42" xfId="0" applyFont="1" applyFill="1" applyBorder="1" applyAlignment="1" applyProtection="1">
      <alignment horizontal="center" vertical="top" wrapText="1" shrinkToFit="1"/>
    </xf>
    <xf numFmtId="0" fontId="24" fillId="7" borderId="83" xfId="0" applyFont="1" applyFill="1" applyBorder="1" applyAlignment="1" applyProtection="1">
      <alignment vertical="top" wrapText="1" shrinkToFit="1"/>
    </xf>
    <xf numFmtId="0" fontId="24" fillId="7" borderId="14" xfId="0" applyFont="1" applyFill="1" applyBorder="1" applyAlignment="1" applyProtection="1">
      <alignment horizontal="center" vertical="top" wrapText="1" shrinkToFit="1"/>
    </xf>
    <xf numFmtId="0" fontId="24" fillId="7" borderId="91" xfId="0" applyFont="1" applyFill="1" applyBorder="1" applyAlignment="1" applyProtection="1">
      <alignment vertical="top" wrapText="1" shrinkToFit="1"/>
    </xf>
    <xf numFmtId="0" fontId="24" fillId="7" borderId="66" xfId="0" applyFont="1" applyFill="1" applyBorder="1" applyAlignment="1" applyProtection="1">
      <alignment horizontal="center" vertical="top" wrapText="1" shrinkToFit="1"/>
    </xf>
    <xf numFmtId="0" fontId="24" fillId="0" borderId="82" xfId="0" applyFont="1" applyBorder="1" applyAlignment="1" applyProtection="1">
      <alignment vertical="top" wrapText="1" shrinkToFit="1"/>
    </xf>
    <xf numFmtId="0" fontId="24" fillId="0" borderId="42" xfId="0" applyFont="1" applyBorder="1" applyAlignment="1" applyProtection="1">
      <alignment horizontal="center" vertical="top" wrapText="1" shrinkToFit="1"/>
    </xf>
    <xf numFmtId="168" fontId="59" fillId="13" borderId="24" xfId="0" applyNumberFormat="1" applyFont="1" applyFill="1" applyBorder="1" applyAlignment="1" applyProtection="1">
      <alignment horizontal="center" vertical="center" textRotation="90"/>
    </xf>
    <xf numFmtId="168" fontId="59" fillId="13" borderId="26" xfId="0" applyNumberFormat="1" applyFont="1" applyFill="1" applyBorder="1" applyAlignment="1" applyProtection="1">
      <alignment horizontal="center" vertical="center" textRotation="90"/>
    </xf>
    <xf numFmtId="1" fontId="56" fillId="14" borderId="47" xfId="0" applyNumberFormat="1" applyFont="1" applyFill="1" applyBorder="1" applyAlignment="1" applyProtection="1">
      <alignment horizontal="left" vertical="top" wrapText="1" shrinkToFit="1"/>
    </xf>
    <xf numFmtId="0" fontId="24" fillId="12" borderId="90" xfId="0" applyFont="1" applyFill="1" applyBorder="1" applyAlignment="1" applyProtection="1">
      <alignment vertical="top" wrapText="1" shrinkToFit="1"/>
    </xf>
    <xf numFmtId="0" fontId="6" fillId="12" borderId="75" xfId="0" applyFont="1" applyFill="1" applyBorder="1" applyAlignment="1" applyProtection="1">
      <alignment horizontal="center" vertical="top" wrapText="1" shrinkToFit="1"/>
    </xf>
    <xf numFmtId="0" fontId="24" fillId="12" borderId="83" xfId="0" applyFont="1" applyFill="1" applyBorder="1" applyAlignment="1" applyProtection="1">
      <alignment vertical="top" wrapText="1" shrinkToFit="1"/>
    </xf>
    <xf numFmtId="0" fontId="24" fillId="12" borderId="14" xfId="0" applyFont="1" applyFill="1" applyBorder="1" applyAlignment="1" applyProtection="1">
      <alignment horizontal="center" vertical="top" wrapText="1" shrinkToFit="1"/>
    </xf>
    <xf numFmtId="0" fontId="24" fillId="12" borderId="91" xfId="0" applyFont="1" applyFill="1" applyBorder="1" applyAlignment="1" applyProtection="1">
      <alignment vertical="top" wrapText="1" shrinkToFit="1"/>
    </xf>
    <xf numFmtId="0" fontId="24" fillId="12" borderId="66" xfId="0" applyFont="1" applyFill="1" applyBorder="1" applyAlignment="1" applyProtection="1">
      <alignment horizontal="center" vertical="top" wrapText="1" shrinkToFit="1"/>
    </xf>
    <xf numFmtId="0" fontId="25" fillId="0" borderId="17" xfId="0" applyFont="1" applyBorder="1" applyAlignment="1" applyProtection="1">
      <alignment vertical="top" wrapText="1" shrinkToFit="1"/>
    </xf>
    <xf numFmtId="0" fontId="24" fillId="12" borderId="78" xfId="0" applyFont="1" applyFill="1" applyBorder="1" applyAlignment="1" applyProtection="1">
      <alignment vertical="top" wrapText="1" shrinkToFit="1"/>
    </xf>
    <xf numFmtId="0" fontId="6" fillId="12" borderId="1" xfId="0" applyFont="1" applyFill="1" applyBorder="1" applyAlignment="1" applyProtection="1">
      <alignment horizontal="center" vertical="top" wrapText="1" shrinkToFit="1"/>
    </xf>
    <xf numFmtId="49" fontId="55" fillId="13" borderId="79" xfId="0" applyNumberFormat="1" applyFont="1" applyFill="1" applyBorder="1" applyAlignment="1" applyProtection="1">
      <alignment vertical="center"/>
    </xf>
    <xf numFmtId="168" fontId="56" fillId="13" borderId="30" xfId="0" applyNumberFormat="1" applyFont="1" applyFill="1" applyBorder="1" applyAlignment="1" applyProtection="1">
      <alignment horizontal="center" vertical="center" textRotation="90"/>
    </xf>
    <xf numFmtId="0" fontId="55" fillId="13" borderId="69" xfId="0" applyFont="1" applyFill="1" applyBorder="1" applyAlignment="1" applyProtection="1">
      <alignment horizontal="left" vertical="center" wrapText="1" indent="2" shrinkToFit="1"/>
    </xf>
    <xf numFmtId="1" fontId="56" fillId="14" borderId="30" xfId="0" applyNumberFormat="1" applyFont="1" applyFill="1" applyBorder="1" applyAlignment="1" applyProtection="1">
      <alignment horizontal="left" vertical="center" wrapText="1" shrinkToFit="1"/>
    </xf>
    <xf numFmtId="49" fontId="24" fillId="0" borderId="78" xfId="0" applyNumberFormat="1" applyFont="1" applyFill="1" applyBorder="1" applyAlignment="1" applyProtection="1">
      <alignment vertical="top"/>
    </xf>
    <xf numFmtId="0" fontId="25" fillId="0" borderId="77" xfId="0" applyFont="1" applyBorder="1" applyAlignment="1" applyProtection="1">
      <alignment vertical="top" wrapText="1" shrinkToFit="1"/>
    </xf>
    <xf numFmtId="49" fontId="24" fillId="0" borderId="83" xfId="0" applyNumberFormat="1" applyFont="1" applyBorder="1" applyAlignment="1" applyProtection="1">
      <alignment vertical="top"/>
    </xf>
    <xf numFmtId="49" fontId="24" fillId="0" borderId="32" xfId="0" applyNumberFormat="1" applyFont="1" applyBorder="1" applyAlignment="1" applyProtection="1">
      <alignment horizontal="center" vertical="top"/>
    </xf>
    <xf numFmtId="49" fontId="24" fillId="0" borderId="78" xfId="0" applyNumberFormat="1" applyFont="1" applyBorder="1" applyAlignment="1" applyProtection="1">
      <alignment vertical="top"/>
    </xf>
    <xf numFmtId="49" fontId="24" fillId="0" borderId="0" xfId="0" applyNumberFormat="1" applyFont="1" applyBorder="1" applyAlignment="1" applyProtection="1">
      <alignment horizontal="center" vertical="top"/>
    </xf>
    <xf numFmtId="0" fontId="25" fillId="0" borderId="1" xfId="0" applyFont="1" applyBorder="1" applyAlignment="1" applyProtection="1">
      <alignment vertical="top" wrapText="1" shrinkToFit="1"/>
    </xf>
    <xf numFmtId="49" fontId="24" fillId="7" borderId="32" xfId="0" applyNumberFormat="1" applyFont="1" applyFill="1" applyBorder="1" applyAlignment="1" applyProtection="1">
      <alignment horizontal="center" vertical="top"/>
    </xf>
    <xf numFmtId="1" fontId="57" fillId="14" borderId="30" xfId="0" applyNumberFormat="1" applyFont="1" applyFill="1" applyBorder="1" applyAlignment="1" applyProtection="1">
      <alignment horizontal="left" vertical="top" wrapText="1" shrinkToFit="1"/>
    </xf>
    <xf numFmtId="0" fontId="2" fillId="0" borderId="0" xfId="0" applyFont="1" applyFill="1" applyAlignment="1" applyProtection="1">
      <alignment wrapText="1"/>
    </xf>
    <xf numFmtId="49" fontId="32" fillId="11" borderId="81" xfId="0" applyNumberFormat="1" applyFont="1" applyFill="1" applyBorder="1" applyAlignment="1" applyProtection="1">
      <alignment vertical="top"/>
    </xf>
    <xf numFmtId="9" fontId="32" fillId="11" borderId="30" xfId="1" applyFont="1" applyFill="1" applyBorder="1" applyAlignment="1" applyProtection="1">
      <alignment horizontal="center" vertical="top" textRotation="90"/>
    </xf>
    <xf numFmtId="0" fontId="32" fillId="11" borderId="30" xfId="0" applyFont="1" applyFill="1" applyBorder="1" applyAlignment="1" applyProtection="1">
      <alignment vertical="top" wrapText="1" shrinkToFit="1"/>
    </xf>
    <xf numFmtId="0" fontId="24" fillId="0" borderId="78" xfId="0" applyFont="1" applyFill="1" applyBorder="1" applyAlignment="1" applyProtection="1">
      <alignment vertical="top" wrapText="1" shrinkToFit="1"/>
    </xf>
    <xf numFmtId="0" fontId="24" fillId="0" borderId="4" xfId="0" applyFont="1" applyFill="1" applyBorder="1" applyAlignment="1" applyProtection="1">
      <alignment horizontal="center" vertical="top" wrapText="1" shrinkToFit="1"/>
    </xf>
    <xf numFmtId="0" fontId="25" fillId="0" borderId="87" xfId="0" applyFont="1" applyFill="1" applyBorder="1" applyAlignment="1" applyProtection="1">
      <alignment vertical="top" wrapText="1" shrinkToFit="1"/>
    </xf>
    <xf numFmtId="0" fontId="2" fillId="0" borderId="78" xfId="0" applyFont="1" applyFill="1" applyBorder="1" applyAlignment="1" applyProtection="1">
      <alignment horizontal="center" vertical="center" wrapText="1" shrinkToFit="1"/>
    </xf>
    <xf numFmtId="0" fontId="25" fillId="0" borderId="42" xfId="0" applyFont="1" applyFill="1" applyBorder="1" applyAlignment="1" applyProtection="1">
      <alignment vertical="top" wrapText="1" shrinkToFit="1"/>
    </xf>
    <xf numFmtId="0" fontId="24" fillId="0" borderId="89" xfId="0" applyFont="1" applyBorder="1" applyAlignment="1" applyProtection="1">
      <alignment vertical="top" wrapText="1" shrinkToFit="1"/>
    </xf>
    <xf numFmtId="0" fontId="24" fillId="0" borderId="31" xfId="0" applyFont="1" applyBorder="1" applyAlignment="1" applyProtection="1">
      <alignment horizontal="center" vertical="top" wrapText="1" shrinkToFit="1"/>
    </xf>
    <xf numFmtId="0" fontId="2" fillId="0" borderId="78" xfId="0" applyFont="1" applyBorder="1" applyAlignment="1" applyProtection="1">
      <alignment horizontal="center" vertical="center" wrapText="1" shrinkToFit="1"/>
    </xf>
    <xf numFmtId="0" fontId="24" fillId="0" borderId="32" xfId="0" applyFont="1" applyBorder="1" applyAlignment="1" applyProtection="1">
      <alignment horizontal="center" vertical="top" wrapText="1" shrinkToFit="1"/>
    </xf>
    <xf numFmtId="0" fontId="6" fillId="12" borderId="89" xfId="0" quotePrefix="1" applyFont="1" applyFill="1" applyBorder="1" applyAlignment="1" applyProtection="1">
      <alignment vertical="top" wrapText="1" shrinkToFit="1"/>
    </xf>
    <xf numFmtId="0" fontId="6" fillId="12" borderId="31" xfId="0" applyFont="1" applyFill="1" applyBorder="1" applyAlignment="1" applyProtection="1">
      <alignment horizontal="center" vertical="top" wrapText="1" shrinkToFit="1"/>
    </xf>
    <xf numFmtId="0" fontId="2" fillId="12" borderId="78" xfId="0" applyFont="1" applyFill="1" applyBorder="1" applyAlignment="1" applyProtection="1">
      <alignment horizontal="center" vertical="center" wrapText="1" shrinkToFit="1"/>
    </xf>
    <xf numFmtId="0" fontId="24" fillId="12" borderId="32" xfId="0" applyFont="1" applyFill="1" applyBorder="1" applyAlignment="1" applyProtection="1">
      <alignment horizontal="center" vertical="top" wrapText="1" shrinkToFit="1"/>
    </xf>
    <xf numFmtId="9" fontId="32" fillId="11" borderId="30" xfId="0" applyNumberFormat="1" applyFont="1" applyFill="1" applyBorder="1" applyAlignment="1" applyProtection="1">
      <alignment horizontal="center" vertical="top" textRotation="90"/>
    </xf>
    <xf numFmtId="0" fontId="24" fillId="0" borderId="89" xfId="0" applyFont="1" applyFill="1" applyBorder="1" applyAlignment="1" applyProtection="1">
      <alignment vertical="top" wrapText="1" shrinkToFit="1"/>
    </xf>
    <xf numFmtId="0" fontId="24" fillId="0" borderId="31" xfId="0" applyFont="1" applyFill="1" applyBorder="1" applyAlignment="1" applyProtection="1">
      <alignment horizontal="center" vertical="top" wrapText="1" shrinkToFit="1"/>
    </xf>
    <xf numFmtId="0" fontId="25" fillId="0" borderId="75" xfId="0" applyFont="1" applyFill="1" applyBorder="1" applyAlignment="1" applyProtection="1">
      <alignment vertical="top" wrapText="1" shrinkToFit="1"/>
    </xf>
    <xf numFmtId="0" fontId="6" fillId="0" borderId="4" xfId="0" applyFont="1" applyFill="1" applyBorder="1" applyAlignment="1" applyProtection="1">
      <alignment horizontal="center" vertical="top" wrapText="1" shrinkToFit="1"/>
    </xf>
    <xf numFmtId="0" fontId="24" fillId="12" borderId="89" xfId="0" applyFont="1" applyFill="1" applyBorder="1" applyAlignment="1" applyProtection="1">
      <alignment vertical="top" wrapText="1" shrinkToFit="1"/>
    </xf>
    <xf numFmtId="0" fontId="24" fillId="7" borderId="89" xfId="0" applyFont="1" applyFill="1" applyBorder="1" applyAlignment="1" applyProtection="1">
      <alignment vertical="top" wrapText="1" shrinkToFit="1"/>
    </xf>
    <xf numFmtId="0" fontId="24" fillId="7" borderId="31" xfId="0" applyFont="1" applyFill="1" applyBorder="1" applyAlignment="1" applyProtection="1">
      <alignment horizontal="center" vertical="top" wrapText="1" shrinkToFit="1"/>
    </xf>
    <xf numFmtId="0" fontId="2" fillId="7" borderId="78" xfId="0" applyFont="1" applyFill="1" applyBorder="1" applyAlignment="1" applyProtection="1">
      <alignment horizontal="center" vertical="center" wrapText="1" shrinkToFit="1"/>
    </xf>
    <xf numFmtId="0" fontId="6" fillId="7" borderId="4" xfId="0" applyFont="1" applyFill="1" applyBorder="1" applyAlignment="1" applyProtection="1">
      <alignment horizontal="center" vertical="top" wrapText="1" shrinkToFit="1"/>
    </xf>
    <xf numFmtId="0" fontId="6" fillId="7" borderId="31" xfId="0" applyFont="1" applyFill="1" applyBorder="1" applyAlignment="1" applyProtection="1">
      <alignment horizontal="center" vertical="top" wrapText="1" shrinkToFit="1"/>
    </xf>
    <xf numFmtId="0" fontId="6" fillId="0" borderId="89" xfId="0" quotePrefix="1" applyNumberFormat="1" applyFont="1" applyBorder="1" applyAlignment="1" applyProtection="1">
      <alignment vertical="top" wrapText="1" shrinkToFit="1"/>
    </xf>
    <xf numFmtId="49" fontId="24" fillId="7" borderId="78" xfId="0" applyNumberFormat="1" applyFont="1" applyFill="1" applyBorder="1" applyAlignment="1" applyProtection="1">
      <alignment vertical="top"/>
    </xf>
    <xf numFmtId="49" fontId="24" fillId="7" borderId="0" xfId="0" applyNumberFormat="1" applyFont="1" applyFill="1" applyBorder="1" applyAlignment="1" applyProtection="1">
      <alignment horizontal="center" vertical="top"/>
    </xf>
    <xf numFmtId="49" fontId="24" fillId="12" borderId="83" xfId="0" applyNumberFormat="1" applyFont="1" applyFill="1" applyBorder="1" applyAlignment="1" applyProtection="1">
      <alignment vertical="top"/>
    </xf>
    <xf numFmtId="49" fontId="6" fillId="12" borderId="32" xfId="0" applyNumberFormat="1" applyFont="1" applyFill="1" applyBorder="1" applyAlignment="1" applyProtection="1">
      <alignment horizontal="center" vertical="top"/>
    </xf>
    <xf numFmtId="0" fontId="0" fillId="0" borderId="85" xfId="0" applyBorder="1" applyProtection="1"/>
    <xf numFmtId="0" fontId="0" fillId="0" borderId="85" xfId="0" applyBorder="1" applyAlignment="1" applyProtection="1">
      <alignment horizontal="center"/>
    </xf>
    <xf numFmtId="49" fontId="2" fillId="0" borderId="0" xfId="0" applyNumberFormat="1" applyFont="1" applyProtection="1"/>
    <xf numFmtId="49" fontId="2" fillId="0" borderId="0" xfId="0" applyNumberFormat="1" applyFont="1" applyAlignment="1" applyProtection="1">
      <alignment horizontal="center"/>
    </xf>
    <xf numFmtId="0" fontId="2" fillId="0" borderId="0" xfId="0" applyFont="1" applyAlignment="1" applyProtection="1">
      <alignment wrapText="1" shrinkToFit="1"/>
    </xf>
    <xf numFmtId="1" fontId="2" fillId="0" borderId="0" xfId="0" applyNumberFormat="1" applyFont="1" applyAlignment="1" applyProtection="1">
      <alignment wrapText="1" shrinkToFit="1"/>
    </xf>
    <xf numFmtId="0" fontId="2" fillId="0" borderId="0" xfId="0" applyNumberFormat="1" applyFont="1" applyAlignment="1" applyProtection="1">
      <alignment wrapText="1" shrinkToFit="1"/>
    </xf>
    <xf numFmtId="0" fontId="25" fillId="0" borderId="0" xfId="0" applyNumberFormat="1" applyFont="1" applyAlignment="1" applyProtection="1">
      <alignment wrapText="1" shrinkToFit="1"/>
    </xf>
    <xf numFmtId="0" fontId="25" fillId="0" borderId="0" xfId="0" applyFont="1" applyAlignment="1" applyProtection="1">
      <alignment wrapText="1" shrinkToFit="1"/>
    </xf>
    <xf numFmtId="0" fontId="2" fillId="0" borderId="0" xfId="0" applyNumberFormat="1" applyFont="1" applyAlignment="1" applyProtection="1">
      <alignment horizontal="right" wrapText="1" shrinkToFit="1"/>
    </xf>
    <xf numFmtId="1" fontId="2" fillId="0" borderId="0" xfId="0" applyNumberFormat="1" applyFont="1" applyAlignment="1" applyProtection="1">
      <alignment horizontal="right" wrapText="1" shrinkToFit="1"/>
    </xf>
    <xf numFmtId="49" fontId="0" fillId="0" borderId="0" xfId="0" applyNumberFormat="1" applyProtection="1"/>
    <xf numFmtId="49" fontId="0" fillId="0" borderId="0" xfId="0" applyNumberFormat="1" applyAlignment="1" applyProtection="1">
      <alignment horizontal="center"/>
    </xf>
    <xf numFmtId="0" fontId="0" fillId="0" borderId="0" xfId="0" applyAlignment="1" applyProtection="1">
      <alignment wrapText="1" shrinkToFit="1"/>
    </xf>
    <xf numFmtId="0" fontId="0" fillId="0" borderId="0" xfId="0" applyNumberFormat="1" applyAlignment="1" applyProtection="1">
      <alignment wrapText="1" shrinkToFit="1"/>
    </xf>
    <xf numFmtId="49" fontId="25" fillId="6" borderId="67" xfId="0" applyNumberFormat="1" applyFont="1" applyFill="1" applyBorder="1" applyAlignment="1" applyProtection="1">
      <alignment vertical="top" wrapText="1" shrinkToFit="1"/>
      <protection locked="0"/>
    </xf>
    <xf numFmtId="49" fontId="25" fillId="6" borderId="50" xfId="0" applyNumberFormat="1" applyFont="1" applyFill="1" applyBorder="1" applyAlignment="1" applyProtection="1">
      <alignment vertical="top" wrapText="1" shrinkToFit="1"/>
      <protection locked="0"/>
    </xf>
    <xf numFmtId="49" fontId="25" fillId="6" borderId="48" xfId="0" applyNumberFormat="1" applyFont="1" applyFill="1" applyBorder="1" applyAlignment="1" applyProtection="1">
      <alignment vertical="top" wrapText="1" shrinkToFit="1"/>
      <protection locked="0"/>
    </xf>
    <xf numFmtId="49" fontId="25" fillId="6" borderId="92" xfId="0" applyNumberFormat="1" applyFont="1" applyFill="1" applyBorder="1" applyAlignment="1" applyProtection="1">
      <alignment vertical="top" wrapText="1" shrinkToFit="1"/>
      <protection locked="0"/>
    </xf>
    <xf numFmtId="49" fontId="25" fillId="6" borderId="76" xfId="0" applyNumberFormat="1" applyFont="1" applyFill="1" applyBorder="1" applyAlignment="1" applyProtection="1">
      <alignment vertical="top" wrapText="1" shrinkToFit="1"/>
      <protection locked="0"/>
    </xf>
    <xf numFmtId="170" fontId="3" fillId="0" borderId="14" xfId="5" applyNumberFormat="1" applyFont="1" applyFill="1" applyBorder="1" applyAlignment="1" applyProtection="1">
      <alignment horizontal="center" vertical="center"/>
    </xf>
    <xf numFmtId="170" fontId="3" fillId="12" borderId="14" xfId="5" applyNumberFormat="1" applyFont="1" applyFill="1" applyBorder="1" applyAlignment="1" applyProtection="1">
      <alignment horizontal="center" vertical="center"/>
    </xf>
    <xf numFmtId="0" fontId="3" fillId="5" borderId="14" xfId="5" applyFont="1" applyFill="1" applyBorder="1" applyAlignment="1" applyProtection="1">
      <alignment horizontal="center" vertical="center"/>
    </xf>
    <xf numFmtId="0" fontId="3" fillId="19" borderId="0" xfId="5" applyFont="1" applyFill="1" applyBorder="1" applyAlignment="1" applyProtection="1">
      <alignment horizontal="center" vertical="center"/>
    </xf>
    <xf numFmtId="0" fontId="0" fillId="0" borderId="13" xfId="0" applyBorder="1" applyProtection="1"/>
    <xf numFmtId="0" fontId="0" fillId="0" borderId="7" xfId="0" applyBorder="1" applyProtection="1"/>
    <xf numFmtId="0" fontId="0" fillId="0" borderId="15" xfId="0" applyBorder="1" applyProtection="1"/>
    <xf numFmtId="0" fontId="25" fillId="0" borderId="0" xfId="9" applyFont="1" applyFill="1" applyBorder="1" applyAlignment="1" applyProtection="1">
      <alignment vertical="center"/>
    </xf>
    <xf numFmtId="0" fontId="25" fillId="0" borderId="0" xfId="9" applyFont="1" applyBorder="1" applyAlignment="1" applyProtection="1">
      <alignment horizontal="center" vertical="center"/>
    </xf>
    <xf numFmtId="0" fontId="2" fillId="0" borderId="0" xfId="9" applyBorder="1" applyAlignment="1" applyProtection="1">
      <alignment horizontal="center" vertical="center"/>
    </xf>
    <xf numFmtId="0" fontId="2" fillId="0" borderId="0" xfId="9" applyBorder="1" applyAlignment="1" applyProtection="1">
      <alignment horizontal="left" vertical="center"/>
    </xf>
    <xf numFmtId="0" fontId="30" fillId="0" borderId="0" xfId="0" applyFont="1" applyBorder="1" applyAlignment="1" applyProtection="1">
      <alignment horizontal="center" vertical="center"/>
    </xf>
    <xf numFmtId="0" fontId="0" fillId="0" borderId="0" xfId="0" applyBorder="1" applyAlignment="1" applyProtection="1">
      <alignment horizontal="center" vertical="center"/>
    </xf>
    <xf numFmtId="0" fontId="3" fillId="0" borderId="7" xfId="5" applyBorder="1" applyProtection="1">
      <protection locked="0"/>
    </xf>
    <xf numFmtId="0" fontId="3" fillId="0" borderId="117" xfId="5" applyBorder="1" applyProtection="1">
      <protection locked="0"/>
    </xf>
    <xf numFmtId="0" fontId="0" fillId="0" borderId="0" xfId="0" applyAlignment="1" applyProtection="1"/>
    <xf numFmtId="0" fontId="6" fillId="11" borderId="3" xfId="0" applyFont="1" applyFill="1" applyBorder="1" applyAlignment="1" applyProtection="1"/>
    <xf numFmtId="0" fontId="6" fillId="11" borderId="8" xfId="0" applyFont="1" applyFill="1" applyBorder="1" applyAlignment="1" applyProtection="1"/>
    <xf numFmtId="0" fontId="6" fillId="11" borderId="3" xfId="0" applyFont="1" applyFill="1" applyBorder="1" applyAlignment="1" applyProtection="1">
      <alignment wrapText="1"/>
    </xf>
    <xf numFmtId="0" fontId="6" fillId="11" borderId="8" xfId="0" applyFont="1" applyFill="1" applyBorder="1" applyAlignment="1" applyProtection="1">
      <alignment wrapText="1"/>
    </xf>
    <xf numFmtId="0" fontId="6" fillId="0" borderId="0" xfId="0" applyFont="1" applyFill="1" applyBorder="1" applyAlignment="1" applyProtection="1"/>
    <xf numFmtId="0" fontId="6" fillId="0" borderId="0" xfId="0" applyFont="1" applyFill="1" applyBorder="1" applyAlignment="1" applyProtection="1">
      <alignment wrapText="1"/>
    </xf>
    <xf numFmtId="0" fontId="25" fillId="0" borderId="0" xfId="0" applyFont="1" applyFill="1" applyBorder="1" applyAlignment="1" applyProtection="1"/>
    <xf numFmtId="0" fontId="6" fillId="0" borderId="4" xfId="0" applyFont="1" applyFill="1" applyBorder="1" applyAlignment="1" applyProtection="1">
      <alignment wrapText="1"/>
    </xf>
    <xf numFmtId="0" fontId="6" fillId="0" borderId="0" xfId="0" applyFont="1" applyFill="1" applyBorder="1" applyAlignment="1" applyProtection="1">
      <alignment vertical="center"/>
    </xf>
    <xf numFmtId="0" fontId="25" fillId="0" borderId="0" xfId="0" applyFont="1" applyFill="1" applyBorder="1" applyAlignment="1" applyProtection="1">
      <alignment vertical="center"/>
    </xf>
    <xf numFmtId="0" fontId="3" fillId="0" borderId="0" xfId="0" applyFont="1" applyFill="1" applyBorder="1" applyAlignment="1" applyProtection="1">
      <alignment wrapText="1"/>
    </xf>
    <xf numFmtId="0" fontId="2" fillId="0" borderId="0" xfId="0" applyFont="1" applyFill="1" applyBorder="1" applyAlignment="1" applyProtection="1">
      <alignment wrapText="1"/>
    </xf>
    <xf numFmtId="0" fontId="25" fillId="0" borderId="16" xfId="7" applyFont="1" applyBorder="1" applyAlignment="1" applyProtection="1">
      <alignment horizontal="left" vertical="top" wrapText="1"/>
      <protection locked="0"/>
    </xf>
    <xf numFmtId="0" fontId="25" fillId="0" borderId="4" xfId="7" applyFont="1" applyBorder="1" applyAlignment="1" applyProtection="1">
      <alignment horizontal="left" vertical="top" wrapText="1"/>
      <protection locked="0"/>
    </xf>
    <xf numFmtId="0" fontId="25" fillId="0" borderId="72" xfId="7" applyFont="1" applyBorder="1" applyAlignment="1" applyProtection="1">
      <alignment horizontal="left" vertical="top" wrapText="1"/>
      <protection locked="0"/>
    </xf>
    <xf numFmtId="0" fontId="25" fillId="0" borderId="0" xfId="7" applyFont="1" applyBorder="1" applyAlignment="1" applyProtection="1">
      <alignment horizontal="left" vertical="top" wrapText="1"/>
      <protection locked="0"/>
    </xf>
    <xf numFmtId="0" fontId="25" fillId="0" borderId="32" xfId="7" applyFont="1" applyBorder="1" applyAlignment="1" applyProtection="1">
      <alignment horizontal="left" vertical="top" wrapText="1"/>
      <protection locked="0"/>
    </xf>
    <xf numFmtId="0" fontId="25" fillId="0" borderId="9" xfId="7" applyFont="1" applyBorder="1" applyAlignment="1" applyProtection="1">
      <alignment horizontal="left" vertical="top" wrapText="1"/>
      <protection locked="0"/>
    </xf>
    <xf numFmtId="14" fontId="25" fillId="0" borderId="16" xfId="7" applyNumberFormat="1" applyFont="1" applyBorder="1" applyAlignment="1" applyProtection="1">
      <alignment horizontal="left" vertical="top" wrapText="1"/>
      <protection locked="0"/>
    </xf>
    <xf numFmtId="14" fontId="25" fillId="0" borderId="0" xfId="7" applyNumberFormat="1" applyFont="1" applyBorder="1" applyAlignment="1" applyProtection="1">
      <alignment horizontal="left" vertical="top" wrapText="1"/>
      <protection locked="0"/>
    </xf>
    <xf numFmtId="14" fontId="25" fillId="0" borderId="4" xfId="7" applyNumberFormat="1" applyFont="1" applyBorder="1" applyAlignment="1" applyProtection="1">
      <alignment horizontal="left" vertical="top" wrapText="1"/>
      <protection locked="0"/>
    </xf>
    <xf numFmtId="14" fontId="25" fillId="0" borderId="9" xfId="7" applyNumberFormat="1" applyFont="1" applyBorder="1" applyAlignment="1" applyProtection="1">
      <alignment horizontal="left" vertical="top" wrapText="1"/>
      <protection locked="0"/>
    </xf>
    <xf numFmtId="14" fontId="25" fillId="0" borderId="32" xfId="7" applyNumberFormat="1" applyFont="1" applyBorder="1" applyAlignment="1" applyProtection="1">
      <alignment horizontal="left" vertical="top" wrapText="1"/>
      <protection locked="0"/>
    </xf>
    <xf numFmtId="14" fontId="25" fillId="0" borderId="72" xfId="7" applyNumberFormat="1" applyFont="1" applyBorder="1" applyAlignment="1" applyProtection="1">
      <alignment horizontal="left" vertical="top" wrapText="1"/>
      <protection locked="0"/>
    </xf>
    <xf numFmtId="1" fontId="56" fillId="13" borderId="47" xfId="0" applyNumberFormat="1" applyFont="1" applyFill="1" applyBorder="1" applyAlignment="1" applyProtection="1">
      <alignment horizontal="center" vertical="center" textRotation="90" shrinkToFit="1"/>
    </xf>
    <xf numFmtId="49" fontId="0" fillId="0" borderId="15" xfId="0" applyNumberFormat="1" applyBorder="1" applyProtection="1"/>
    <xf numFmtId="0" fontId="24" fillId="0" borderId="9" xfId="0" applyFont="1" applyBorder="1" applyAlignment="1" applyProtection="1">
      <alignment horizontal="right" wrapText="1" shrinkToFit="1"/>
    </xf>
    <xf numFmtId="0" fontId="25" fillId="0" borderId="10" xfId="0" applyNumberFormat="1" applyFont="1" applyBorder="1" applyAlignment="1" applyProtection="1">
      <alignment wrapText="1" shrinkToFit="1"/>
    </xf>
    <xf numFmtId="49" fontId="0" fillId="0" borderId="20" xfId="0" applyNumberFormat="1" applyBorder="1" applyAlignment="1" applyProtection="1">
      <alignment horizontal="center"/>
    </xf>
    <xf numFmtId="49" fontId="0" fillId="0" borderId="47" xfId="0" applyNumberFormat="1" applyBorder="1" applyAlignment="1" applyProtection="1">
      <alignment horizontal="center"/>
    </xf>
    <xf numFmtId="1" fontId="30" fillId="0" borderId="20" xfId="0" applyNumberFormat="1" applyFont="1" applyBorder="1" applyAlignment="1" applyProtection="1">
      <alignment wrapText="1" shrinkToFit="1"/>
    </xf>
    <xf numFmtId="1" fontId="30" fillId="0" borderId="47" xfId="0" applyNumberFormat="1" applyFont="1" applyBorder="1" applyAlignment="1" applyProtection="1">
      <alignment wrapText="1" shrinkToFit="1"/>
    </xf>
    <xf numFmtId="0" fontId="25" fillId="0" borderId="12" xfId="0" applyNumberFormat="1" applyFont="1" applyBorder="1" applyAlignment="1" applyProtection="1">
      <alignment wrapText="1" shrinkToFit="1"/>
    </xf>
    <xf numFmtId="49" fontId="6" fillId="0" borderId="118" xfId="0" applyNumberFormat="1" applyFont="1" applyBorder="1" applyProtection="1"/>
    <xf numFmtId="0" fontId="30" fillId="0" borderId="119" xfId="0" applyNumberFormat="1" applyFont="1" applyBorder="1" applyAlignment="1" applyProtection="1">
      <alignment horizontal="right" wrapText="1" shrinkToFit="1"/>
    </xf>
    <xf numFmtId="9" fontId="2" fillId="0" borderId="7" xfId="0" applyNumberFormat="1" applyFont="1" applyBorder="1" applyAlignment="1" applyProtection="1">
      <alignment horizontal="center"/>
    </xf>
    <xf numFmtId="0" fontId="25" fillId="0" borderId="6" xfId="0" applyNumberFormat="1" applyFont="1" applyBorder="1" applyAlignment="1" applyProtection="1">
      <alignment horizontal="right" wrapText="1" shrinkToFit="1"/>
    </xf>
    <xf numFmtId="0" fontId="2" fillId="0" borderId="7" xfId="0" applyNumberFormat="1" applyFont="1" applyBorder="1" applyAlignment="1" applyProtection="1">
      <alignment horizontal="center" vertical="top"/>
    </xf>
    <xf numFmtId="14" fontId="25" fillId="0" borderId="6" xfId="0" applyNumberFormat="1" applyFont="1" applyBorder="1" applyAlignment="1" applyProtection="1">
      <alignment horizontal="right" vertical="top"/>
    </xf>
    <xf numFmtId="49" fontId="0" fillId="0" borderId="7" xfId="0" applyNumberFormat="1" applyBorder="1" applyProtection="1"/>
    <xf numFmtId="0" fontId="30" fillId="0" borderId="6" xfId="0" applyNumberFormat="1" applyFont="1" applyBorder="1" applyAlignment="1" applyProtection="1">
      <alignment wrapText="1" shrinkToFit="1"/>
    </xf>
    <xf numFmtId="0" fontId="0" fillId="0" borderId="6" xfId="0" applyNumberFormat="1" applyBorder="1" applyAlignment="1" applyProtection="1">
      <alignment wrapText="1" shrinkToFit="1"/>
    </xf>
    <xf numFmtId="0" fontId="2" fillId="0" borderId="27" xfId="0" applyNumberFormat="1" applyFont="1" applyBorder="1" applyAlignment="1" applyProtection="1">
      <alignment horizontal="center"/>
    </xf>
    <xf numFmtId="0" fontId="25" fillId="0" borderId="4" xfId="0" applyNumberFormat="1" applyFont="1" applyBorder="1" applyAlignment="1" applyProtection="1">
      <alignment horizontal="left"/>
    </xf>
    <xf numFmtId="1" fontId="25" fillId="0" borderId="4" xfId="0" applyNumberFormat="1" applyFont="1" applyBorder="1" applyAlignment="1" applyProtection="1">
      <alignment horizontal="center" textRotation="90" wrapText="1" shrinkToFit="1"/>
    </xf>
    <xf numFmtId="0" fontId="25" fillId="9" borderId="38" xfId="0" applyNumberFormat="1" applyFont="1" applyFill="1" applyBorder="1" applyAlignment="1" applyProtection="1">
      <alignment vertical="top" wrapText="1" shrinkToFit="1"/>
    </xf>
    <xf numFmtId="14" fontId="7" fillId="0" borderId="0" xfId="0" applyNumberFormat="1" applyFont="1" applyAlignment="1">
      <alignment horizontal="left"/>
    </xf>
    <xf numFmtId="0" fontId="60" fillId="0" borderId="0" xfId="5" applyFont="1" applyAlignment="1" applyProtection="1">
      <alignment wrapText="1"/>
    </xf>
    <xf numFmtId="0" fontId="3" fillId="9" borderId="0" xfId="5" applyFill="1" applyBorder="1" applyAlignment="1" applyProtection="1">
      <alignment horizontal="center" vertical="center" wrapText="1"/>
    </xf>
    <xf numFmtId="0" fontId="30" fillId="9" borderId="0" xfId="5" applyFont="1" applyFill="1" applyBorder="1" applyAlignment="1" applyProtection="1">
      <alignment horizontal="center"/>
    </xf>
    <xf numFmtId="0" fontId="8" fillId="0" borderId="12" xfId="2" applyFont="1" applyFill="1" applyBorder="1" applyAlignment="1" applyProtection="1">
      <alignment horizontal="right" vertical="center" wrapText="1"/>
    </xf>
    <xf numFmtId="49" fontId="6" fillId="12" borderId="90" xfId="0" applyNumberFormat="1" applyFont="1" applyFill="1" applyBorder="1" applyAlignment="1" applyProtection="1">
      <alignment vertical="top" wrapText="1" shrinkToFit="1"/>
    </xf>
    <xf numFmtId="0" fontId="3" fillId="12" borderId="63" xfId="5" applyFont="1" applyFill="1" applyBorder="1" applyAlignment="1" applyProtection="1">
      <alignment horizontal="center" vertical="center"/>
    </xf>
    <xf numFmtId="0" fontId="1" fillId="19" borderId="6" xfId="5" applyFont="1" applyFill="1" applyBorder="1" applyAlignment="1" applyProtection="1">
      <alignment horizontal="center"/>
    </xf>
    <xf numFmtId="170" fontId="3" fillId="12" borderId="63" xfId="5" applyNumberFormat="1" applyFont="1" applyFill="1" applyBorder="1" applyAlignment="1" applyProtection="1">
      <alignment horizontal="center" vertical="center"/>
    </xf>
    <xf numFmtId="0" fontId="3" fillId="19" borderId="6" xfId="5" applyFont="1" applyFill="1" applyBorder="1" applyAlignment="1" applyProtection="1">
      <alignment horizontal="center" vertical="center"/>
    </xf>
    <xf numFmtId="0" fontId="3" fillId="0" borderId="7" xfId="5" applyBorder="1" applyAlignment="1" applyProtection="1"/>
    <xf numFmtId="0" fontId="3" fillId="0" borderId="0" xfId="5" applyBorder="1" applyAlignment="1" applyProtection="1"/>
    <xf numFmtId="9" fontId="3" fillId="0" borderId="0" xfId="5" applyNumberFormat="1" applyBorder="1" applyAlignment="1" applyProtection="1"/>
    <xf numFmtId="49" fontId="8" fillId="0" borderId="0" xfId="5" applyNumberFormat="1" applyFont="1" applyFill="1" applyBorder="1" applyAlignment="1" applyProtection="1">
      <alignment horizontal="center"/>
    </xf>
    <xf numFmtId="49" fontId="8" fillId="12" borderId="0" xfId="5" applyNumberFormat="1" applyFont="1" applyFill="1" applyBorder="1" applyAlignment="1" applyProtection="1">
      <alignment horizontal="center"/>
    </xf>
    <xf numFmtId="0" fontId="3" fillId="0" borderId="0" xfId="5" applyBorder="1" applyAlignment="1" applyProtection="1">
      <alignment horizontal="center"/>
    </xf>
    <xf numFmtId="0" fontId="3" fillId="0" borderId="6" xfId="5" applyBorder="1" applyAlignment="1" applyProtection="1">
      <alignment horizontal="center"/>
    </xf>
    <xf numFmtId="0" fontId="3" fillId="0" borderId="0" xfId="5" applyAlignment="1" applyProtection="1"/>
    <xf numFmtId="0" fontId="13" fillId="0" borderId="0" xfId="5" applyFont="1" applyFill="1" applyBorder="1" applyAlignment="1" applyProtection="1">
      <alignment horizontal="right"/>
    </xf>
    <xf numFmtId="0" fontId="11" fillId="0" borderId="0" xfId="5" applyFont="1" applyAlignment="1" applyProtection="1">
      <alignment wrapText="1"/>
    </xf>
    <xf numFmtId="0" fontId="11" fillId="0" borderId="7" xfId="5" applyFont="1" applyBorder="1" applyProtection="1"/>
    <xf numFmtId="0" fontId="11" fillId="20" borderId="0" xfId="5" applyFont="1" applyFill="1" applyAlignment="1" applyProtection="1">
      <alignment horizontal="center"/>
    </xf>
    <xf numFmtId="0" fontId="11" fillId="0" borderId="0" xfId="5" applyFont="1" applyProtection="1"/>
    <xf numFmtId="0" fontId="3" fillId="0" borderId="0" xfId="0" applyFont="1" applyBorder="1" applyProtection="1"/>
    <xf numFmtId="0" fontId="3" fillId="0" borderId="0" xfId="0" applyFont="1" applyProtection="1"/>
    <xf numFmtId="1" fontId="11" fillId="0" borderId="0" xfId="5" applyNumberFormat="1" applyFont="1" applyBorder="1" applyAlignment="1" applyProtection="1">
      <alignment horizontal="center" vertical="center"/>
    </xf>
    <xf numFmtId="0" fontId="3" fillId="0" borderId="6" xfId="0" applyFont="1" applyBorder="1" applyProtection="1"/>
    <xf numFmtId="0" fontId="3" fillId="0" borderId="120" xfId="5" applyFont="1" applyBorder="1" applyAlignment="1" applyProtection="1">
      <alignment vertical="center"/>
    </xf>
    <xf numFmtId="0" fontId="6" fillId="0" borderId="31" xfId="0" applyFont="1" applyFill="1" applyBorder="1" applyAlignment="1" applyProtection="1">
      <alignment horizontal="center" vertical="top" wrapText="1" shrinkToFit="1"/>
    </xf>
    <xf numFmtId="0" fontId="24" fillId="0" borderId="32" xfId="0" applyFont="1" applyFill="1" applyBorder="1" applyAlignment="1" applyProtection="1">
      <alignment horizontal="center" vertical="top" wrapText="1" shrinkToFit="1"/>
    </xf>
    <xf numFmtId="0" fontId="6" fillId="12" borderId="4" xfId="0" applyFont="1" applyFill="1" applyBorder="1" applyAlignment="1" applyProtection="1">
      <alignment horizontal="center" vertical="top" wrapText="1" shrinkToFit="1"/>
    </xf>
    <xf numFmtId="0" fontId="24" fillId="0" borderId="90" xfId="0" applyFont="1" applyFill="1" applyBorder="1" applyAlignment="1" applyProtection="1">
      <alignment vertical="top" wrapText="1" shrinkToFit="1"/>
    </xf>
    <xf numFmtId="0" fontId="6" fillId="0" borderId="75" xfId="0" applyFont="1" applyFill="1" applyBorder="1" applyAlignment="1" applyProtection="1">
      <alignment horizontal="center" vertical="top" wrapText="1" shrinkToFit="1"/>
    </xf>
    <xf numFmtId="0" fontId="24" fillId="0" borderId="91" xfId="0" applyFont="1" applyFill="1" applyBorder="1" applyAlignment="1" applyProtection="1">
      <alignment vertical="top" wrapText="1" shrinkToFit="1"/>
    </xf>
    <xf numFmtId="0" fontId="24" fillId="0" borderId="66" xfId="0" applyFont="1" applyFill="1" applyBorder="1" applyAlignment="1" applyProtection="1">
      <alignment horizontal="center" vertical="top" wrapText="1" shrinkToFit="1"/>
    </xf>
    <xf numFmtId="49" fontId="30" fillId="0" borderId="32" xfId="0" applyNumberFormat="1" applyFont="1" applyBorder="1" applyAlignment="1">
      <alignment vertical="top" wrapText="1"/>
    </xf>
    <xf numFmtId="0" fontId="3" fillId="0" borderId="3" xfId="2" applyFont="1" applyFill="1" applyBorder="1" applyAlignment="1" applyProtection="1"/>
    <xf numFmtId="0" fontId="82" fillId="0" borderId="0" xfId="5" applyFont="1" applyFill="1" applyBorder="1" applyAlignment="1" applyProtection="1">
      <alignment horizontal="center" vertical="center"/>
    </xf>
    <xf numFmtId="0" fontId="82" fillId="0" borderId="0" xfId="5" applyFont="1" applyFill="1" applyBorder="1" applyAlignment="1" applyProtection="1">
      <alignment vertical="center"/>
    </xf>
    <xf numFmtId="0" fontId="83" fillId="11" borderId="61" xfId="2" applyFont="1" applyFill="1" applyBorder="1" applyAlignment="1" applyProtection="1">
      <alignment horizontal="center" vertical="center"/>
    </xf>
    <xf numFmtId="0" fontId="25" fillId="0" borderId="3" xfId="7" applyFont="1" applyBorder="1" applyAlignment="1" applyProtection="1">
      <alignment horizontal="left" vertical="top" wrapText="1"/>
      <protection locked="0"/>
    </xf>
    <xf numFmtId="0" fontId="3" fillId="0" borderId="3" xfId="0" applyFont="1" applyFill="1" applyBorder="1" applyAlignment="1" applyProtection="1">
      <alignment vertical="center" wrapText="1"/>
    </xf>
    <xf numFmtId="0" fontId="56" fillId="0" borderId="14" xfId="7" applyFont="1" applyFill="1" applyBorder="1" applyAlignment="1">
      <alignment horizontal="center" vertical="center" wrapText="1"/>
    </xf>
    <xf numFmtId="0" fontId="25" fillId="22" borderId="19" xfId="2" applyFont="1" applyFill="1" applyBorder="1" applyAlignment="1" applyProtection="1">
      <alignment vertical="top"/>
    </xf>
    <xf numFmtId="0" fontId="55" fillId="22" borderId="3" xfId="2" applyFont="1" applyFill="1" applyBorder="1" applyAlignment="1" applyProtection="1">
      <alignment vertical="center"/>
    </xf>
    <xf numFmtId="0" fontId="25" fillId="22" borderId="3" xfId="2" applyFont="1" applyFill="1" applyBorder="1" applyAlignment="1" applyProtection="1">
      <alignment vertical="top"/>
    </xf>
    <xf numFmtId="0" fontId="25" fillId="22" borderId="8" xfId="2" applyFont="1" applyFill="1" applyBorder="1" applyAlignment="1" applyProtection="1">
      <alignment vertical="top"/>
    </xf>
    <xf numFmtId="0" fontId="25" fillId="22" borderId="12" xfId="2" applyFont="1" applyFill="1" applyBorder="1" applyAlignment="1" applyProtection="1">
      <alignment vertical="top"/>
    </xf>
    <xf numFmtId="0" fontId="25" fillId="22" borderId="12" xfId="2" applyFont="1" applyFill="1" applyBorder="1" applyAlignment="1" applyProtection="1"/>
    <xf numFmtId="0" fontId="2" fillId="22" borderId="12" xfId="2" applyFont="1" applyFill="1" applyBorder="1" applyAlignment="1" applyProtection="1">
      <alignment wrapText="1"/>
    </xf>
    <xf numFmtId="0" fontId="25" fillId="22" borderId="17" xfId="2" applyFont="1" applyFill="1" applyBorder="1" applyAlignment="1" applyProtection="1"/>
    <xf numFmtId="0" fontId="25" fillId="22" borderId="32" xfId="2" applyFont="1" applyFill="1" applyBorder="1" applyAlignment="1" applyProtection="1">
      <alignment vertical="top"/>
    </xf>
    <xf numFmtId="0" fontId="25" fillId="22" borderId="2" xfId="2" applyFont="1" applyFill="1" applyBorder="1" applyAlignment="1" applyProtection="1"/>
    <xf numFmtId="0" fontId="25" fillId="22" borderId="4" xfId="2" applyFont="1" applyFill="1" applyBorder="1" applyAlignment="1" applyProtection="1"/>
    <xf numFmtId="0" fontId="25" fillId="22" borderId="5" xfId="2" applyFont="1" applyFill="1" applyBorder="1" applyAlignment="1" applyProtection="1"/>
    <xf numFmtId="0" fontId="25" fillId="22" borderId="2" xfId="2" applyFont="1" applyFill="1" applyBorder="1" applyAlignment="1" applyProtection="1">
      <alignment vertical="top"/>
    </xf>
    <xf numFmtId="0" fontId="3" fillId="22" borderId="2" xfId="2" applyFill="1" applyBorder="1" applyAlignment="1" applyProtection="1"/>
    <xf numFmtId="0" fontId="2" fillId="22" borderId="2" xfId="2" applyFont="1" applyFill="1" applyBorder="1" applyAlignment="1" applyProtection="1">
      <alignment wrapText="1"/>
    </xf>
    <xf numFmtId="0" fontId="25" fillId="22" borderId="19" xfId="2" applyFont="1" applyFill="1" applyBorder="1" applyAlignment="1" applyProtection="1">
      <alignment horizontal="left" vertical="center"/>
    </xf>
    <xf numFmtId="0" fontId="56" fillId="22" borderId="3" xfId="2" applyFont="1" applyFill="1" applyBorder="1" applyAlignment="1" applyProtection="1">
      <alignment vertical="center"/>
    </xf>
    <xf numFmtId="0" fontId="57" fillId="22" borderId="3" xfId="2" applyFont="1" applyFill="1" applyBorder="1" applyAlignment="1" applyProtection="1">
      <alignment vertical="center"/>
    </xf>
    <xf numFmtId="0" fontId="62" fillId="22" borderId="3" xfId="2" applyFont="1" applyFill="1" applyBorder="1" applyAlignment="1" applyProtection="1">
      <alignment horizontal="center" vertical="center" wrapText="1"/>
    </xf>
    <xf numFmtId="0" fontId="25" fillId="22" borderId="17" xfId="2" applyFont="1" applyFill="1" applyBorder="1" applyProtection="1"/>
    <xf numFmtId="0" fontId="6" fillId="22" borderId="4" xfId="2" applyFont="1" applyFill="1" applyBorder="1" applyAlignment="1" applyProtection="1"/>
    <xf numFmtId="0" fontId="6" fillId="22" borderId="4" xfId="0" applyFont="1" applyFill="1" applyBorder="1" applyAlignment="1" applyProtection="1"/>
    <xf numFmtId="0" fontId="6" fillId="22" borderId="4" xfId="2" applyFont="1" applyFill="1" applyBorder="1" applyAlignment="1" applyProtection="1">
      <alignment wrapText="1"/>
    </xf>
    <xf numFmtId="0" fontId="6" fillId="22" borderId="4" xfId="0" applyFont="1" applyFill="1" applyBorder="1" applyAlignment="1" applyProtection="1">
      <alignment wrapText="1"/>
    </xf>
    <xf numFmtId="0" fontId="25" fillId="22" borderId="1" xfId="2" applyFont="1" applyFill="1" applyBorder="1" applyAlignment="1" applyProtection="1">
      <alignment vertical="top"/>
    </xf>
    <xf numFmtId="0" fontId="34" fillId="22" borderId="0" xfId="2" applyFont="1" applyFill="1" applyBorder="1" applyAlignment="1" applyProtection="1">
      <alignment vertical="center"/>
    </xf>
    <xf numFmtId="0" fontId="57" fillId="22" borderId="0" xfId="2" applyFont="1" applyFill="1" applyBorder="1" applyAlignment="1" applyProtection="1">
      <alignment vertical="center"/>
    </xf>
    <xf numFmtId="0" fontId="25" fillId="22" borderId="0" xfId="2" applyFont="1" applyFill="1" applyBorder="1" applyAlignment="1" applyProtection="1">
      <alignment vertical="top"/>
    </xf>
    <xf numFmtId="0" fontId="57" fillId="22" borderId="0" xfId="2" applyFont="1" applyFill="1" applyBorder="1" applyAlignment="1" applyProtection="1">
      <alignment vertical="top"/>
    </xf>
    <xf numFmtId="0" fontId="35" fillId="22" borderId="0" xfId="2" applyFont="1" applyFill="1" applyBorder="1" applyAlignment="1" applyProtection="1">
      <alignment vertical="center"/>
    </xf>
    <xf numFmtId="0" fontId="56" fillId="22" borderId="0" xfId="2" applyFont="1" applyFill="1" applyBorder="1" applyAlignment="1" applyProtection="1">
      <alignment vertical="center"/>
    </xf>
    <xf numFmtId="0" fontId="25" fillId="22" borderId="0" xfId="2" applyFont="1" applyFill="1" applyBorder="1" applyAlignment="1" applyProtection="1">
      <alignment vertical="center"/>
    </xf>
    <xf numFmtId="0" fontId="3" fillId="22" borderId="0" xfId="2" applyFill="1" applyProtection="1"/>
    <xf numFmtId="0" fontId="25" fillId="22" borderId="12" xfId="2" applyFont="1" applyFill="1" applyBorder="1" applyAlignment="1" applyProtection="1">
      <alignment horizontal="left" vertical="center"/>
    </xf>
    <xf numFmtId="0" fontId="3" fillId="22" borderId="19" xfId="2" applyFill="1" applyBorder="1" applyProtection="1"/>
    <xf numFmtId="0" fontId="59" fillId="22" borderId="3" xfId="2" applyFont="1" applyFill="1" applyBorder="1" applyAlignment="1" applyProtection="1">
      <alignment vertical="center"/>
    </xf>
    <xf numFmtId="0" fontId="6" fillId="22" borderId="3" xfId="2" applyFont="1" applyFill="1" applyBorder="1" applyAlignment="1" applyProtection="1">
      <alignment vertical="center"/>
    </xf>
    <xf numFmtId="0" fontId="6" fillId="22" borderId="3" xfId="0" applyFont="1" applyFill="1" applyBorder="1" applyAlignment="1" applyProtection="1">
      <alignment vertical="center"/>
    </xf>
    <xf numFmtId="0" fontId="6" fillId="22" borderId="3" xfId="2" applyFont="1" applyFill="1" applyBorder="1" applyAlignment="1" applyProtection="1">
      <alignment vertical="center" wrapText="1"/>
    </xf>
    <xf numFmtId="0" fontId="6" fillId="22" borderId="3" xfId="0" applyFont="1" applyFill="1" applyBorder="1" applyAlignment="1" applyProtection="1">
      <alignment vertical="center" wrapText="1"/>
    </xf>
    <xf numFmtId="0" fontId="25" fillId="22" borderId="8" xfId="2" applyFont="1" applyFill="1" applyBorder="1" applyAlignment="1" applyProtection="1"/>
    <xf numFmtId="0" fontId="57" fillId="22" borderId="1" xfId="2" applyFont="1" applyFill="1" applyBorder="1" applyAlignment="1" applyProtection="1">
      <alignment vertical="center" wrapText="1"/>
    </xf>
    <xf numFmtId="14" fontId="38" fillId="22" borderId="0" xfId="2" applyNumberFormat="1" applyFont="1" applyFill="1" applyBorder="1" applyAlignment="1" applyProtection="1">
      <alignment vertical="top"/>
    </xf>
    <xf numFmtId="0" fontId="57" fillId="22" borderId="1" xfId="2" applyFont="1" applyFill="1" applyBorder="1" applyAlignment="1" applyProtection="1">
      <alignment vertical="center"/>
    </xf>
    <xf numFmtId="0" fontId="38" fillId="22" borderId="0" xfId="2" applyFont="1" applyFill="1" applyBorder="1" applyAlignment="1" applyProtection="1">
      <alignment vertical="top"/>
    </xf>
    <xf numFmtId="0" fontId="6" fillId="22" borderId="12" xfId="2" applyFont="1" applyFill="1" applyBorder="1" applyProtection="1"/>
    <xf numFmtId="0" fontId="25" fillId="22" borderId="12" xfId="2" applyFont="1" applyFill="1" applyBorder="1" applyProtection="1"/>
    <xf numFmtId="14" fontId="59" fillId="22" borderId="4" xfId="2" applyNumberFormat="1" applyFont="1" applyFill="1" applyBorder="1" applyAlignment="1" applyProtection="1">
      <alignment vertical="center"/>
    </xf>
    <xf numFmtId="0" fontId="3" fillId="22" borderId="0" xfId="2" applyFill="1" applyAlignment="1" applyProtection="1">
      <alignment vertical="center"/>
    </xf>
    <xf numFmtId="14" fontId="62" fillId="22" borderId="0" xfId="2" applyNumberFormat="1" applyFont="1" applyFill="1" applyBorder="1" applyAlignment="1" applyProtection="1">
      <alignment vertical="center"/>
    </xf>
    <xf numFmtId="0" fontId="6" fillId="22" borderId="0" xfId="0" applyFont="1" applyFill="1" applyBorder="1" applyAlignment="1" applyProtection="1"/>
    <xf numFmtId="14" fontId="2" fillId="22" borderId="0" xfId="2" applyNumberFormat="1" applyFont="1" applyFill="1" applyBorder="1" applyAlignment="1" applyProtection="1">
      <alignment vertical="top"/>
    </xf>
    <xf numFmtId="0" fontId="6" fillId="22" borderId="0" xfId="2" applyFont="1" applyFill="1" applyBorder="1" applyAlignment="1" applyProtection="1">
      <alignment wrapText="1"/>
    </xf>
    <xf numFmtId="0" fontId="1" fillId="22" borderId="0" xfId="2" applyFont="1" applyFill="1" applyBorder="1" applyAlignment="1" applyProtection="1">
      <alignment wrapText="1"/>
    </xf>
    <xf numFmtId="0" fontId="6" fillId="22" borderId="0" xfId="2" applyFont="1" applyFill="1" applyBorder="1" applyAlignment="1" applyProtection="1"/>
    <xf numFmtId="0" fontId="6" fillId="22" borderId="0" xfId="0" applyFont="1" applyFill="1" applyBorder="1" applyAlignment="1" applyProtection="1">
      <alignment wrapText="1"/>
    </xf>
    <xf numFmtId="0" fontId="25" fillId="22" borderId="0" xfId="2" applyFont="1" applyFill="1" applyBorder="1" applyAlignment="1" applyProtection="1"/>
    <xf numFmtId="0" fontId="2" fillId="22" borderId="12" xfId="2" applyFont="1" applyFill="1" applyBorder="1" applyAlignment="1" applyProtection="1">
      <alignment vertical="center"/>
    </xf>
    <xf numFmtId="0" fontId="25" fillId="22" borderId="0" xfId="2" applyFont="1" applyFill="1" applyBorder="1" applyProtection="1"/>
    <xf numFmtId="0" fontId="3" fillId="22" borderId="22" xfId="5" applyFill="1" applyBorder="1" applyProtection="1"/>
    <xf numFmtId="0" fontId="3" fillId="22" borderId="32" xfId="5" applyFill="1" applyBorder="1" applyProtection="1"/>
    <xf numFmtId="0" fontId="3" fillId="22" borderId="36" xfId="5" applyFill="1" applyBorder="1" applyProtection="1"/>
    <xf numFmtId="0" fontId="56" fillId="22" borderId="17" xfId="7" applyFont="1" applyFill="1" applyBorder="1" applyAlignment="1">
      <alignment horizontal="center" vertical="center" wrapText="1"/>
    </xf>
    <xf numFmtId="0" fontId="56" fillId="22" borderId="5" xfId="7" applyFont="1" applyFill="1" applyBorder="1" applyAlignment="1">
      <alignment horizontal="center" vertical="center" wrapText="1"/>
    </xf>
    <xf numFmtId="0" fontId="2" fillId="0" borderId="0" xfId="3" applyFont="1" applyFill="1" applyBorder="1" applyProtection="1"/>
    <xf numFmtId="0" fontId="4" fillId="0" borderId="0" xfId="3" applyFont="1" applyFill="1" applyBorder="1" applyAlignment="1" applyProtection="1">
      <alignment horizontal="right" wrapText="1"/>
    </xf>
    <xf numFmtId="0" fontId="6" fillId="15" borderId="14" xfId="3" applyFont="1" applyFill="1" applyBorder="1" applyAlignment="1" applyProtection="1">
      <alignment horizontal="center" wrapText="1"/>
      <protection locked="0"/>
    </xf>
    <xf numFmtId="3" fontId="46" fillId="15" borderId="14" xfId="3" applyNumberFormat="1" applyFont="1" applyFill="1" applyBorder="1" applyAlignment="1" applyProtection="1">
      <alignment horizontal="left" vertical="center" wrapText="1" indent="2"/>
      <protection locked="0"/>
    </xf>
    <xf numFmtId="0" fontId="84" fillId="0" borderId="0" xfId="3" applyFont="1"/>
    <xf numFmtId="0" fontId="85" fillId="0" borderId="0" xfId="3" applyFont="1"/>
    <xf numFmtId="0" fontId="85" fillId="0" borderId="0" xfId="3" applyFont="1" applyFill="1"/>
    <xf numFmtId="0" fontId="86" fillId="0" borderId="0" xfId="3" applyFont="1"/>
    <xf numFmtId="0" fontId="87" fillId="0" borderId="0" xfId="3" applyFont="1"/>
    <xf numFmtId="0" fontId="87" fillId="0" borderId="0" xfId="3" applyFont="1" applyFill="1"/>
    <xf numFmtId="0" fontId="87" fillId="0" borderId="0" xfId="0" applyFont="1"/>
    <xf numFmtId="0" fontId="86" fillId="0" borderId="0" xfId="0" applyFont="1"/>
    <xf numFmtId="0" fontId="6" fillId="15" borderId="51" xfId="3" applyFont="1" applyFill="1" applyBorder="1" applyAlignment="1" applyProtection="1">
      <alignment wrapText="1"/>
      <protection locked="0"/>
    </xf>
    <xf numFmtId="0" fontId="30" fillId="0" borderId="51" xfId="3" applyFont="1" applyBorder="1" applyAlignment="1" applyProtection="1">
      <alignment horizontal="right" wrapText="1"/>
    </xf>
    <xf numFmtId="0" fontId="25" fillId="0" borderId="51" xfId="3" applyFont="1" applyBorder="1" applyAlignment="1">
      <alignment horizontal="right"/>
    </xf>
    <xf numFmtId="0" fontId="2" fillId="0" borderId="0" xfId="9"/>
    <xf numFmtId="0" fontId="2" fillId="0" borderId="0" xfId="9" applyFont="1" applyBorder="1"/>
    <xf numFmtId="0" fontId="2" fillId="0" borderId="0" xfId="9" applyAlignment="1">
      <alignment wrapText="1"/>
    </xf>
    <xf numFmtId="0" fontId="2" fillId="0" borderId="0" xfId="9" applyBorder="1"/>
    <xf numFmtId="0" fontId="2" fillId="0" borderId="0" xfId="9" applyFont="1" applyFill="1" applyBorder="1"/>
    <xf numFmtId="0" fontId="2" fillId="0" borderId="0" xfId="9" applyFont="1"/>
    <xf numFmtId="0" fontId="2" fillId="0" borderId="0" xfId="9" applyFont="1" applyFill="1"/>
    <xf numFmtId="0" fontId="2" fillId="0" borderId="0" xfId="9" applyFont="1" applyAlignment="1">
      <alignment wrapText="1"/>
    </xf>
    <xf numFmtId="0" fontId="2" fillId="0" borderId="109" xfId="9" applyBorder="1"/>
    <xf numFmtId="0" fontId="2" fillId="0" borderId="0" xfId="9" applyFont="1" applyFill="1" applyAlignment="1">
      <alignment vertical="top"/>
    </xf>
    <xf numFmtId="0" fontId="2" fillId="0" borderId="0" xfId="9" applyFill="1" applyBorder="1"/>
    <xf numFmtId="0" fontId="2" fillId="11" borderId="0" xfId="9" applyFont="1" applyFill="1" applyAlignment="1">
      <alignment wrapText="1"/>
    </xf>
    <xf numFmtId="0" fontId="2" fillId="11" borderId="0" xfId="9" applyFill="1" applyAlignment="1">
      <alignment wrapText="1"/>
    </xf>
    <xf numFmtId="0" fontId="2" fillId="18" borderId="0" xfId="9" applyFill="1" applyAlignment="1">
      <alignment wrapText="1"/>
    </xf>
    <xf numFmtId="0" fontId="79" fillId="0" borderId="0" xfId="9" applyFont="1" applyAlignment="1">
      <alignment wrapText="1"/>
    </xf>
    <xf numFmtId="0" fontId="2" fillId="0" borderId="0" xfId="9" applyFont="1" applyBorder="1" applyAlignment="1">
      <alignment wrapText="1"/>
    </xf>
    <xf numFmtId="0" fontId="2" fillId="18" borderId="0" xfId="9" applyFont="1" applyFill="1" applyAlignment="1">
      <alignment wrapText="1"/>
    </xf>
    <xf numFmtId="49" fontId="6" fillId="15" borderId="65" xfId="3" applyNumberFormat="1" applyFont="1" applyFill="1" applyBorder="1" applyAlignment="1" applyProtection="1">
      <alignment horizontal="left" wrapText="1"/>
      <protection locked="0"/>
    </xf>
    <xf numFmtId="0" fontId="3" fillId="0" borderId="122" xfId="5" applyBorder="1" applyProtection="1"/>
    <xf numFmtId="0" fontId="3" fillId="0" borderId="123" xfId="5" applyBorder="1" applyAlignment="1" applyProtection="1">
      <alignment vertical="center"/>
    </xf>
    <xf numFmtId="0" fontId="21" fillId="0" borderId="123" xfId="5" applyFont="1" applyBorder="1" applyAlignment="1" applyProtection="1">
      <alignment vertical="center"/>
    </xf>
    <xf numFmtId="0" fontId="3" fillId="0" borderId="123" xfId="5" applyBorder="1" applyAlignment="1" applyProtection="1">
      <alignment horizontal="center" vertical="center"/>
    </xf>
    <xf numFmtId="0" fontId="3" fillId="0" borderId="123" xfId="5" applyFont="1" applyBorder="1" applyAlignment="1" applyProtection="1">
      <alignment horizontal="center" vertical="center"/>
    </xf>
    <xf numFmtId="0" fontId="10" fillId="0" borderId="123" xfId="0" applyFont="1" applyBorder="1" applyProtection="1"/>
    <xf numFmtId="0" fontId="0" fillId="0" borderId="123" xfId="0" applyBorder="1" applyProtection="1"/>
    <xf numFmtId="0" fontId="3" fillId="0" borderId="124" xfId="5" applyBorder="1" applyAlignment="1" applyProtection="1">
      <alignment horizontal="center" vertical="center"/>
    </xf>
    <xf numFmtId="0" fontId="30" fillId="0" borderId="0" xfId="3" applyFont="1" applyBorder="1" applyAlignment="1">
      <alignment horizontal="right" wrapText="1"/>
    </xf>
    <xf numFmtId="0" fontId="4" fillId="0" borderId="0" xfId="3" applyFont="1" applyBorder="1" applyAlignment="1" applyProtection="1">
      <alignment vertical="top" wrapText="1"/>
    </xf>
    <xf numFmtId="0" fontId="4" fillId="0" borderId="0" xfId="3" applyFont="1" applyBorder="1" applyAlignment="1" applyProtection="1">
      <alignment horizontal="right" wrapText="1"/>
    </xf>
    <xf numFmtId="0" fontId="6" fillId="0" borderId="4" xfId="3" applyFont="1" applyFill="1" applyBorder="1" applyAlignment="1" applyProtection="1">
      <alignment horizontal="center" wrapText="1"/>
    </xf>
    <xf numFmtId="0" fontId="6" fillId="0" borderId="16" xfId="7" applyFont="1" applyBorder="1" applyAlignment="1" applyProtection="1">
      <alignment horizontal="center" vertical="top" wrapText="1"/>
      <protection locked="0"/>
    </xf>
    <xf numFmtId="0" fontId="6" fillId="0" borderId="0" xfId="7" applyFont="1" applyBorder="1" applyAlignment="1" applyProtection="1">
      <alignment horizontal="center" vertical="top" wrapText="1"/>
      <protection locked="0"/>
    </xf>
    <xf numFmtId="0" fontId="6" fillId="0" borderId="4" xfId="7" applyFont="1" applyBorder="1" applyAlignment="1" applyProtection="1">
      <alignment horizontal="center" vertical="top" wrapText="1"/>
      <protection locked="0"/>
    </xf>
    <xf numFmtId="0" fontId="6" fillId="19" borderId="4" xfId="7" applyFont="1" applyFill="1" applyBorder="1" applyAlignment="1" applyProtection="1">
      <alignment horizontal="center" vertical="top" wrapText="1"/>
      <protection locked="0"/>
    </xf>
    <xf numFmtId="0" fontId="6" fillId="19" borderId="16" xfId="7" applyFont="1" applyFill="1" applyBorder="1" applyAlignment="1" applyProtection="1">
      <alignment horizontal="center" vertical="top" wrapText="1"/>
      <protection locked="0"/>
    </xf>
    <xf numFmtId="0" fontId="6" fillId="19" borderId="32" xfId="7" applyFont="1" applyFill="1" applyBorder="1" applyAlignment="1" applyProtection="1">
      <alignment horizontal="center" vertical="top" wrapText="1"/>
      <protection locked="0"/>
    </xf>
    <xf numFmtId="0" fontId="6" fillId="0" borderId="16" xfId="7" applyFont="1" applyFill="1" applyBorder="1" applyAlignment="1" applyProtection="1">
      <alignment horizontal="center" vertical="top" wrapText="1"/>
      <protection locked="0"/>
    </xf>
    <xf numFmtId="0" fontId="6" fillId="0" borderId="0" xfId="7" applyFont="1" applyFill="1" applyBorder="1" applyAlignment="1" applyProtection="1">
      <alignment horizontal="center" vertical="top" wrapText="1"/>
      <protection locked="0"/>
    </xf>
    <xf numFmtId="0" fontId="6" fillId="0" borderId="72" xfId="7" applyFont="1" applyBorder="1" applyAlignment="1" applyProtection="1">
      <alignment horizontal="center" vertical="top" wrapText="1"/>
      <protection locked="0"/>
    </xf>
    <xf numFmtId="0" fontId="30" fillId="0" borderId="0" xfId="3" applyFont="1" applyBorder="1" applyAlignment="1">
      <alignment horizontal="right" wrapText="1"/>
    </xf>
    <xf numFmtId="0" fontId="0" fillId="0" borderId="0" xfId="0" applyAlignment="1">
      <alignment horizontal="right"/>
    </xf>
    <xf numFmtId="0" fontId="30" fillId="0" borderId="4" xfId="3" applyFont="1" applyBorder="1" applyAlignment="1" applyProtection="1">
      <alignment horizontal="right" wrapText="1"/>
    </xf>
    <xf numFmtId="0" fontId="88" fillId="0" borderId="0" xfId="2" applyFont="1" applyFill="1" applyProtection="1"/>
    <xf numFmtId="0" fontId="0" fillId="11" borderId="0" xfId="0" applyFill="1" applyBorder="1" applyProtection="1"/>
    <xf numFmtId="0" fontId="0" fillId="0" borderId="7" xfId="0" applyBorder="1" applyAlignment="1" applyProtection="1">
      <alignment horizontal="center" vertical="center"/>
    </xf>
    <xf numFmtId="0" fontId="0" fillId="11" borderId="13" xfId="0" applyFill="1" applyBorder="1" applyProtection="1"/>
    <xf numFmtId="0" fontId="0" fillId="11" borderId="11" xfId="0" applyFill="1" applyBorder="1" applyProtection="1"/>
    <xf numFmtId="0" fontId="0" fillId="11" borderId="34" xfId="0" applyFill="1" applyBorder="1" applyProtection="1"/>
    <xf numFmtId="0" fontId="0" fillId="11" borderId="7" xfId="0" applyFill="1" applyBorder="1" applyProtection="1"/>
    <xf numFmtId="0" fontId="0" fillId="11" borderId="6" xfId="0" applyFill="1" applyBorder="1" applyProtection="1"/>
    <xf numFmtId="0" fontId="0" fillId="11" borderId="15" xfId="0" applyFill="1" applyBorder="1" applyProtection="1"/>
    <xf numFmtId="0" fontId="0" fillId="11" borderId="9" xfId="0" applyFill="1" applyBorder="1" applyProtection="1"/>
    <xf numFmtId="0" fontId="0" fillId="11" borderId="10" xfId="0" applyFill="1" applyBorder="1" applyProtection="1"/>
    <xf numFmtId="0" fontId="0" fillId="11" borderId="125" xfId="0" applyFill="1" applyBorder="1" applyProtection="1"/>
    <xf numFmtId="0" fontId="0" fillId="11" borderId="126" xfId="0" applyFill="1" applyBorder="1" applyProtection="1"/>
    <xf numFmtId="0" fontId="0" fillId="11" borderId="127" xfId="0" applyFill="1" applyBorder="1" applyProtection="1"/>
    <xf numFmtId="0" fontId="0" fillId="13" borderId="30" xfId="0" applyFill="1" applyBorder="1"/>
    <xf numFmtId="0" fontId="0" fillId="13" borderId="20" xfId="0" applyFill="1" applyBorder="1"/>
    <xf numFmtId="0" fontId="0" fillId="13" borderId="47" xfId="0" applyFill="1" applyBorder="1"/>
    <xf numFmtId="0" fontId="0" fillId="13" borderId="18" xfId="0" applyFill="1" applyBorder="1"/>
    <xf numFmtId="0" fontId="1" fillId="0" borderId="0" xfId="0" applyFont="1" applyAlignment="1">
      <alignment horizontal="center" vertical="center"/>
    </xf>
    <xf numFmtId="0" fontId="1" fillId="0" borderId="125" xfId="0" applyFont="1" applyBorder="1" applyAlignment="1">
      <alignment horizontal="center" vertical="center"/>
    </xf>
    <xf numFmtId="0" fontId="6" fillId="0" borderId="29" xfId="0" applyNumberFormat="1" applyFont="1" applyBorder="1" applyAlignment="1" applyProtection="1">
      <alignment horizontal="center" vertical="top" wrapText="1" shrinkToFit="1"/>
    </xf>
    <xf numFmtId="0" fontId="1" fillId="0" borderId="0" xfId="0" applyFont="1" applyFill="1" applyAlignment="1">
      <alignment horizontal="center" vertical="center"/>
    </xf>
    <xf numFmtId="0" fontId="56" fillId="22" borderId="42" xfId="7" applyFont="1" applyFill="1" applyBorder="1" applyAlignment="1">
      <alignment horizontal="center" vertical="center" wrapText="1"/>
    </xf>
    <xf numFmtId="0" fontId="24" fillId="0" borderId="4" xfId="7" applyFont="1" applyFill="1" applyBorder="1" applyAlignment="1">
      <alignment vertical="center" textRotation="90"/>
    </xf>
    <xf numFmtId="0" fontId="24" fillId="0" borderId="4" xfId="7" applyFont="1" applyFill="1" applyBorder="1" applyAlignment="1">
      <alignment vertical="center" wrapText="1"/>
    </xf>
    <xf numFmtId="0" fontId="56" fillId="22" borderId="14" xfId="7" applyFont="1" applyFill="1" applyBorder="1" applyAlignment="1">
      <alignment horizontal="center" vertical="center" textRotation="90"/>
    </xf>
    <xf numFmtId="0" fontId="56" fillId="22" borderId="14" xfId="7" applyFont="1" applyFill="1" applyBorder="1" applyAlignment="1">
      <alignment horizontal="center" vertical="center" wrapText="1"/>
    </xf>
    <xf numFmtId="0" fontId="24" fillId="0" borderId="4" xfId="7" applyFont="1" applyFill="1" applyBorder="1" applyAlignment="1">
      <alignment horizontal="center" vertical="center" wrapText="1"/>
    </xf>
    <xf numFmtId="0" fontId="15" fillId="3" borderId="14" xfId="4" applyFont="1" applyFill="1" applyBorder="1" applyAlignment="1">
      <alignment horizontal="center" vertical="center" wrapText="1"/>
    </xf>
    <xf numFmtId="0" fontId="0" fillId="3" borderId="14" xfId="0" applyFill="1" applyBorder="1" applyAlignment="1">
      <alignment horizontal="center" vertical="center"/>
    </xf>
    <xf numFmtId="14" fontId="0" fillId="3" borderId="14" xfId="0" applyNumberFormat="1" applyFill="1" applyBorder="1" applyAlignment="1">
      <alignment horizontal="center" vertical="center"/>
    </xf>
    <xf numFmtId="0" fontId="2" fillId="3" borderId="14" xfId="0" applyFont="1" applyFill="1" applyBorder="1" applyAlignment="1">
      <alignment horizontal="center" vertical="center"/>
    </xf>
    <xf numFmtId="0" fontId="2" fillId="3" borderId="14" xfId="0" applyFont="1" applyFill="1" applyBorder="1" applyAlignment="1">
      <alignment horizontal="center" vertical="center" wrapText="1"/>
    </xf>
    <xf numFmtId="0" fontId="3" fillId="0" borderId="0" xfId="7" applyFont="1" applyFill="1" applyBorder="1" applyAlignment="1">
      <alignment horizontal="center" vertical="top" wrapText="1"/>
    </xf>
    <xf numFmtId="0" fontId="6" fillId="0" borderId="0" xfId="3" applyFont="1" applyBorder="1" applyAlignment="1" applyProtection="1">
      <alignment wrapText="1"/>
    </xf>
    <xf numFmtId="0" fontId="24" fillId="0" borderId="0" xfId="3" applyFont="1" applyFill="1" applyBorder="1" applyAlignment="1" applyProtection="1">
      <alignment horizontal="center" wrapText="1"/>
    </xf>
    <xf numFmtId="0" fontId="2" fillId="0" borderId="0" xfId="3" applyFont="1" applyBorder="1" applyProtection="1"/>
    <xf numFmtId="0" fontId="2" fillId="0" borderId="6" xfId="3" applyFont="1" applyBorder="1" applyProtection="1"/>
    <xf numFmtId="0" fontId="26" fillId="0" borderId="0" xfId="3" applyFont="1" applyFill="1" applyBorder="1" applyAlignment="1" applyProtection="1">
      <alignment horizontal="right"/>
    </xf>
    <xf numFmtId="0" fontId="7" fillId="0" borderId="0" xfId="3" applyFont="1" applyFill="1" applyBorder="1" applyAlignment="1" applyProtection="1">
      <alignment horizontal="left"/>
    </xf>
    <xf numFmtId="0" fontId="26" fillId="0" borderId="0" xfId="3" applyFont="1" applyBorder="1" applyAlignment="1" applyProtection="1">
      <alignment horizontal="right"/>
    </xf>
    <xf numFmtId="0" fontId="7" fillId="0" borderId="0" xfId="3" applyFont="1" applyBorder="1" applyProtection="1"/>
    <xf numFmtId="0" fontId="7" fillId="0" borderId="6" xfId="3" applyFont="1" applyBorder="1" applyProtection="1"/>
    <xf numFmtId="0" fontId="25" fillId="0" borderId="0" xfId="3" applyFont="1" applyFill="1" applyBorder="1" applyAlignment="1" applyProtection="1">
      <alignment wrapText="1"/>
    </xf>
    <xf numFmtId="0" fontId="24" fillId="0" borderId="0" xfId="3" applyFont="1" applyFill="1" applyBorder="1" applyAlignment="1" applyProtection="1">
      <alignment horizontal="right" wrapText="1"/>
    </xf>
    <xf numFmtId="0" fontId="0" fillId="0" borderId="11" xfId="0" applyBorder="1" applyProtection="1"/>
    <xf numFmtId="0" fontId="0" fillId="0" borderId="34" xfId="0" applyBorder="1" applyProtection="1"/>
    <xf numFmtId="0" fontId="0" fillId="0" borderId="85" xfId="0" applyBorder="1"/>
    <xf numFmtId="0" fontId="6" fillId="15" borderId="51" xfId="3" quotePrefix="1" applyFont="1" applyFill="1" applyBorder="1" applyAlignment="1" applyProtection="1">
      <alignment horizontal="left" wrapText="1"/>
      <protection locked="0"/>
    </xf>
    <xf numFmtId="0" fontId="2" fillId="0" borderId="12" xfId="3" applyFont="1" applyBorder="1"/>
    <xf numFmtId="0" fontId="15" fillId="3" borderId="14" xfId="4" applyFont="1" applyFill="1" applyBorder="1" applyAlignment="1">
      <alignment horizontal="center" vertical="center"/>
    </xf>
    <xf numFmtId="0" fontId="6" fillId="15" borderId="51" xfId="3" applyFont="1" applyFill="1" applyBorder="1" applyAlignment="1" applyProtection="1">
      <alignment horizontal="left" wrapText="1"/>
      <protection locked="0"/>
    </xf>
    <xf numFmtId="0" fontId="11" fillId="15" borderId="42" xfId="3" applyFont="1" applyFill="1" applyBorder="1" applyAlignment="1" applyProtection="1">
      <alignment horizontal="left" wrapText="1"/>
      <protection locked="0"/>
    </xf>
    <xf numFmtId="0" fontId="11" fillId="0" borderId="64" xfId="3" applyFont="1" applyBorder="1" applyAlignment="1" applyProtection="1">
      <alignment horizontal="center" wrapText="1"/>
    </xf>
    <xf numFmtId="0" fontId="6" fillId="15" borderId="51" xfId="3" applyFont="1" applyFill="1" applyBorder="1" applyAlignment="1" applyProtection="1">
      <alignment horizontal="left" wrapText="1"/>
      <protection locked="0"/>
    </xf>
    <xf numFmtId="0" fontId="6" fillId="15" borderId="105" xfId="3" applyFont="1" applyFill="1" applyBorder="1" applyAlignment="1" applyProtection="1">
      <alignment vertical="center" wrapText="1"/>
      <protection locked="0"/>
    </xf>
    <xf numFmtId="0" fontId="6" fillId="15" borderId="51" xfId="3" applyFont="1" applyFill="1" applyBorder="1" applyAlignment="1" applyProtection="1">
      <alignment horizontal="left" vertical="center" wrapText="1"/>
      <protection locked="0"/>
    </xf>
    <xf numFmtId="0" fontId="6" fillId="15" borderId="106" xfId="3" applyFont="1" applyFill="1" applyBorder="1" applyAlignment="1" applyProtection="1">
      <alignment horizontal="left" vertical="center" wrapText="1"/>
      <protection locked="0"/>
    </xf>
    <xf numFmtId="0" fontId="30" fillId="0" borderId="0" xfId="3" applyFont="1" applyBorder="1" applyAlignment="1" applyProtection="1">
      <alignment horizontal="right" vertical="center" wrapText="1"/>
    </xf>
    <xf numFmtId="0" fontId="6" fillId="15" borderId="52" xfId="3" applyFont="1" applyFill="1" applyBorder="1" applyAlignment="1" applyProtection="1">
      <alignment vertical="center" wrapText="1"/>
      <protection locked="0"/>
    </xf>
    <xf numFmtId="0" fontId="90" fillId="0" borderId="0" xfId="0" applyFont="1"/>
    <xf numFmtId="0" fontId="90" fillId="0" borderId="0" xfId="0" applyFont="1" applyBorder="1"/>
    <xf numFmtId="14" fontId="8" fillId="0" borderId="55" xfId="2" applyNumberFormat="1" applyFont="1" applyBorder="1" applyAlignment="1" applyProtection="1">
      <alignment horizontal="right" vertical="center" wrapText="1"/>
    </xf>
    <xf numFmtId="14" fontId="8" fillId="0" borderId="57" xfId="2" applyNumberFormat="1" applyFont="1" applyBorder="1" applyAlignment="1" applyProtection="1">
      <alignment horizontal="right" vertical="center" wrapText="1"/>
    </xf>
    <xf numFmtId="0" fontId="2" fillId="22" borderId="0" xfId="2" applyFont="1" applyFill="1" applyBorder="1" applyAlignment="1" applyProtection="1">
      <alignment vertical="top"/>
    </xf>
    <xf numFmtId="14" fontId="2" fillId="0" borderId="60" xfId="2" applyNumberFormat="1" applyFont="1" applyBorder="1" applyAlignment="1" applyProtection="1">
      <alignment horizontal="left" vertical="top"/>
    </xf>
    <xf numFmtId="0" fontId="2" fillId="0" borderId="60" xfId="2" applyFont="1" applyBorder="1" applyAlignment="1" applyProtection="1">
      <alignment horizontal="left" vertical="top"/>
    </xf>
    <xf numFmtId="14" fontId="2" fillId="0" borderId="61" xfId="2" applyNumberFormat="1" applyFont="1" applyBorder="1" applyAlignment="1" applyProtection="1">
      <alignment horizontal="left" vertical="top"/>
    </xf>
    <xf numFmtId="0" fontId="2" fillId="0" borderId="61" xfId="2" applyFont="1" applyBorder="1" applyAlignment="1" applyProtection="1">
      <alignment horizontal="left" vertical="top"/>
    </xf>
    <xf numFmtId="0" fontId="24" fillId="0" borderId="4" xfId="0" applyFont="1" applyBorder="1" applyAlignment="1" applyProtection="1">
      <alignment horizontal="center" vertical="top" wrapText="1" shrinkToFit="1"/>
    </xf>
    <xf numFmtId="0" fontId="24" fillId="12" borderId="4" xfId="0" applyFont="1" applyFill="1" applyBorder="1" applyAlignment="1" applyProtection="1">
      <alignment horizontal="center" vertical="top" wrapText="1" shrinkToFit="1"/>
    </xf>
    <xf numFmtId="0" fontId="4" fillId="7" borderId="11" xfId="5" applyFont="1" applyFill="1" applyBorder="1" applyProtection="1"/>
    <xf numFmtId="0" fontId="6" fillId="0" borderId="0" xfId="3" applyFont="1" applyBorder="1" applyAlignment="1" applyProtection="1">
      <alignment wrapText="1"/>
    </xf>
    <xf numFmtId="0" fontId="6" fillId="15" borderId="51" xfId="3" applyFont="1" applyFill="1" applyBorder="1" applyAlignment="1" applyProtection="1">
      <alignment horizontal="left" wrapText="1"/>
      <protection locked="0"/>
    </xf>
    <xf numFmtId="0" fontId="6" fillId="15" borderId="51" xfId="3" applyFont="1" applyFill="1" applyBorder="1" applyAlignment="1" applyProtection="1">
      <alignment horizontal="left" vertical="center" wrapText="1"/>
      <protection locked="0"/>
    </xf>
    <xf numFmtId="14" fontId="6" fillId="15" borderId="0" xfId="3" applyNumberFormat="1" applyFont="1" applyFill="1" applyAlignment="1" applyProtection="1">
      <alignment horizontal="left" wrapText="1"/>
      <protection locked="0"/>
    </xf>
    <xf numFmtId="0" fontId="13" fillId="0" borderId="0" xfId="0" applyFont="1" applyAlignment="1">
      <alignment horizontal="left" vertical="top"/>
    </xf>
    <xf numFmtId="49" fontId="2" fillId="0" borderId="0" xfId="0" applyNumberFormat="1" applyFont="1"/>
    <xf numFmtId="0" fontId="0" fillId="0" borderId="130" xfId="0" applyBorder="1"/>
    <xf numFmtId="0" fontId="13" fillId="0" borderId="85" xfId="0" applyFont="1" applyBorder="1" applyAlignment="1">
      <alignment horizontal="left" vertical="top"/>
    </xf>
    <xf numFmtId="49" fontId="0" fillId="0" borderId="85" xfId="0" applyNumberFormat="1" applyBorder="1"/>
    <xf numFmtId="0" fontId="2" fillId="0" borderId="131" xfId="0" applyFont="1" applyBorder="1"/>
    <xf numFmtId="0" fontId="0" fillId="0" borderId="80" xfId="0" applyBorder="1"/>
    <xf numFmtId="49" fontId="0" fillId="0" borderId="0" xfId="0" applyNumberFormat="1"/>
    <xf numFmtId="0" fontId="2" fillId="0" borderId="132" xfId="0" applyFont="1" applyBorder="1"/>
    <xf numFmtId="0" fontId="0" fillId="0" borderId="80" xfId="0" applyBorder="1" applyAlignment="1">
      <alignment vertical="top"/>
    </xf>
    <xf numFmtId="0" fontId="0" fillId="0" borderId="0" xfId="0" applyAlignment="1">
      <alignment vertical="top"/>
    </xf>
    <xf numFmtId="49" fontId="0" fillId="0" borderId="0" xfId="0" applyNumberFormat="1" applyAlignment="1">
      <alignment vertical="top"/>
    </xf>
    <xf numFmtId="0" fontId="2" fillId="0" borderId="132" xfId="0" applyFont="1" applyBorder="1" applyAlignment="1">
      <alignment vertical="top"/>
    </xf>
    <xf numFmtId="0" fontId="6" fillId="0" borderId="91" xfId="0" applyFont="1" applyBorder="1" applyAlignment="1">
      <alignment horizontal="left" vertical="center" wrapText="1"/>
    </xf>
    <xf numFmtId="0" fontId="4" fillId="23" borderId="33" xfId="0" applyFont="1" applyFill="1" applyBorder="1" applyAlignment="1">
      <alignment horizontal="left" vertical="top" wrapText="1"/>
    </xf>
    <xf numFmtId="0" fontId="6" fillId="0" borderId="133" xfId="0" applyFont="1" applyBorder="1" applyAlignment="1">
      <alignment vertical="top" wrapText="1"/>
    </xf>
    <xf numFmtId="49" fontId="6" fillId="0" borderId="134" xfId="0" applyNumberFormat="1" applyFont="1" applyBorder="1" applyAlignment="1">
      <alignment vertical="top" wrapText="1"/>
    </xf>
    <xf numFmtId="0" fontId="6" fillId="0" borderId="134" xfId="0" applyFont="1" applyBorder="1" applyAlignment="1">
      <alignment vertical="top" wrapText="1"/>
    </xf>
    <xf numFmtId="0" fontId="0" fillId="11" borderId="80" xfId="0" applyFill="1" applyBorder="1"/>
    <xf numFmtId="0" fontId="13" fillId="23" borderId="0" xfId="0" applyFont="1" applyFill="1" applyAlignment="1">
      <alignment horizontal="left" vertical="top"/>
    </xf>
    <xf numFmtId="49" fontId="2" fillId="11" borderId="135" xfId="0" applyNumberFormat="1" applyFont="1" applyFill="1" applyBorder="1"/>
    <xf numFmtId="0" fontId="2" fillId="11" borderId="135" xfId="0" applyFont="1" applyFill="1" applyBorder="1"/>
    <xf numFmtId="49" fontId="2" fillId="11" borderId="129" xfId="0" applyNumberFormat="1" applyFont="1" applyFill="1" applyBorder="1"/>
    <xf numFmtId="0" fontId="2" fillId="11" borderId="129" xfId="0" applyFont="1" applyFill="1" applyBorder="1"/>
    <xf numFmtId="0" fontId="95" fillId="13" borderId="79" xfId="0" applyFont="1" applyFill="1" applyBorder="1" applyAlignment="1">
      <alignment horizontal="center" vertical="center"/>
    </xf>
    <xf numFmtId="0" fontId="13" fillId="13" borderId="29" xfId="0" applyFont="1" applyFill="1" applyBorder="1" applyAlignment="1">
      <alignment horizontal="left" vertical="top"/>
    </xf>
    <xf numFmtId="0" fontId="13" fillId="13" borderId="29" xfId="0" applyFont="1" applyFill="1" applyBorder="1"/>
    <xf numFmtId="49" fontId="13" fillId="13" borderId="79" xfId="0" applyNumberFormat="1" applyFont="1" applyFill="1" applyBorder="1"/>
    <xf numFmtId="0" fontId="13" fillId="13" borderId="136" xfId="0" applyFont="1" applyFill="1" applyBorder="1"/>
    <xf numFmtId="0" fontId="2" fillId="0" borderId="137" xfId="0" applyFont="1" applyBorder="1" applyAlignment="1">
      <alignment horizontal="center" vertical="center"/>
    </xf>
    <xf numFmtId="0" fontId="13" fillId="23" borderId="24" xfId="0" quotePrefix="1" applyFont="1" applyFill="1" applyBorder="1" applyAlignment="1">
      <alignment horizontal="left" vertical="top" wrapText="1"/>
    </xf>
    <xf numFmtId="0" fontId="13" fillId="0" borderId="21" xfId="0" quotePrefix="1" applyFont="1" applyBorder="1" applyAlignment="1">
      <alignment vertical="top" wrapText="1"/>
    </xf>
    <xf numFmtId="49" fontId="2" fillId="0" borderId="138" xfId="0" applyNumberFormat="1" applyFont="1" applyBorder="1" applyAlignment="1">
      <alignment horizontal="center" vertical="center" wrapText="1"/>
    </xf>
    <xf numFmtId="0" fontId="2" fillId="0" borderId="138" xfId="0" applyFont="1" applyBorder="1" applyAlignment="1">
      <alignment horizontal="center" vertical="center"/>
    </xf>
    <xf numFmtId="0" fontId="2" fillId="0" borderId="139" xfId="0" applyFont="1" applyBorder="1" applyAlignment="1">
      <alignment horizontal="center" vertical="center"/>
    </xf>
    <xf numFmtId="0" fontId="13" fillId="23" borderId="25" xfId="0" quotePrefix="1" applyFont="1" applyFill="1" applyBorder="1" applyAlignment="1">
      <alignment horizontal="left" vertical="top" wrapText="1"/>
    </xf>
    <xf numFmtId="0" fontId="13" fillId="0" borderId="22" xfId="0" quotePrefix="1" applyFont="1" applyBorder="1" applyAlignment="1">
      <alignment vertical="top" wrapText="1"/>
    </xf>
    <xf numFmtId="0" fontId="2" fillId="0" borderId="138" xfId="0" applyFont="1" applyBorder="1" applyAlignment="1">
      <alignment horizontal="center" vertical="center" wrapText="1"/>
    </xf>
    <xf numFmtId="0" fontId="96" fillId="0" borderId="138" xfId="12" applyBorder="1" applyAlignment="1">
      <alignment horizontal="center" vertical="center"/>
    </xf>
    <xf numFmtId="0" fontId="2" fillId="0" borderId="140" xfId="0" applyFont="1" applyBorder="1" applyAlignment="1">
      <alignment horizontal="center" vertical="center"/>
    </xf>
    <xf numFmtId="0" fontId="13" fillId="23" borderId="26" xfId="0" quotePrefix="1" applyFont="1" applyFill="1" applyBorder="1" applyAlignment="1">
      <alignment horizontal="left" vertical="top" wrapText="1"/>
    </xf>
    <xf numFmtId="0" fontId="13" fillId="0" borderId="23" xfId="0" applyFont="1" applyBorder="1" applyAlignment="1">
      <alignment vertical="top" wrapText="1"/>
    </xf>
    <xf numFmtId="0" fontId="96" fillId="0" borderId="141" xfId="12" applyBorder="1" applyAlignment="1">
      <alignment horizontal="center" vertical="center"/>
    </xf>
    <xf numFmtId="0" fontId="95" fillId="13" borderId="99" xfId="0" applyFont="1" applyFill="1" applyBorder="1" applyAlignment="1">
      <alignment horizontal="center" vertical="center"/>
    </xf>
    <xf numFmtId="0" fontId="13" fillId="13" borderId="13" xfId="0" applyFont="1" applyFill="1" applyBorder="1"/>
    <xf numFmtId="49" fontId="13" fillId="13" borderId="99" xfId="0" applyNumberFormat="1" applyFont="1" applyFill="1" applyBorder="1"/>
    <xf numFmtId="0" fontId="2" fillId="13" borderId="142" xfId="0" applyFont="1" applyFill="1" applyBorder="1" applyAlignment="1">
      <alignment horizontal="center" vertical="center"/>
    </xf>
    <xf numFmtId="0" fontId="95" fillId="13" borderId="80" xfId="0" applyFont="1" applyFill="1" applyBorder="1" applyAlignment="1">
      <alignment horizontal="center" vertical="center"/>
    </xf>
    <xf numFmtId="0" fontId="13" fillId="13" borderId="7" xfId="0" applyFont="1" applyFill="1" applyBorder="1"/>
    <xf numFmtId="49" fontId="13" fillId="13" borderId="80" xfId="0" applyNumberFormat="1" applyFont="1" applyFill="1" applyBorder="1"/>
    <xf numFmtId="0" fontId="2" fillId="13" borderId="128" xfId="0" applyFont="1" applyFill="1" applyBorder="1" applyAlignment="1">
      <alignment horizontal="center" vertical="center"/>
    </xf>
    <xf numFmtId="0" fontId="95" fillId="13" borderId="100" xfId="0" applyFont="1" applyFill="1" applyBorder="1" applyAlignment="1">
      <alignment horizontal="center" vertical="center"/>
    </xf>
    <xf numFmtId="0" fontId="13" fillId="13" borderId="15" xfId="0" applyFont="1" applyFill="1" applyBorder="1"/>
    <xf numFmtId="49" fontId="13" fillId="13" borderId="100" xfId="0" applyNumberFormat="1" applyFont="1" applyFill="1" applyBorder="1"/>
    <xf numFmtId="0" fontId="2" fillId="13" borderId="129" xfId="0" applyFont="1" applyFill="1" applyBorder="1" applyAlignment="1">
      <alignment horizontal="center" vertical="center"/>
    </xf>
    <xf numFmtId="0" fontId="13" fillId="23" borderId="25" xfId="0" applyFont="1" applyFill="1" applyBorder="1" applyAlignment="1">
      <alignment horizontal="left" vertical="top" wrapText="1"/>
    </xf>
    <xf numFmtId="0" fontId="13" fillId="0" borderId="22" xfId="0" applyFont="1" applyBorder="1" applyAlignment="1">
      <alignment vertical="top" wrapText="1"/>
    </xf>
    <xf numFmtId="0" fontId="13" fillId="0" borderId="22" xfId="0" applyFont="1" applyBorder="1" applyAlignment="1">
      <alignment vertical="top"/>
    </xf>
    <xf numFmtId="0" fontId="2" fillId="13" borderId="143" xfId="0" applyFont="1" applyFill="1" applyBorder="1" applyAlignment="1">
      <alignment horizontal="center" vertical="center"/>
    </xf>
    <xf numFmtId="0" fontId="13" fillId="23" borderId="25" xfId="0" applyFont="1" applyFill="1" applyBorder="1" applyAlignment="1">
      <alignment horizontal="left" vertical="top"/>
    </xf>
    <xf numFmtId="0" fontId="25" fillId="23" borderId="25" xfId="0" quotePrefix="1" applyFont="1" applyFill="1" applyBorder="1" applyAlignment="1">
      <alignment horizontal="left" vertical="top" wrapText="1"/>
    </xf>
    <xf numFmtId="0" fontId="25" fillId="13" borderId="13" xfId="0" applyFont="1" applyFill="1" applyBorder="1"/>
    <xf numFmtId="0" fontId="25" fillId="13" borderId="7" xfId="0" applyFont="1" applyFill="1" applyBorder="1"/>
    <xf numFmtId="0" fontId="25" fillId="13" borderId="15" xfId="0" applyFont="1" applyFill="1" applyBorder="1"/>
    <xf numFmtId="0" fontId="13" fillId="0" borderId="7" xfId="0" applyFont="1" applyBorder="1" applyAlignment="1">
      <alignment vertical="top"/>
    </xf>
    <xf numFmtId="0" fontId="25" fillId="13" borderId="29" xfId="0" applyFont="1" applyFill="1" applyBorder="1" applyAlignment="1">
      <alignment horizontal="left" vertical="top"/>
    </xf>
    <xf numFmtId="0" fontId="25" fillId="13" borderId="13" xfId="0" applyFont="1" applyFill="1" applyBorder="1" applyAlignment="1">
      <alignment horizontal="left" vertical="top"/>
    </xf>
    <xf numFmtId="0" fontId="95" fillId="13" borderId="102" xfId="0" applyFont="1" applyFill="1" applyBorder="1" applyAlignment="1">
      <alignment horizontal="center" vertical="center"/>
    </xf>
    <xf numFmtId="0" fontId="25" fillId="13" borderId="15" xfId="0" applyFont="1" applyFill="1" applyBorder="1" applyAlignment="1">
      <alignment horizontal="left" vertical="top"/>
    </xf>
    <xf numFmtId="49" fontId="13" fillId="13" borderId="129" xfId="0" applyNumberFormat="1" applyFont="1" applyFill="1" applyBorder="1"/>
    <xf numFmtId="0" fontId="2" fillId="0" borderId="145" xfId="0" applyFont="1" applyBorder="1" applyAlignment="1">
      <alignment horizontal="center" vertical="center"/>
    </xf>
    <xf numFmtId="0" fontId="13" fillId="23" borderId="146" xfId="0" quotePrefix="1" applyFont="1" applyFill="1" applyBorder="1" applyAlignment="1">
      <alignment horizontal="left" vertical="top" wrapText="1"/>
    </xf>
    <xf numFmtId="0" fontId="13" fillId="0" borderId="147" xfId="0" applyFont="1" applyBorder="1" applyAlignment="1">
      <alignment vertical="top" wrapText="1"/>
    </xf>
    <xf numFmtId="49" fontId="2" fillId="0" borderId="148" xfId="0" applyNumberFormat="1" applyFont="1" applyBorder="1" applyAlignment="1">
      <alignment horizontal="center" vertical="center"/>
    </xf>
    <xf numFmtId="0" fontId="2" fillId="0" borderId="148" xfId="0" applyFont="1" applyBorder="1" applyAlignment="1">
      <alignment horizontal="center" vertical="center"/>
    </xf>
    <xf numFmtId="0" fontId="3" fillId="0" borderId="22" xfId="0" applyFont="1" applyBorder="1" applyAlignment="1">
      <alignment vertical="top"/>
    </xf>
    <xf numFmtId="0" fontId="3" fillId="0" borderId="7" xfId="0" applyFont="1" applyBorder="1" applyAlignment="1">
      <alignment vertical="top"/>
    </xf>
    <xf numFmtId="0" fontId="3" fillId="13" borderId="29" xfId="0" applyFont="1" applyFill="1" applyBorder="1"/>
    <xf numFmtId="0" fontId="6" fillId="15" borderId="51" xfId="3" applyFont="1" applyFill="1" applyBorder="1" applyAlignment="1" applyProtection="1">
      <alignment horizontal="left" vertical="center" wrapText="1"/>
      <protection locked="0"/>
    </xf>
    <xf numFmtId="49" fontId="25" fillId="6" borderId="152" xfId="0" applyNumberFormat="1" applyFont="1" applyFill="1" applyBorder="1" applyAlignment="1" applyProtection="1">
      <alignment vertical="center" wrapText="1" shrinkToFit="1"/>
      <protection locked="0"/>
    </xf>
    <xf numFmtId="49" fontId="25" fillId="6" borderId="97" xfId="0" applyNumberFormat="1" applyFont="1" applyFill="1" applyBorder="1" applyAlignment="1" applyProtection="1">
      <alignment vertical="center" wrapText="1" shrinkToFit="1"/>
      <protection locked="0"/>
    </xf>
    <xf numFmtId="49" fontId="25" fillId="6" borderId="67" xfId="0" applyNumberFormat="1" applyFont="1" applyFill="1" applyBorder="1" applyAlignment="1" applyProtection="1">
      <alignment vertical="center" wrapText="1" shrinkToFit="1"/>
      <protection locked="0"/>
    </xf>
    <xf numFmtId="0" fontId="6" fillId="0" borderId="4" xfId="7" applyFont="1" applyBorder="1" applyAlignment="1">
      <alignment vertical="center" wrapText="1"/>
    </xf>
    <xf numFmtId="0" fontId="6" fillId="0" borderId="4" xfId="7" applyFont="1" applyBorder="1" applyAlignment="1">
      <alignment vertical="center" textRotation="90"/>
    </xf>
    <xf numFmtId="0" fontId="56" fillId="0" borderId="14" xfId="7" applyFont="1" applyBorder="1" applyAlignment="1">
      <alignment horizontal="center" vertical="center" wrapText="1"/>
    </xf>
    <xf numFmtId="0" fontId="6" fillId="0" borderId="4" xfId="7" applyFont="1" applyBorder="1" applyAlignment="1">
      <alignment horizontal="center" vertical="center" wrapText="1"/>
    </xf>
    <xf numFmtId="49" fontId="25" fillId="6" borderId="67" xfId="0" applyNumberFormat="1" applyFont="1" applyFill="1" applyBorder="1" applyAlignment="1" applyProtection="1">
      <alignment vertical="top" wrapText="1" shrinkToFit="1"/>
    </xf>
    <xf numFmtId="49" fontId="30" fillId="0" borderId="0" xfId="0" applyNumberFormat="1" applyFont="1" applyFill="1" applyBorder="1" applyAlignment="1">
      <alignment vertical="top" wrapText="1"/>
    </xf>
    <xf numFmtId="0" fontId="56" fillId="0" borderId="0" xfId="7" applyFont="1" applyFill="1" applyBorder="1" applyAlignment="1">
      <alignment horizontal="center" vertical="top"/>
    </xf>
    <xf numFmtId="0" fontId="60" fillId="0" borderId="0" xfId="7" applyFont="1" applyFill="1" applyBorder="1" applyAlignment="1">
      <alignment horizontal="center" vertical="top" wrapText="1"/>
    </xf>
    <xf numFmtId="0" fontId="56" fillId="0" borderId="0" xfId="7" applyFont="1" applyFill="1" applyBorder="1" applyAlignment="1">
      <alignment horizontal="center" vertical="center" wrapText="1"/>
    </xf>
    <xf numFmtId="0" fontId="6" fillId="0" borderId="0" xfId="7" applyFont="1" applyFill="1" applyBorder="1" applyAlignment="1">
      <alignment vertical="center" wrapText="1"/>
    </xf>
    <xf numFmtId="0" fontId="56" fillId="0" borderId="0" xfId="7" applyFont="1" applyFill="1" applyBorder="1" applyAlignment="1">
      <alignment horizontal="center" vertical="center" textRotation="90"/>
    </xf>
    <xf numFmtId="0" fontId="6" fillId="0" borderId="0" xfId="7" applyFont="1" applyFill="1" applyBorder="1" applyAlignment="1">
      <alignment vertical="center" textRotation="90"/>
    </xf>
    <xf numFmtId="0" fontId="6" fillId="0" borderId="0" xfId="7" applyFont="1" applyFill="1" applyBorder="1" applyAlignment="1">
      <alignment horizontal="center" vertical="center" wrapText="1"/>
    </xf>
    <xf numFmtId="0" fontId="25" fillId="0" borderId="0" xfId="0" applyFont="1" applyFill="1" applyBorder="1" applyAlignment="1">
      <alignment vertical="top"/>
    </xf>
    <xf numFmtId="0" fontId="30" fillId="0" borderId="0" xfId="0" applyFont="1" applyFill="1" applyBorder="1" applyAlignment="1">
      <alignment vertical="top"/>
    </xf>
    <xf numFmtId="1" fontId="25" fillId="0" borderId="0" xfId="7" applyNumberFormat="1" applyFont="1" applyFill="1" applyBorder="1" applyAlignment="1">
      <alignment horizontal="center" vertical="top" shrinkToFit="1"/>
    </xf>
    <xf numFmtId="0" fontId="25" fillId="0" borderId="0" xfId="7" applyFont="1" applyFill="1" applyBorder="1" applyAlignment="1" applyProtection="1">
      <alignment horizontal="left" vertical="top" wrapText="1"/>
      <protection locked="0"/>
    </xf>
    <xf numFmtId="14" fontId="25" fillId="0" borderId="0" xfId="7" applyNumberFormat="1" applyFont="1" applyFill="1" applyBorder="1" applyAlignment="1" applyProtection="1">
      <alignment horizontal="left" vertical="top" wrapText="1"/>
      <protection locked="0"/>
    </xf>
    <xf numFmtId="0" fontId="25" fillId="0" borderId="0" xfId="7" applyFont="1" applyFill="1" applyBorder="1" applyAlignment="1">
      <alignment horizontal="left" vertical="top"/>
    </xf>
    <xf numFmtId="1" fontId="25" fillId="0" borderId="72" xfId="7" applyNumberFormat="1" applyFont="1" applyBorder="1" applyAlignment="1">
      <alignment horizontal="center" vertical="center" shrinkToFit="1"/>
    </xf>
    <xf numFmtId="0" fontId="25" fillId="0" borderId="72" xfId="7" applyFont="1" applyFill="1" applyBorder="1" applyAlignment="1">
      <alignment horizontal="center" vertical="center" wrapText="1"/>
    </xf>
    <xf numFmtId="0" fontId="3" fillId="0" borderId="3" xfId="7" applyFont="1" applyFill="1" applyBorder="1" applyAlignment="1">
      <alignment horizontal="center" vertical="center" wrapText="1"/>
    </xf>
    <xf numFmtId="0" fontId="25" fillId="0" borderId="16" xfId="7" applyFont="1" applyFill="1" applyBorder="1" applyAlignment="1">
      <alignment horizontal="center" vertical="center" wrapText="1"/>
    </xf>
    <xf numFmtId="0" fontId="3" fillId="0" borderId="0" xfId="7" applyFont="1" applyFill="1" applyAlignment="1">
      <alignment horizontal="center" vertical="center" wrapText="1"/>
    </xf>
    <xf numFmtId="0" fontId="3" fillId="0" borderId="0" xfId="7" applyFont="1" applyFill="1" applyBorder="1" applyAlignment="1">
      <alignment horizontal="center" vertical="center" wrapText="1"/>
    </xf>
    <xf numFmtId="0" fontId="25" fillId="0" borderId="72" xfId="0" applyFont="1" applyBorder="1" applyAlignment="1">
      <alignment horizontal="center" vertical="center"/>
    </xf>
    <xf numFmtId="0" fontId="25" fillId="0" borderId="16" xfId="0" applyFont="1" applyBorder="1" applyAlignment="1">
      <alignment horizontal="center" vertical="center"/>
    </xf>
    <xf numFmtId="14" fontId="25" fillId="0" borderId="72" xfId="7" applyNumberFormat="1" applyFont="1" applyBorder="1" applyAlignment="1" applyProtection="1">
      <alignment horizontal="center" vertical="center" wrapText="1"/>
      <protection locked="0"/>
    </xf>
    <xf numFmtId="0" fontId="25" fillId="0" borderId="3" xfId="7" applyFont="1" applyFill="1" applyBorder="1" applyAlignment="1">
      <alignment horizontal="center" vertical="center" wrapText="1"/>
    </xf>
    <xf numFmtId="0" fontId="25" fillId="0" borderId="72" xfId="7" applyFont="1" applyBorder="1" applyAlignment="1" applyProtection="1">
      <alignment horizontal="center" vertical="center" wrapText="1"/>
      <protection locked="0"/>
    </xf>
    <xf numFmtId="14" fontId="25" fillId="0" borderId="16" xfId="7" applyNumberFormat="1" applyFont="1" applyBorder="1" applyAlignment="1" applyProtection="1">
      <alignment horizontal="center" vertical="center" wrapText="1"/>
      <protection locked="0"/>
    </xf>
    <xf numFmtId="0" fontId="25" fillId="0" borderId="0" xfId="7" applyFont="1" applyFill="1" applyBorder="1" applyAlignment="1">
      <alignment horizontal="center" vertical="center" wrapText="1"/>
    </xf>
    <xf numFmtId="0" fontId="25" fillId="0" borderId="16" xfId="7" applyFont="1" applyBorder="1" applyAlignment="1" applyProtection="1">
      <alignment horizontal="center" vertical="center" wrapText="1"/>
      <protection locked="0"/>
    </xf>
    <xf numFmtId="0" fontId="25" fillId="0" borderId="3" xfId="7" applyFont="1" applyBorder="1" applyAlignment="1">
      <alignment horizontal="center" vertical="center" wrapText="1"/>
    </xf>
    <xf numFmtId="0" fontId="6" fillId="0" borderId="72" xfId="7" applyFont="1" applyBorder="1" applyAlignment="1" applyProtection="1">
      <alignment horizontal="center" vertical="center" wrapText="1"/>
    </xf>
    <xf numFmtId="0" fontId="6" fillId="0" borderId="16" xfId="7" applyFont="1" applyBorder="1" applyAlignment="1" applyProtection="1">
      <alignment horizontal="center" vertical="center" wrapText="1"/>
    </xf>
    <xf numFmtId="14" fontId="37" fillId="0" borderId="110" xfId="8" applyNumberFormat="1" applyFont="1" applyBorder="1" applyAlignment="1" applyProtection="1">
      <alignment horizontal="center"/>
    </xf>
    <xf numFmtId="0" fontId="25" fillId="0" borderId="0" xfId="3" applyFont="1" applyAlignment="1" applyProtection="1">
      <alignment horizontal="right" vertical="top"/>
    </xf>
    <xf numFmtId="0" fontId="0" fillId="0" borderId="12" xfId="0" applyBorder="1" applyAlignment="1"/>
    <xf numFmtId="0" fontId="0" fillId="0" borderId="0" xfId="0" applyAlignment="1"/>
    <xf numFmtId="0" fontId="24" fillId="0" borderId="0" xfId="3" applyFont="1" applyFill="1" applyBorder="1" applyAlignment="1" applyProtection="1">
      <alignment horizontal="center" wrapText="1"/>
    </xf>
    <xf numFmtId="0" fontId="24" fillId="0" borderId="6" xfId="3" applyFont="1" applyFill="1" applyBorder="1" applyAlignment="1" applyProtection="1">
      <alignment horizontal="center" wrapText="1"/>
    </xf>
    <xf numFmtId="0" fontId="11" fillId="0" borderId="0" xfId="3" applyFont="1" applyFill="1" applyBorder="1" applyAlignment="1" applyProtection="1">
      <alignment horizontal="center" wrapText="1"/>
    </xf>
    <xf numFmtId="49" fontId="5" fillId="0" borderId="0" xfId="3" applyNumberFormat="1" applyFont="1" applyFill="1" applyBorder="1" applyAlignment="1" applyProtection="1">
      <alignment horizontal="center" vertical="center" wrapText="1"/>
    </xf>
    <xf numFmtId="0" fontId="5" fillId="0" borderId="0" xfId="3" applyFont="1" applyFill="1" applyBorder="1" applyAlignment="1" applyProtection="1">
      <alignment horizontal="center" vertical="center" wrapText="1"/>
    </xf>
    <xf numFmtId="0" fontId="0" fillId="0" borderId="0" xfId="0" applyFill="1" applyBorder="1" applyAlignment="1" applyProtection="1">
      <alignment horizontal="center" vertical="center" wrapText="1"/>
    </xf>
    <xf numFmtId="0" fontId="0" fillId="0" borderId="6" xfId="0" applyFill="1" applyBorder="1" applyAlignment="1" applyProtection="1">
      <alignment horizontal="center" vertical="center" wrapText="1"/>
    </xf>
    <xf numFmtId="0" fontId="89" fillId="15" borderId="0" xfId="3" applyFont="1" applyFill="1" applyBorder="1" applyAlignment="1" applyProtection="1">
      <alignment horizontal="center" vertical="center" wrapText="1"/>
    </xf>
    <xf numFmtId="0" fontId="89" fillId="15" borderId="6" xfId="3" applyFont="1" applyFill="1" applyBorder="1" applyAlignment="1" applyProtection="1">
      <alignment horizontal="center" vertical="center" wrapText="1"/>
    </xf>
    <xf numFmtId="0" fontId="6" fillId="0" borderId="0" xfId="3" applyFont="1" applyBorder="1" applyAlignment="1" applyProtection="1">
      <alignment wrapText="1"/>
    </xf>
    <xf numFmtId="0" fontId="0" fillId="0" borderId="0" xfId="0" applyBorder="1" applyAlignment="1" applyProtection="1">
      <alignment wrapText="1"/>
    </xf>
    <xf numFmtId="0" fontId="5" fillId="0" borderId="0" xfId="3" applyFont="1" applyFill="1" applyBorder="1" applyAlignment="1">
      <alignment horizontal="center" vertical="center" wrapText="1"/>
    </xf>
    <xf numFmtId="0" fontId="5" fillId="0" borderId="6" xfId="3" applyFont="1" applyFill="1" applyBorder="1" applyAlignment="1">
      <alignment horizontal="center" vertical="center" wrapText="1"/>
    </xf>
    <xf numFmtId="0" fontId="5" fillId="7" borderId="0" xfId="3" applyFont="1" applyFill="1" applyBorder="1" applyAlignment="1" applyProtection="1">
      <alignment horizontal="center" vertical="center" wrapText="1"/>
    </xf>
    <xf numFmtId="0" fontId="0" fillId="0" borderId="4" xfId="0" applyBorder="1" applyAlignment="1" applyProtection="1">
      <alignment horizontal="center" vertical="center" wrapText="1"/>
    </xf>
    <xf numFmtId="0" fontId="6" fillId="15" borderId="51" xfId="3" applyFont="1" applyFill="1" applyBorder="1" applyAlignment="1" applyProtection="1">
      <alignment horizontal="left" wrapText="1"/>
      <protection locked="0"/>
    </xf>
    <xf numFmtId="0" fontId="6" fillId="15" borderId="65" xfId="3" applyFont="1" applyFill="1" applyBorder="1" applyAlignment="1" applyProtection="1">
      <alignment horizontal="left" vertical="top" wrapText="1"/>
      <protection locked="0"/>
    </xf>
    <xf numFmtId="0" fontId="6" fillId="15" borderId="51" xfId="3" applyFont="1" applyFill="1" applyBorder="1" applyAlignment="1" applyProtection="1">
      <alignment horizontal="left" vertical="center" wrapText="1"/>
      <protection locked="0"/>
    </xf>
    <xf numFmtId="0" fontId="6" fillId="15" borderId="121" xfId="3" applyFont="1" applyFill="1" applyBorder="1" applyAlignment="1" applyProtection="1">
      <alignment horizontal="left" vertical="center" wrapText="1"/>
      <protection locked="0"/>
    </xf>
    <xf numFmtId="0" fontId="2" fillId="0" borderId="101" xfId="0" applyFont="1" applyBorder="1" applyAlignment="1">
      <alignment horizontal="center" vertical="top"/>
    </xf>
    <xf numFmtId="0" fontId="2" fillId="0" borderId="144" xfId="0" applyFont="1" applyBorder="1" applyAlignment="1">
      <alignment horizontal="center" vertical="top"/>
    </xf>
    <xf numFmtId="0" fontId="2" fillId="0" borderId="102" xfId="0" applyFont="1" applyBorder="1" applyAlignment="1">
      <alignment horizontal="center" vertical="top"/>
    </xf>
    <xf numFmtId="0" fontId="25" fillId="23" borderId="20" xfId="0" quotePrefix="1" applyFont="1" applyFill="1" applyBorder="1" applyAlignment="1">
      <alignment vertical="top" wrapText="1"/>
    </xf>
    <xf numFmtId="0" fontId="25" fillId="23" borderId="18" xfId="0" quotePrefix="1" applyFont="1" applyFill="1" applyBorder="1" applyAlignment="1">
      <alignment vertical="top" wrapText="1"/>
    </xf>
    <xf numFmtId="0" fontId="25" fillId="23" borderId="47" xfId="0" quotePrefix="1" applyFont="1" applyFill="1" applyBorder="1" applyAlignment="1">
      <alignment vertical="top" wrapText="1"/>
    </xf>
    <xf numFmtId="49" fontId="2" fillId="0" borderId="142" xfId="0" applyNumberFormat="1" applyFont="1" applyBorder="1" applyAlignment="1">
      <alignment horizontal="center" vertical="center" wrapText="1"/>
    </xf>
    <xf numFmtId="49" fontId="2" fillId="0" borderId="128" xfId="0" applyNumberFormat="1" applyFont="1" applyBorder="1" applyAlignment="1">
      <alignment horizontal="center" vertical="center" wrapText="1"/>
    </xf>
    <xf numFmtId="49" fontId="2" fillId="0" borderId="129" xfId="0" applyNumberFormat="1" applyFont="1" applyBorder="1" applyAlignment="1">
      <alignment horizontal="center" vertical="center" wrapText="1"/>
    </xf>
    <xf numFmtId="0" fontId="2" fillId="0" borderId="142" xfId="0" applyFont="1" applyBorder="1" applyAlignment="1">
      <alignment horizontal="center" vertical="center"/>
    </xf>
    <xf numFmtId="0" fontId="2" fillId="0" borderId="128" xfId="0" applyFont="1" applyBorder="1" applyAlignment="1">
      <alignment horizontal="center" vertical="center"/>
    </xf>
    <xf numFmtId="0" fontId="2" fillId="0" borderId="129" xfId="0" applyFont="1" applyBorder="1" applyAlignment="1">
      <alignment horizontal="center" vertical="center"/>
    </xf>
    <xf numFmtId="0" fontId="22" fillId="23" borderId="20" xfId="0" quotePrefix="1" applyFont="1" applyFill="1" applyBorder="1" applyAlignment="1">
      <alignment vertical="top" wrapText="1"/>
    </xf>
    <xf numFmtId="0" fontId="22" fillId="23" borderId="18" xfId="0" quotePrefix="1" applyFont="1" applyFill="1" applyBorder="1" applyAlignment="1">
      <alignment vertical="top" wrapText="1"/>
    </xf>
    <xf numFmtId="0" fontId="22" fillId="23" borderId="47" xfId="0" quotePrefix="1" applyFont="1" applyFill="1" applyBorder="1" applyAlignment="1">
      <alignment vertical="top" wrapText="1"/>
    </xf>
    <xf numFmtId="49" fontId="2" fillId="0" borderId="142" xfId="0" applyNumberFormat="1" applyFont="1" applyBorder="1" applyAlignment="1">
      <alignment horizontal="center" vertical="top" wrapText="1"/>
    </xf>
    <xf numFmtId="49" fontId="2" fillId="0" borderId="128" xfId="0" applyNumberFormat="1" applyFont="1" applyBorder="1" applyAlignment="1">
      <alignment horizontal="center" vertical="top" wrapText="1"/>
    </xf>
    <xf numFmtId="49" fontId="2" fillId="0" borderId="129" xfId="0" applyNumberFormat="1" applyFont="1" applyBorder="1" applyAlignment="1">
      <alignment horizontal="center" vertical="top" wrapText="1"/>
    </xf>
    <xf numFmtId="0" fontId="2" fillId="0" borderId="142" xfId="0" applyFont="1" applyBorder="1" applyAlignment="1">
      <alignment horizontal="center" vertical="top" wrapText="1"/>
    </xf>
    <xf numFmtId="0" fontId="2" fillId="0" borderId="128" xfId="0" applyFont="1" applyBorder="1" applyAlignment="1">
      <alignment horizontal="center" vertical="top" wrapText="1"/>
    </xf>
    <xf numFmtId="0" fontId="2" fillId="0" borderId="129" xfId="0" applyFont="1" applyBorder="1" applyAlignment="1">
      <alignment horizontal="center" vertical="top" wrapText="1"/>
    </xf>
    <xf numFmtId="0" fontId="25" fillId="0" borderId="149" xfId="0" applyFont="1" applyBorder="1" applyAlignment="1">
      <alignment horizontal="left" vertical="top" wrapText="1"/>
    </xf>
    <xf numFmtId="0" fontId="25" fillId="0" borderId="150" xfId="0" applyFont="1" applyBorder="1" applyAlignment="1">
      <alignment horizontal="left" vertical="top" wrapText="1"/>
    </xf>
    <xf numFmtId="0" fontId="25" fillId="0" borderId="151" xfId="0" applyFont="1" applyBorder="1" applyAlignment="1">
      <alignment horizontal="left" vertical="top" wrapText="1"/>
    </xf>
    <xf numFmtId="0" fontId="3" fillId="23" borderId="20" xfId="0" quotePrefix="1" applyFont="1" applyFill="1" applyBorder="1" applyAlignment="1">
      <alignment vertical="top" wrapText="1"/>
    </xf>
    <xf numFmtId="0" fontId="3" fillId="23" borderId="18" xfId="0" quotePrefix="1" applyFont="1" applyFill="1" applyBorder="1" applyAlignment="1">
      <alignment vertical="top" wrapText="1"/>
    </xf>
    <xf numFmtId="0" fontId="3" fillId="23" borderId="47" xfId="0" quotePrefix="1" applyFont="1" applyFill="1" applyBorder="1" applyAlignment="1">
      <alignment vertical="top" wrapText="1"/>
    </xf>
    <xf numFmtId="0" fontId="0" fillId="13" borderId="29" xfId="0" applyFill="1" applyBorder="1" applyAlignment="1" applyProtection="1">
      <alignment horizontal="left" vertical="top"/>
    </xf>
    <xf numFmtId="0" fontId="0" fillId="13" borderId="43" xfId="0" applyFill="1" applyBorder="1" applyAlignment="1" applyProtection="1">
      <alignment horizontal="left" vertical="top"/>
    </xf>
    <xf numFmtId="0" fontId="0" fillId="13" borderId="15" xfId="0" applyFill="1" applyBorder="1" applyAlignment="1" applyProtection="1">
      <alignment horizontal="left" vertical="top"/>
    </xf>
    <xf numFmtId="0" fontId="0" fillId="13" borderId="10" xfId="0" applyFill="1" applyBorder="1" applyAlignment="1" applyProtection="1">
      <alignment horizontal="left" vertical="top"/>
    </xf>
    <xf numFmtId="0" fontId="25" fillId="11" borderId="29" xfId="0" applyNumberFormat="1" applyFont="1" applyFill="1" applyBorder="1" applyAlignment="1" applyProtection="1">
      <alignment horizontal="left" vertical="top" wrapText="1" shrinkToFit="1"/>
    </xf>
    <xf numFmtId="0" fontId="25" fillId="11" borderId="43" xfId="0" applyNumberFormat="1" applyFont="1" applyFill="1" applyBorder="1" applyAlignment="1" applyProtection="1">
      <alignment horizontal="left" vertical="top" wrapText="1" shrinkToFit="1"/>
    </xf>
    <xf numFmtId="0" fontId="1" fillId="0" borderId="93" xfId="0" applyFont="1" applyFill="1" applyBorder="1" applyAlignment="1" applyProtection="1">
      <alignment horizontal="center" textRotation="90" wrapText="1"/>
    </xf>
    <xf numFmtId="0" fontId="1" fillId="0" borderId="96" xfId="0" applyFont="1" applyFill="1" applyBorder="1" applyAlignment="1" applyProtection="1">
      <alignment horizontal="center" textRotation="90" wrapText="1"/>
    </xf>
    <xf numFmtId="0" fontId="1" fillId="0" borderId="98" xfId="0" applyFont="1" applyFill="1" applyBorder="1" applyAlignment="1" applyProtection="1">
      <alignment horizontal="center" textRotation="90" wrapText="1"/>
    </xf>
    <xf numFmtId="0" fontId="1" fillId="0" borderId="94" xfId="0" applyFont="1" applyFill="1" applyBorder="1" applyAlignment="1" applyProtection="1">
      <alignment horizontal="center" textRotation="90" wrapText="1"/>
    </xf>
    <xf numFmtId="0" fontId="1" fillId="0" borderId="1" xfId="0" applyFont="1" applyFill="1" applyBorder="1" applyAlignment="1" applyProtection="1">
      <alignment horizontal="center" textRotation="90" wrapText="1"/>
    </xf>
    <xf numFmtId="0" fontId="1" fillId="0" borderId="68" xfId="0" applyFont="1" applyFill="1" applyBorder="1" applyAlignment="1" applyProtection="1">
      <alignment horizontal="center" textRotation="90" wrapText="1"/>
    </xf>
    <xf numFmtId="0" fontId="1" fillId="0" borderId="95" xfId="0" applyFont="1" applyFill="1" applyBorder="1" applyAlignment="1" applyProtection="1">
      <alignment horizontal="center" textRotation="90" wrapText="1"/>
    </xf>
    <xf numFmtId="0" fontId="1" fillId="0" borderId="97" xfId="0" applyFont="1" applyFill="1" applyBorder="1" applyAlignment="1" applyProtection="1">
      <alignment horizontal="center" textRotation="90" wrapText="1"/>
    </xf>
    <xf numFmtId="0" fontId="1" fillId="0" borderId="50" xfId="0" applyFont="1" applyFill="1" applyBorder="1" applyAlignment="1" applyProtection="1">
      <alignment horizontal="center" textRotation="90" wrapText="1"/>
    </xf>
    <xf numFmtId="0" fontId="0" fillId="0" borderId="20" xfId="0" applyFill="1" applyBorder="1" applyAlignment="1">
      <alignment horizontal="center" textRotation="90" wrapText="1"/>
    </xf>
    <xf numFmtId="0" fontId="0" fillId="0" borderId="47" xfId="0" applyFill="1" applyBorder="1" applyAlignment="1">
      <alignment horizontal="center" textRotation="90" wrapText="1"/>
    </xf>
    <xf numFmtId="49" fontId="55" fillId="13" borderId="101" xfId="0" applyNumberFormat="1" applyFont="1" applyFill="1" applyBorder="1" applyAlignment="1" applyProtection="1">
      <alignment horizontal="center" vertical="center" wrapText="1"/>
    </xf>
    <xf numFmtId="49" fontId="55" fillId="13" borderId="102" xfId="0" applyNumberFormat="1" applyFont="1" applyFill="1" applyBorder="1" applyAlignment="1" applyProtection="1">
      <alignment horizontal="center" vertical="center" wrapText="1"/>
    </xf>
    <xf numFmtId="0" fontId="55" fillId="13" borderId="20" xfId="0" applyFont="1" applyFill="1" applyBorder="1" applyAlignment="1" applyProtection="1">
      <alignment horizontal="left" vertical="center" wrapText="1" indent="2"/>
    </xf>
    <xf numFmtId="0" fontId="55" fillId="13" borderId="47" xfId="0" applyFont="1" applyFill="1" applyBorder="1" applyAlignment="1" applyProtection="1">
      <alignment horizontal="left" vertical="center" wrapText="1" indent="2"/>
    </xf>
    <xf numFmtId="49" fontId="55" fillId="13" borderId="99" xfId="0" applyNumberFormat="1" applyFont="1" applyFill="1" applyBorder="1" applyAlignment="1" applyProtection="1">
      <alignment horizontal="center" vertical="center" wrapText="1"/>
    </xf>
    <xf numFmtId="49" fontId="55" fillId="13" borderId="100" xfId="0" applyNumberFormat="1" applyFont="1" applyFill="1" applyBorder="1" applyAlignment="1" applyProtection="1">
      <alignment horizontal="center" vertical="center" wrapText="1"/>
    </xf>
    <xf numFmtId="49" fontId="6" fillId="12" borderId="86" xfId="0" applyNumberFormat="1" applyFont="1" applyFill="1" applyBorder="1" applyAlignment="1" applyProtection="1">
      <alignment horizontal="center" vertical="center" textRotation="90"/>
    </xf>
    <xf numFmtId="49" fontId="24" fillId="12" borderId="18" xfId="0" applyNumberFormat="1" applyFont="1" applyFill="1" applyBorder="1" applyAlignment="1" applyProtection="1">
      <alignment horizontal="center" vertical="center" textRotation="90"/>
    </xf>
    <xf numFmtId="49" fontId="24" fillId="12" borderId="28" xfId="0" applyNumberFormat="1" applyFont="1" applyFill="1" applyBorder="1" applyAlignment="1" applyProtection="1">
      <alignment horizontal="center" vertical="center" textRotation="90"/>
    </xf>
    <xf numFmtId="0" fontId="11" fillId="0" borderId="9" xfId="5" applyFont="1" applyBorder="1" applyAlignment="1" applyProtection="1">
      <alignment horizontal="center" vertical="center"/>
    </xf>
    <xf numFmtId="9" fontId="6" fillId="9" borderId="0" xfId="5" applyNumberFormat="1" applyFont="1" applyFill="1" applyBorder="1" applyAlignment="1" applyProtection="1">
      <alignment horizontal="center" vertical="center" wrapText="1"/>
    </xf>
    <xf numFmtId="9" fontId="77" fillId="0" borderId="13" xfId="9" applyNumberFormat="1" applyFont="1" applyFill="1" applyBorder="1" applyAlignment="1" applyProtection="1">
      <alignment horizontal="center" vertical="center"/>
    </xf>
    <xf numFmtId="9" fontId="77" fillId="0" borderId="11" xfId="9" applyNumberFormat="1" applyFont="1" applyFill="1" applyBorder="1" applyAlignment="1" applyProtection="1">
      <alignment horizontal="center" vertical="center"/>
    </xf>
    <xf numFmtId="9" fontId="77" fillId="0" borderId="34" xfId="9" applyNumberFormat="1" applyFont="1" applyFill="1" applyBorder="1" applyAlignment="1" applyProtection="1">
      <alignment horizontal="center" vertical="center"/>
    </xf>
    <xf numFmtId="9" fontId="77" fillId="0" borderId="7" xfId="9" applyNumberFormat="1" applyFont="1" applyFill="1" applyBorder="1" applyAlignment="1" applyProtection="1">
      <alignment horizontal="center" vertical="center"/>
    </xf>
    <xf numFmtId="9" fontId="77" fillId="0" borderId="0" xfId="9" applyNumberFormat="1" applyFont="1" applyFill="1" applyBorder="1" applyAlignment="1" applyProtection="1">
      <alignment horizontal="center" vertical="center"/>
    </xf>
    <xf numFmtId="9" fontId="77" fillId="0" borderId="6" xfId="9" applyNumberFormat="1" applyFont="1" applyFill="1" applyBorder="1" applyAlignment="1" applyProtection="1">
      <alignment horizontal="center" vertical="center"/>
    </xf>
    <xf numFmtId="9" fontId="77" fillId="0" borderId="15" xfId="9" applyNumberFormat="1" applyFont="1" applyFill="1" applyBorder="1" applyAlignment="1" applyProtection="1">
      <alignment horizontal="center" vertical="center"/>
    </xf>
    <xf numFmtId="9" fontId="77" fillId="0" borderId="9" xfId="9" applyNumberFormat="1" applyFont="1" applyFill="1" applyBorder="1" applyAlignment="1" applyProtection="1">
      <alignment horizontal="center" vertical="center"/>
    </xf>
    <xf numFmtId="9" fontId="77" fillId="0" borderId="10" xfId="9" applyNumberFormat="1" applyFont="1" applyFill="1" applyBorder="1" applyAlignment="1" applyProtection="1">
      <alignment horizontal="center" vertical="center"/>
    </xf>
    <xf numFmtId="9" fontId="11" fillId="0" borderId="22" xfId="5" applyNumberFormat="1" applyFont="1" applyBorder="1" applyAlignment="1" applyProtection="1">
      <alignment horizontal="center" vertical="center"/>
    </xf>
    <xf numFmtId="9" fontId="11" fillId="0" borderId="36" xfId="5" applyNumberFormat="1" applyFont="1" applyBorder="1" applyAlignment="1" applyProtection="1">
      <alignment horizontal="center" vertical="center"/>
    </xf>
    <xf numFmtId="9" fontId="6" fillId="21" borderId="88" xfId="5" applyNumberFormat="1" applyFont="1" applyFill="1" applyBorder="1" applyAlignment="1" applyProtection="1">
      <alignment horizontal="center" vertical="center"/>
    </xf>
    <xf numFmtId="9" fontId="6" fillId="21" borderId="14" xfId="5" applyNumberFormat="1" applyFont="1" applyFill="1" applyBorder="1" applyAlignment="1" applyProtection="1">
      <alignment horizontal="center" vertical="center"/>
    </xf>
    <xf numFmtId="0" fontId="25" fillId="21" borderId="48" xfId="9" applyFont="1" applyFill="1" applyBorder="1" applyAlignment="1" applyProtection="1">
      <alignment horizontal="center" vertical="center"/>
    </xf>
    <xf numFmtId="9" fontId="21" fillId="0" borderId="29" xfId="1" applyFont="1" applyBorder="1" applyAlignment="1" applyProtection="1">
      <alignment horizontal="center" vertical="center"/>
    </xf>
    <xf numFmtId="9" fontId="21" fillId="0" borderId="43" xfId="1" applyFont="1" applyBorder="1" applyAlignment="1" applyProtection="1">
      <alignment horizontal="center" vertical="center"/>
    </xf>
    <xf numFmtId="9" fontId="21" fillId="0" borderId="29" xfId="5" applyNumberFormat="1" applyFont="1" applyBorder="1" applyAlignment="1" applyProtection="1">
      <alignment horizontal="center" vertical="center"/>
    </xf>
    <xf numFmtId="9" fontId="21" fillId="0" borderId="43" xfId="5" applyNumberFormat="1" applyFont="1" applyBorder="1" applyAlignment="1" applyProtection="1">
      <alignment horizontal="center" vertical="center"/>
    </xf>
    <xf numFmtId="0" fontId="45" fillId="9" borderId="0" xfId="0" applyFont="1" applyFill="1" applyBorder="1" applyAlignment="1" applyProtection="1">
      <alignment horizontal="center" vertical="center"/>
    </xf>
    <xf numFmtId="9" fontId="11" fillId="0" borderId="0" xfId="5" applyNumberFormat="1" applyFont="1" applyFill="1" applyBorder="1" applyAlignment="1" applyProtection="1">
      <alignment horizontal="center" vertical="center"/>
    </xf>
    <xf numFmtId="0" fontId="14" fillId="0" borderId="0" xfId="0" applyFont="1" applyFill="1" applyBorder="1" applyAlignment="1" applyProtection="1">
      <alignment horizontal="center" vertical="center"/>
    </xf>
    <xf numFmtId="0" fontId="30" fillId="9" borderId="0" xfId="5" applyFont="1" applyFill="1" applyBorder="1" applyAlignment="1" applyProtection="1">
      <alignment horizontal="left" vertical="top" wrapText="1"/>
    </xf>
    <xf numFmtId="0" fontId="0" fillId="9" borderId="0" xfId="0" applyFill="1" applyBorder="1" applyAlignment="1" applyProtection="1">
      <alignment horizontal="left" vertical="top" wrapText="1"/>
    </xf>
    <xf numFmtId="9" fontId="21" fillId="9" borderId="0" xfId="1" applyFont="1" applyFill="1" applyBorder="1" applyAlignment="1" applyProtection="1">
      <alignment horizontal="center" vertical="center"/>
    </xf>
    <xf numFmtId="0" fontId="30" fillId="9" borderId="0" xfId="5" applyFont="1" applyFill="1" applyBorder="1" applyAlignment="1" applyProtection="1">
      <alignment horizontal="left" wrapText="1"/>
    </xf>
    <xf numFmtId="0" fontId="0" fillId="9" borderId="0" xfId="0" applyFill="1" applyBorder="1" applyAlignment="1" applyProtection="1">
      <alignment wrapText="1"/>
    </xf>
    <xf numFmtId="0" fontId="3" fillId="9" borderId="0" xfId="5" applyFont="1" applyFill="1" applyBorder="1" applyAlignment="1" applyProtection="1">
      <alignment horizontal="center" vertical="center" wrapText="1"/>
    </xf>
    <xf numFmtId="0" fontId="3" fillId="9" borderId="0" xfId="5" applyFill="1" applyBorder="1" applyAlignment="1" applyProtection="1">
      <alignment horizontal="center" vertical="center" wrapText="1"/>
    </xf>
    <xf numFmtId="0" fontId="6" fillId="0" borderId="13" xfId="0" applyFont="1" applyBorder="1" applyAlignment="1" applyProtection="1">
      <alignment horizontal="center" vertical="center"/>
    </xf>
    <xf numFmtId="0" fontId="6" fillId="0" borderId="11" xfId="0" applyFont="1" applyBorder="1" applyAlignment="1" applyProtection="1">
      <alignment horizontal="center" vertical="center"/>
    </xf>
    <xf numFmtId="0" fontId="6" fillId="0" borderId="34" xfId="0" applyFont="1" applyBorder="1" applyAlignment="1" applyProtection="1">
      <alignment horizontal="center" vertical="center"/>
    </xf>
    <xf numFmtId="0" fontId="30" fillId="0" borderId="15" xfId="0" applyFont="1" applyBorder="1" applyAlignment="1" applyProtection="1">
      <alignment horizontal="center" vertical="center"/>
    </xf>
    <xf numFmtId="0" fontId="30" fillId="0" borderId="9" xfId="0" applyFont="1" applyBorder="1" applyAlignment="1" applyProtection="1">
      <alignment horizontal="center" vertical="center"/>
    </xf>
    <xf numFmtId="0" fontId="30" fillId="0" borderId="10" xfId="0" applyFont="1" applyBorder="1" applyAlignment="1" applyProtection="1">
      <alignment horizontal="center" vertical="center"/>
    </xf>
    <xf numFmtId="9" fontId="6" fillId="0" borderId="13" xfId="5" applyNumberFormat="1" applyFont="1" applyBorder="1" applyAlignment="1" applyProtection="1">
      <alignment horizontal="center" vertical="center"/>
    </xf>
    <xf numFmtId="9" fontId="6" fillId="0" borderId="11" xfId="5" applyNumberFormat="1" applyFont="1" applyBorder="1" applyAlignment="1" applyProtection="1">
      <alignment horizontal="center" vertical="center"/>
    </xf>
    <xf numFmtId="9" fontId="6" fillId="0" borderId="34" xfId="5" applyNumberFormat="1" applyFont="1" applyBorder="1" applyAlignment="1" applyProtection="1">
      <alignment horizontal="center" vertical="center"/>
    </xf>
    <xf numFmtId="9" fontId="6" fillId="0" borderId="15" xfId="5" applyNumberFormat="1" applyFont="1" applyBorder="1" applyAlignment="1" applyProtection="1">
      <alignment horizontal="center" vertical="center"/>
    </xf>
    <xf numFmtId="9" fontId="6" fillId="0" borderId="9" xfId="5" applyNumberFormat="1" applyFont="1" applyBorder="1" applyAlignment="1" applyProtection="1">
      <alignment horizontal="center" vertical="center"/>
    </xf>
    <xf numFmtId="9" fontId="6" fillId="0" borderId="10" xfId="5" applyNumberFormat="1" applyFont="1" applyBorder="1" applyAlignment="1" applyProtection="1">
      <alignment horizontal="center" vertical="center"/>
    </xf>
    <xf numFmtId="0" fontId="11" fillId="0" borderId="0" xfId="0" applyFont="1" applyFill="1" applyBorder="1" applyAlignment="1" applyProtection="1">
      <alignment horizontal="center" vertical="center"/>
    </xf>
    <xf numFmtId="0" fontId="15" fillId="9" borderId="0" xfId="0" applyFont="1" applyFill="1" applyBorder="1" applyAlignment="1" applyProtection="1">
      <alignment horizontal="center" vertical="center" wrapText="1"/>
    </xf>
    <xf numFmtId="0" fontId="30" fillId="9" borderId="0" xfId="5" applyFont="1" applyFill="1" applyBorder="1" applyAlignment="1" applyProtection="1">
      <alignment horizontal="center"/>
    </xf>
    <xf numFmtId="0" fontId="30" fillId="9" borderId="0" xfId="5" applyFont="1" applyFill="1" applyBorder="1" applyAlignment="1" applyProtection="1">
      <alignment horizontal="center" vertical="center" wrapText="1"/>
    </xf>
    <xf numFmtId="0" fontId="15" fillId="9" borderId="0" xfId="9" applyFont="1" applyFill="1" applyBorder="1" applyAlignment="1" applyProtection="1">
      <alignment horizontal="center" vertical="center"/>
    </xf>
    <xf numFmtId="0" fontId="15" fillId="9" borderId="0" xfId="9" applyFont="1" applyFill="1" applyBorder="1" applyAlignment="1" applyProtection="1">
      <alignment horizontal="center" vertical="center" wrapText="1"/>
    </xf>
    <xf numFmtId="0" fontId="15" fillId="0" borderId="0" xfId="5" applyFont="1" applyBorder="1" applyAlignment="1" applyProtection="1">
      <alignment horizontal="center" vertical="center" wrapText="1"/>
    </xf>
    <xf numFmtId="0" fontId="18" fillId="0" borderId="0" xfId="5" applyFont="1" applyBorder="1" applyAlignment="1" applyProtection="1">
      <alignment horizontal="center" vertical="center" wrapText="1"/>
    </xf>
    <xf numFmtId="0" fontId="41" fillId="0" borderId="13" xfId="6" applyFont="1" applyBorder="1" applyAlignment="1" applyProtection="1">
      <alignment horizontal="center" vertical="center"/>
    </xf>
    <xf numFmtId="0" fontId="41" fillId="0" borderId="11" xfId="6" applyFont="1" applyBorder="1" applyAlignment="1" applyProtection="1">
      <alignment horizontal="center" vertical="center"/>
    </xf>
    <xf numFmtId="0" fontId="41" fillId="0" borderId="70" xfId="6" applyFont="1" applyBorder="1" applyAlignment="1" applyProtection="1">
      <alignment horizontal="center" vertical="center"/>
    </xf>
    <xf numFmtId="0" fontId="41" fillId="0" borderId="15" xfId="6" applyFont="1" applyBorder="1" applyAlignment="1" applyProtection="1">
      <alignment horizontal="center" vertical="center"/>
    </xf>
    <xf numFmtId="0" fontId="41" fillId="0" borderId="9" xfId="6" applyFont="1" applyBorder="1" applyAlignment="1" applyProtection="1">
      <alignment horizontal="center" vertical="center"/>
    </xf>
    <xf numFmtId="0" fontId="41" fillId="0" borderId="71" xfId="6" applyFont="1" applyBorder="1" applyAlignment="1" applyProtection="1">
      <alignment horizontal="center" vertical="center"/>
    </xf>
    <xf numFmtId="0" fontId="16" fillId="0" borderId="40" xfId="5" applyFont="1" applyBorder="1" applyAlignment="1" applyProtection="1">
      <alignment horizontal="center" vertical="center"/>
    </xf>
    <xf numFmtId="0" fontId="23" fillId="0" borderId="11" xfId="5" applyFont="1" applyBorder="1" applyAlignment="1" applyProtection="1">
      <alignment horizontal="center" vertical="center"/>
    </xf>
    <xf numFmtId="0" fontId="23" fillId="0" borderId="70" xfId="5" applyFont="1" applyBorder="1" applyAlignment="1" applyProtection="1">
      <alignment horizontal="center" vertical="center"/>
    </xf>
    <xf numFmtId="0" fontId="23" fillId="0" borderId="41" xfId="5" applyFont="1" applyBorder="1" applyAlignment="1" applyProtection="1">
      <alignment horizontal="center" vertical="center"/>
    </xf>
    <xf numFmtId="0" fontId="23" fillId="0" borderId="9" xfId="5" applyFont="1" applyBorder="1" applyAlignment="1" applyProtection="1">
      <alignment horizontal="center" vertical="center"/>
    </xf>
    <xf numFmtId="0" fontId="23" fillId="0" borderId="71" xfId="5" applyFont="1" applyBorder="1" applyAlignment="1" applyProtection="1">
      <alignment horizontal="center" vertical="center"/>
    </xf>
    <xf numFmtId="9" fontId="11" fillId="0" borderId="29" xfId="1" applyNumberFormat="1" applyFont="1" applyBorder="1" applyAlignment="1" applyProtection="1">
      <alignment horizontal="center" vertical="center"/>
    </xf>
    <xf numFmtId="9" fontId="11" fillId="0" borderId="43" xfId="1" applyNumberFormat="1" applyFont="1" applyBorder="1" applyAlignment="1" applyProtection="1">
      <alignment horizontal="center" vertical="center"/>
    </xf>
    <xf numFmtId="0" fontId="18" fillId="9" borderId="0" xfId="0" applyFont="1" applyFill="1" applyBorder="1" applyAlignment="1" applyProtection="1">
      <alignment horizontal="center" vertical="center"/>
    </xf>
    <xf numFmtId="0" fontId="1" fillId="0" borderId="0" xfId="5" applyFont="1" applyBorder="1" applyAlignment="1" applyProtection="1">
      <alignment horizontal="center" vertical="center"/>
    </xf>
    <xf numFmtId="0" fontId="1" fillId="0" borderId="6" xfId="5" applyFont="1" applyBorder="1" applyAlignment="1" applyProtection="1">
      <alignment horizontal="center" vertical="center"/>
    </xf>
    <xf numFmtId="9" fontId="11" fillId="0" borderId="29" xfId="5" applyNumberFormat="1" applyFont="1" applyBorder="1" applyAlignment="1" applyProtection="1">
      <alignment horizontal="center" vertical="center"/>
    </xf>
    <xf numFmtId="9" fontId="11" fillId="0" borderId="43" xfId="5" applyNumberFormat="1" applyFont="1" applyBorder="1" applyAlignment="1" applyProtection="1">
      <alignment horizontal="center" vertical="center"/>
    </xf>
    <xf numFmtId="0" fontId="11" fillId="0" borderId="0" xfId="5" applyFont="1" applyBorder="1" applyAlignment="1" applyProtection="1">
      <alignment horizontal="center" vertical="center"/>
    </xf>
    <xf numFmtId="0" fontId="11" fillId="0" borderId="6" xfId="5" applyFont="1" applyBorder="1" applyAlignment="1" applyProtection="1">
      <alignment horizontal="center" vertical="center"/>
    </xf>
    <xf numFmtId="1" fontId="6" fillId="9" borderId="0" xfId="5" applyNumberFormat="1" applyFont="1" applyFill="1" applyBorder="1" applyAlignment="1" applyProtection="1">
      <alignment horizontal="center" vertical="center" wrapText="1"/>
    </xf>
    <xf numFmtId="0" fontId="45" fillId="9" borderId="0" xfId="9" applyFont="1" applyFill="1" applyBorder="1" applyAlignment="1" applyProtection="1">
      <alignment horizontal="center" vertical="center"/>
    </xf>
    <xf numFmtId="0" fontId="3" fillId="0" borderId="23" xfId="5" applyBorder="1" applyAlignment="1" applyProtection="1">
      <alignment horizontal="center"/>
    </xf>
    <xf numFmtId="0" fontId="3" fillId="0" borderId="33" xfId="5" applyBorder="1" applyAlignment="1" applyProtection="1">
      <alignment horizontal="center"/>
    </xf>
    <xf numFmtId="0" fontId="3" fillId="0" borderId="37" xfId="5" applyBorder="1" applyAlignment="1" applyProtection="1">
      <alignment horizontal="center"/>
    </xf>
    <xf numFmtId="0" fontId="11" fillId="0" borderId="23" xfId="9" applyFont="1" applyBorder="1" applyAlignment="1" applyProtection="1">
      <alignment horizontal="center" vertical="center"/>
    </xf>
    <xf numFmtId="0" fontId="11" fillId="0" borderId="33" xfId="9" applyFont="1" applyBorder="1" applyAlignment="1" applyProtection="1">
      <alignment horizontal="center" vertical="center"/>
    </xf>
    <xf numFmtId="0" fontId="11" fillId="0" borderId="37" xfId="9" applyFont="1" applyBorder="1" applyAlignment="1" applyProtection="1">
      <alignment horizontal="center" vertical="center"/>
    </xf>
    <xf numFmtId="9" fontId="11" fillId="0" borderId="23" xfId="5" applyNumberFormat="1" applyFont="1" applyBorder="1" applyAlignment="1" applyProtection="1">
      <alignment horizontal="center" vertical="center"/>
    </xf>
    <xf numFmtId="9" fontId="11" fillId="0" borderId="37" xfId="5" applyNumberFormat="1" applyFont="1" applyBorder="1" applyAlignment="1" applyProtection="1">
      <alignment horizontal="center" vertical="center"/>
    </xf>
    <xf numFmtId="9" fontId="6" fillId="21" borderId="114" xfId="5" applyNumberFormat="1" applyFont="1" applyFill="1" applyBorder="1" applyAlignment="1" applyProtection="1">
      <alignment horizontal="center" vertical="center"/>
    </xf>
    <xf numFmtId="9" fontId="6" fillId="21" borderId="66" xfId="5" applyNumberFormat="1" applyFont="1" applyFill="1" applyBorder="1" applyAlignment="1" applyProtection="1">
      <alignment horizontal="center" vertical="center"/>
    </xf>
    <xf numFmtId="0" fontId="25" fillId="21" borderId="92" xfId="9" applyFont="1" applyFill="1" applyBorder="1" applyAlignment="1" applyProtection="1">
      <alignment horizontal="center" vertical="center"/>
    </xf>
    <xf numFmtId="0" fontId="11" fillId="9" borderId="13" xfId="9" applyFont="1" applyFill="1" applyBorder="1" applyAlignment="1" applyProtection="1">
      <alignment horizontal="center" vertical="center" wrapText="1"/>
    </xf>
    <xf numFmtId="0" fontId="11" fillId="9" borderId="11" xfId="9" applyFont="1" applyFill="1" applyBorder="1" applyAlignment="1" applyProtection="1">
      <alignment horizontal="center" vertical="center" wrapText="1"/>
    </xf>
    <xf numFmtId="0" fontId="11" fillId="9" borderId="34" xfId="9" applyFont="1" applyFill="1" applyBorder="1" applyAlignment="1" applyProtection="1">
      <alignment horizontal="center" vertical="center" wrapText="1"/>
    </xf>
    <xf numFmtId="0" fontId="11" fillId="9" borderId="7" xfId="9" applyFont="1" applyFill="1" applyBorder="1" applyAlignment="1" applyProtection="1">
      <alignment horizontal="center" vertical="center" wrapText="1"/>
    </xf>
    <xf numFmtId="0" fontId="11" fillId="9" borderId="0" xfId="9" applyFont="1" applyFill="1" applyBorder="1" applyAlignment="1" applyProtection="1">
      <alignment horizontal="center" vertical="center" wrapText="1"/>
    </xf>
    <xf numFmtId="0" fontId="11" fillId="9" borderId="6" xfId="9" applyFont="1" applyFill="1" applyBorder="1" applyAlignment="1" applyProtection="1">
      <alignment horizontal="center" vertical="center" wrapText="1"/>
    </xf>
    <xf numFmtId="0" fontId="11" fillId="0" borderId="13" xfId="9" applyFont="1" applyBorder="1" applyAlignment="1" applyProtection="1">
      <alignment horizontal="center" vertical="center" wrapText="1"/>
    </xf>
    <xf numFmtId="0" fontId="11" fillId="0" borderId="11" xfId="9" applyFont="1" applyBorder="1" applyAlignment="1" applyProtection="1">
      <alignment horizontal="center" vertical="center" wrapText="1"/>
    </xf>
    <xf numFmtId="0" fontId="11" fillId="0" borderId="34" xfId="9" applyFont="1" applyBorder="1" applyAlignment="1" applyProtection="1">
      <alignment horizontal="center" vertical="center" wrapText="1"/>
    </xf>
    <xf numFmtId="0" fontId="11" fillId="0" borderId="15" xfId="9" applyFont="1" applyBorder="1" applyAlignment="1" applyProtection="1">
      <alignment horizontal="center" vertical="center" wrapText="1"/>
    </xf>
    <xf numFmtId="0" fontId="11" fillId="0" borderId="9" xfId="9" applyFont="1" applyBorder="1" applyAlignment="1" applyProtection="1">
      <alignment horizontal="center" vertical="center" wrapText="1"/>
    </xf>
    <xf numFmtId="0" fontId="11" fillId="0" borderId="10" xfId="9" applyFont="1" applyBorder="1" applyAlignment="1" applyProtection="1">
      <alignment horizontal="center" vertical="center" wrapText="1"/>
    </xf>
    <xf numFmtId="0" fontId="11" fillId="0" borderId="13" xfId="9" applyFont="1" applyBorder="1" applyAlignment="1" applyProtection="1">
      <alignment horizontal="center" vertical="center"/>
    </xf>
    <xf numFmtId="0" fontId="11" fillId="0" borderId="34" xfId="9" applyFont="1" applyBorder="1" applyAlignment="1" applyProtection="1">
      <alignment horizontal="center" vertical="center"/>
    </xf>
    <xf numFmtId="0" fontId="11" fillId="0" borderId="15" xfId="9" applyFont="1" applyBorder="1" applyAlignment="1" applyProtection="1">
      <alignment horizontal="center" vertical="center"/>
    </xf>
    <xf numFmtId="0" fontId="11" fillId="0" borderId="10" xfId="9" applyFont="1" applyBorder="1" applyAlignment="1" applyProtection="1">
      <alignment horizontal="center" vertical="center"/>
    </xf>
    <xf numFmtId="0" fontId="11" fillId="0" borderId="11" xfId="9" applyFont="1" applyBorder="1" applyAlignment="1" applyProtection="1">
      <alignment horizontal="center" vertical="center"/>
    </xf>
    <xf numFmtId="0" fontId="3" fillId="0" borderId="15" xfId="9" applyFont="1" applyBorder="1" applyAlignment="1" applyProtection="1">
      <alignment horizontal="center" vertical="center"/>
    </xf>
    <xf numFmtId="0" fontId="3" fillId="0" borderId="9" xfId="9" applyFont="1" applyBorder="1" applyAlignment="1" applyProtection="1">
      <alignment horizontal="center" vertical="center"/>
    </xf>
    <xf numFmtId="0" fontId="3" fillId="0" borderId="10" xfId="9" applyFont="1" applyBorder="1" applyAlignment="1" applyProtection="1">
      <alignment horizontal="center" vertical="center"/>
    </xf>
    <xf numFmtId="0" fontId="3" fillId="0" borderId="113" xfId="5" applyBorder="1" applyAlignment="1" applyProtection="1">
      <alignment horizontal="center"/>
    </xf>
    <xf numFmtId="0" fontId="3" fillId="0" borderId="75" xfId="5" applyBorder="1" applyAlignment="1" applyProtection="1">
      <alignment horizontal="center"/>
    </xf>
    <xf numFmtId="0" fontId="3" fillId="0" borderId="76" xfId="5" applyBorder="1" applyAlignment="1" applyProtection="1">
      <alignment horizontal="center"/>
    </xf>
    <xf numFmtId="0" fontId="11" fillId="0" borderId="21" xfId="9" applyFont="1" applyBorder="1" applyAlignment="1" applyProtection="1">
      <alignment horizontal="center" vertical="center"/>
    </xf>
    <xf numFmtId="0" fontId="11" fillId="0" borderId="31" xfId="9" applyFont="1" applyBorder="1" applyAlignment="1" applyProtection="1">
      <alignment horizontal="center" vertical="center"/>
    </xf>
    <xf numFmtId="0" fontId="11" fillId="0" borderId="35" xfId="9" applyFont="1" applyBorder="1" applyAlignment="1" applyProtection="1">
      <alignment horizontal="center" vertical="center"/>
    </xf>
    <xf numFmtId="9" fontId="11" fillId="0" borderId="21" xfId="5" applyNumberFormat="1" applyFont="1" applyBorder="1" applyAlignment="1" applyProtection="1">
      <alignment horizontal="center" vertical="center"/>
    </xf>
    <xf numFmtId="9" fontId="11" fillId="0" borderId="35" xfId="5" applyNumberFormat="1" applyFont="1" applyBorder="1" applyAlignment="1" applyProtection="1">
      <alignment horizontal="center" vertical="center"/>
    </xf>
    <xf numFmtId="9" fontId="6" fillId="21" borderId="113" xfId="5" applyNumberFormat="1" applyFont="1" applyFill="1" applyBorder="1" applyAlignment="1" applyProtection="1">
      <alignment horizontal="center" vertical="center"/>
    </xf>
    <xf numFmtId="9" fontId="6" fillId="21" borderId="75" xfId="5" applyNumberFormat="1" applyFont="1" applyFill="1" applyBorder="1" applyAlignment="1" applyProtection="1">
      <alignment horizontal="center" vertical="center"/>
    </xf>
    <xf numFmtId="0" fontId="25" fillId="21" borderId="76" xfId="9" applyFont="1" applyFill="1" applyBorder="1" applyAlignment="1" applyProtection="1">
      <alignment horizontal="center" vertical="center"/>
    </xf>
    <xf numFmtId="0" fontId="3" fillId="0" borderId="22" xfId="5" applyBorder="1" applyAlignment="1" applyProtection="1">
      <alignment horizontal="center"/>
    </xf>
    <xf numFmtId="0" fontId="3" fillId="0" borderId="32" xfId="5" applyBorder="1" applyAlignment="1" applyProtection="1">
      <alignment horizontal="center"/>
    </xf>
    <xf numFmtId="0" fontId="3" fillId="0" borderId="36" xfId="5" applyBorder="1" applyAlignment="1" applyProtection="1">
      <alignment horizontal="center"/>
    </xf>
    <xf numFmtId="0" fontId="11" fillId="0" borderId="22" xfId="9" applyFont="1" applyBorder="1" applyAlignment="1" applyProtection="1">
      <alignment horizontal="center" vertical="center"/>
    </xf>
    <xf numFmtId="0" fontId="11" fillId="0" borderId="32" xfId="9" applyFont="1" applyBorder="1" applyAlignment="1" applyProtection="1">
      <alignment horizontal="center" vertical="center"/>
    </xf>
    <xf numFmtId="0" fontId="11" fillId="0" borderId="36" xfId="9" applyFont="1" applyBorder="1" applyAlignment="1" applyProtection="1">
      <alignment horizontal="center" vertical="center"/>
    </xf>
    <xf numFmtId="0" fontId="21" fillId="0" borderId="11" xfId="5" applyFont="1" applyBorder="1" applyAlignment="1" applyProtection="1">
      <alignment horizontal="left" vertical="center"/>
    </xf>
    <xf numFmtId="0" fontId="21" fillId="0" borderId="34" xfId="5" applyFont="1" applyBorder="1" applyAlignment="1" applyProtection="1">
      <alignment horizontal="left" vertical="center"/>
    </xf>
    <xf numFmtId="0" fontId="11" fillId="9" borderId="0" xfId="0" applyFont="1" applyFill="1" applyBorder="1" applyAlignment="1" applyProtection="1">
      <alignment horizontal="center" vertical="center"/>
    </xf>
    <xf numFmtId="0" fontId="14" fillId="9" borderId="0" xfId="0" applyFont="1" applyFill="1" applyBorder="1" applyAlignment="1" applyProtection="1">
      <alignment horizontal="center" vertical="center"/>
    </xf>
    <xf numFmtId="0" fontId="15" fillId="9" borderId="0" xfId="0" applyFont="1" applyFill="1" applyBorder="1" applyAlignment="1" applyProtection="1">
      <alignment horizontal="center" vertical="center"/>
    </xf>
    <xf numFmtId="0" fontId="0" fillId="9" borderId="0" xfId="0" applyFill="1" applyBorder="1" applyAlignment="1" applyProtection="1">
      <alignment horizontal="center" vertical="center"/>
    </xf>
    <xf numFmtId="0" fontId="24" fillId="0" borderId="0" xfId="0" applyFont="1" applyBorder="1" applyAlignment="1" applyProtection="1">
      <alignment horizontal="center" vertical="center" wrapText="1"/>
    </xf>
    <xf numFmtId="0" fontId="33" fillId="6" borderId="13" xfId="0" applyFont="1" applyFill="1" applyBorder="1" applyAlignment="1" applyProtection="1">
      <alignment horizontal="center" vertical="center"/>
    </xf>
    <xf numFmtId="0" fontId="33" fillId="6" borderId="34" xfId="0" applyFont="1" applyFill="1" applyBorder="1" applyAlignment="1" applyProtection="1">
      <alignment horizontal="center" vertical="center"/>
    </xf>
    <xf numFmtId="0" fontId="33" fillId="6" borderId="15" xfId="0" applyFont="1" applyFill="1" applyBorder="1" applyAlignment="1" applyProtection="1">
      <alignment horizontal="center" vertical="center"/>
    </xf>
    <xf numFmtId="0" fontId="33" fillId="6" borderId="10" xfId="0" applyFont="1" applyFill="1" applyBorder="1" applyAlignment="1" applyProtection="1">
      <alignment horizontal="center" vertical="center"/>
    </xf>
    <xf numFmtId="0" fontId="15" fillId="0" borderId="0" xfId="5" applyFont="1" applyBorder="1" applyAlignment="1" applyProtection="1">
      <alignment horizontal="left" vertical="center" wrapText="1"/>
    </xf>
    <xf numFmtId="0" fontId="18" fillId="0" borderId="0" xfId="5" applyFont="1" applyBorder="1" applyAlignment="1" applyProtection="1">
      <alignment horizontal="left" vertical="center" wrapText="1"/>
    </xf>
    <xf numFmtId="3" fontId="6" fillId="9" borderId="0" xfId="5" applyNumberFormat="1" applyFont="1" applyFill="1" applyBorder="1" applyAlignment="1" applyProtection="1">
      <alignment horizontal="center" vertical="center" wrapText="1"/>
    </xf>
    <xf numFmtId="0" fontId="30" fillId="9" borderId="0" xfId="5" applyFont="1" applyFill="1" applyBorder="1" applyAlignment="1" applyProtection="1">
      <alignment horizontal="center" vertical="top"/>
    </xf>
    <xf numFmtId="0" fontId="30" fillId="9" borderId="0" xfId="5" applyFont="1" applyFill="1" applyBorder="1" applyAlignment="1" applyProtection="1">
      <alignment horizontal="center" vertical="center"/>
    </xf>
    <xf numFmtId="0" fontId="49" fillId="21" borderId="13" xfId="9" applyNumberFormat="1" applyFont="1" applyFill="1" applyBorder="1" applyAlignment="1" applyProtection="1">
      <alignment horizontal="center" vertical="center"/>
    </xf>
    <xf numFmtId="0" fontId="49" fillId="21" borderId="34" xfId="9" applyNumberFormat="1" applyFont="1" applyFill="1" applyBorder="1" applyAlignment="1" applyProtection="1">
      <alignment horizontal="center" vertical="center"/>
    </xf>
    <xf numFmtId="0" fontId="49" fillId="21" borderId="7" xfId="9" applyNumberFormat="1" applyFont="1" applyFill="1" applyBorder="1" applyAlignment="1" applyProtection="1">
      <alignment horizontal="center" vertical="center"/>
    </xf>
    <xf numFmtId="0" fontId="49" fillId="21" borderId="6" xfId="9" applyNumberFormat="1" applyFont="1" applyFill="1" applyBorder="1" applyAlignment="1" applyProtection="1">
      <alignment horizontal="center" vertical="center"/>
    </xf>
    <xf numFmtId="0" fontId="49" fillId="21" borderId="15" xfId="9" applyNumberFormat="1" applyFont="1" applyFill="1" applyBorder="1" applyAlignment="1" applyProtection="1">
      <alignment horizontal="center" vertical="center"/>
    </xf>
    <xf numFmtId="0" fontId="49" fillId="21" borderId="10" xfId="9" applyNumberFormat="1" applyFont="1" applyFill="1" applyBorder="1" applyAlignment="1" applyProtection="1">
      <alignment horizontal="center" vertical="center"/>
    </xf>
    <xf numFmtId="0" fontId="3" fillId="0" borderId="0" xfId="9" applyFont="1" applyFill="1" applyBorder="1" applyAlignment="1" applyProtection="1">
      <alignment horizontal="center" vertical="center"/>
    </xf>
    <xf numFmtId="0" fontId="49" fillId="6" borderId="13" xfId="9" applyNumberFormat="1" applyFont="1" applyFill="1" applyBorder="1" applyAlignment="1" applyProtection="1">
      <alignment horizontal="center" vertical="center"/>
    </xf>
    <xf numFmtId="0" fontId="49" fillId="6" borderId="34" xfId="9" applyNumberFormat="1" applyFont="1" applyFill="1" applyBorder="1" applyAlignment="1" applyProtection="1">
      <alignment horizontal="center" vertical="center"/>
    </xf>
    <xf numFmtId="0" fontId="49" fillId="6" borderId="7" xfId="9" applyNumberFormat="1" applyFont="1" applyFill="1" applyBorder="1" applyAlignment="1" applyProtection="1">
      <alignment horizontal="center" vertical="center"/>
    </xf>
    <xf numFmtId="0" fontId="49" fillId="6" borderId="6" xfId="9" applyNumberFormat="1" applyFont="1" applyFill="1" applyBorder="1" applyAlignment="1" applyProtection="1">
      <alignment horizontal="center" vertical="center"/>
    </xf>
    <xf numFmtId="0" fontId="49" fillId="6" borderId="15" xfId="9" applyNumberFormat="1" applyFont="1" applyFill="1" applyBorder="1" applyAlignment="1" applyProtection="1">
      <alignment horizontal="center" vertical="center"/>
    </xf>
    <xf numFmtId="0" fontId="49" fillId="6" borderId="10" xfId="9" applyNumberFormat="1" applyFont="1" applyFill="1" applyBorder="1" applyAlignment="1" applyProtection="1">
      <alignment horizontal="center" vertical="center"/>
    </xf>
    <xf numFmtId="0" fontId="16" fillId="0" borderId="11" xfId="5" applyFont="1" applyBorder="1" applyAlignment="1" applyProtection="1">
      <alignment horizontal="center" vertical="center"/>
    </xf>
    <xf numFmtId="0" fontId="16" fillId="0" borderId="70" xfId="5" applyFont="1" applyBorder="1" applyAlignment="1" applyProtection="1">
      <alignment horizontal="center" vertical="center"/>
    </xf>
    <xf numFmtId="0" fontId="16" fillId="0" borderId="41" xfId="5" applyFont="1" applyBorder="1" applyAlignment="1" applyProtection="1">
      <alignment horizontal="center" vertical="center"/>
    </xf>
    <xf numFmtId="0" fontId="16" fillId="0" borderId="9" xfId="5" applyFont="1" applyBorder="1" applyAlignment="1" applyProtection="1">
      <alignment horizontal="center" vertical="center"/>
    </xf>
    <xf numFmtId="0" fontId="16" fillId="0" borderId="71" xfId="5" applyFont="1" applyBorder="1" applyAlignment="1" applyProtection="1">
      <alignment horizontal="center" vertical="center"/>
    </xf>
    <xf numFmtId="0" fontId="6" fillId="0" borderId="0" xfId="2" applyFont="1" applyBorder="1" applyAlignment="1" applyProtection="1">
      <alignment horizontal="right" vertical="center" wrapText="1"/>
    </xf>
    <xf numFmtId="0" fontId="25" fillId="0" borderId="0" xfId="2" applyFont="1" applyAlignment="1" applyProtection="1">
      <alignment horizontal="left" vertical="center" wrapText="1"/>
    </xf>
    <xf numFmtId="0" fontId="6" fillId="0" borderId="0" xfId="2" applyNumberFormat="1" applyFont="1" applyBorder="1" applyAlignment="1" applyProtection="1">
      <alignment horizontal="left" vertical="center"/>
    </xf>
    <xf numFmtId="0" fontId="25" fillId="0" borderId="0" xfId="2" applyFont="1" applyFill="1" applyBorder="1" applyAlignment="1" applyProtection="1">
      <alignment horizontal="center" wrapText="1"/>
    </xf>
    <xf numFmtId="0" fontId="2" fillId="0" borderId="52" xfId="2" applyFont="1" applyBorder="1" applyAlignment="1" applyProtection="1">
      <alignment horizontal="left" vertical="top"/>
    </xf>
    <xf numFmtId="0" fontId="2" fillId="0" borderId="53" xfId="2" applyFont="1" applyBorder="1" applyAlignment="1" applyProtection="1">
      <alignment horizontal="left" vertical="top"/>
    </xf>
    <xf numFmtId="0" fontId="2" fillId="0" borderId="54" xfId="2" applyFont="1" applyBorder="1" applyAlignment="1" applyProtection="1">
      <alignment horizontal="left" vertical="top"/>
    </xf>
    <xf numFmtId="0" fontId="2" fillId="0" borderId="55" xfId="2" applyFont="1" applyBorder="1" applyAlignment="1" applyProtection="1">
      <alignment horizontal="left" vertical="top"/>
    </xf>
    <xf numFmtId="0" fontId="2" fillId="0" borderId="51" xfId="2" applyFont="1" applyBorder="1" applyAlignment="1" applyProtection="1">
      <alignment horizontal="left" vertical="top"/>
    </xf>
    <xf numFmtId="0" fontId="2" fillId="0" borderId="56" xfId="2" applyFont="1" applyBorder="1" applyAlignment="1" applyProtection="1">
      <alignment horizontal="left" vertical="top"/>
    </xf>
    <xf numFmtId="0" fontId="76" fillId="0" borderId="0" xfId="0" applyFont="1" applyAlignment="1" applyProtection="1">
      <alignment horizontal="left" vertical="center" readingOrder="1"/>
    </xf>
    <xf numFmtId="0" fontId="2" fillId="11" borderId="49" xfId="2" applyFont="1" applyFill="1" applyBorder="1" applyAlignment="1" applyProtection="1">
      <alignment horizontal="center" vertical="center"/>
    </xf>
    <xf numFmtId="0" fontId="2" fillId="11" borderId="32" xfId="2" applyFont="1" applyFill="1" applyBorder="1" applyAlignment="1" applyProtection="1">
      <alignment horizontal="center" vertical="center"/>
    </xf>
    <xf numFmtId="0" fontId="2" fillId="11" borderId="63" xfId="2" applyFont="1" applyFill="1" applyBorder="1" applyAlignment="1" applyProtection="1">
      <alignment horizontal="center" vertical="center"/>
    </xf>
    <xf numFmtId="14" fontId="6" fillId="0" borderId="49" xfId="2" applyNumberFormat="1" applyFont="1" applyFill="1" applyBorder="1" applyAlignment="1" applyProtection="1">
      <alignment horizontal="center" vertical="center"/>
    </xf>
    <xf numFmtId="14" fontId="6" fillId="0" borderId="63" xfId="2" applyNumberFormat="1" applyFont="1" applyFill="1" applyBorder="1" applyAlignment="1" applyProtection="1">
      <alignment horizontal="center" vertical="center"/>
    </xf>
    <xf numFmtId="0" fontId="4" fillId="0" borderId="0" xfId="2" applyFont="1" applyFill="1" applyAlignment="1" applyProtection="1">
      <alignment horizontal="left" vertical="center"/>
    </xf>
    <xf numFmtId="0" fontId="3" fillId="0" borderId="0" xfId="2" applyFill="1" applyAlignment="1" applyProtection="1">
      <alignment horizontal="left" vertical="center"/>
    </xf>
    <xf numFmtId="0" fontId="3" fillId="11" borderId="49" xfId="2" applyFont="1" applyFill="1" applyBorder="1" applyAlignment="1" applyProtection="1">
      <alignment horizontal="center" vertical="center"/>
    </xf>
    <xf numFmtId="0" fontId="3" fillId="11" borderId="32" xfId="2" applyFont="1" applyFill="1" applyBorder="1" applyAlignment="1" applyProtection="1">
      <alignment horizontal="center" vertical="center"/>
    </xf>
    <xf numFmtId="0" fontId="3" fillId="11" borderId="63" xfId="2" applyFont="1" applyFill="1" applyBorder="1" applyAlignment="1" applyProtection="1">
      <alignment horizontal="center" vertical="center"/>
    </xf>
    <xf numFmtId="0" fontId="38" fillId="0" borderId="57" xfId="2" applyFont="1" applyBorder="1" applyAlignment="1" applyProtection="1">
      <alignment horizontal="left" vertical="top"/>
    </xf>
    <xf numFmtId="0" fontId="38" fillId="0" borderId="58" xfId="2" applyFont="1" applyBorder="1" applyAlignment="1" applyProtection="1">
      <alignment horizontal="left" vertical="top"/>
    </xf>
    <xf numFmtId="0" fontId="38" fillId="0" borderId="59" xfId="2" applyFont="1" applyBorder="1" applyAlignment="1" applyProtection="1">
      <alignment horizontal="left" vertical="top"/>
    </xf>
    <xf numFmtId="0" fontId="2" fillId="0" borderId="58" xfId="0" applyFont="1" applyFill="1" applyBorder="1" applyAlignment="1" applyProtection="1">
      <alignment horizontal="left" vertical="center"/>
    </xf>
    <xf numFmtId="0" fontId="2" fillId="0" borderId="59" xfId="0" applyFont="1" applyFill="1" applyBorder="1" applyAlignment="1" applyProtection="1">
      <alignment horizontal="left" vertical="center"/>
    </xf>
    <xf numFmtId="0" fontId="25" fillId="0" borderId="0" xfId="0" applyFont="1" applyFill="1" applyBorder="1" applyAlignment="1" applyProtection="1">
      <alignment horizontal="center"/>
    </xf>
    <xf numFmtId="0" fontId="3" fillId="0" borderId="3" xfId="2" applyFont="1" applyFill="1" applyBorder="1" applyAlignment="1" applyProtection="1">
      <alignment horizontal="left" vertical="center"/>
    </xf>
    <xf numFmtId="0" fontId="3" fillId="0" borderId="3" xfId="0" applyFont="1" applyFill="1" applyBorder="1" applyAlignment="1" applyProtection="1">
      <alignment horizontal="left" vertical="center"/>
    </xf>
    <xf numFmtId="0" fontId="25" fillId="0" borderId="3" xfId="0" applyFont="1" applyFill="1" applyBorder="1" applyAlignment="1" applyProtection="1">
      <alignment horizontal="center"/>
    </xf>
    <xf numFmtId="0" fontId="25" fillId="0" borderId="0" xfId="2" applyNumberFormat="1" applyFont="1" applyBorder="1" applyAlignment="1" applyProtection="1">
      <alignment horizontal="left" vertical="center"/>
    </xf>
    <xf numFmtId="14" fontId="2" fillId="0" borderId="0" xfId="2" applyNumberFormat="1" applyFont="1" applyBorder="1" applyAlignment="1" applyProtection="1">
      <alignment horizontal="center" vertical="top"/>
    </xf>
    <xf numFmtId="14" fontId="2" fillId="0" borderId="51" xfId="2" applyNumberFormat="1" applyFont="1" applyBorder="1" applyAlignment="1" applyProtection="1">
      <alignment horizontal="left" vertical="center"/>
    </xf>
    <xf numFmtId="14" fontId="2" fillId="0" borderId="56" xfId="2" applyNumberFormat="1" applyFont="1" applyBorder="1" applyAlignment="1" applyProtection="1">
      <alignment horizontal="left" vertical="center"/>
    </xf>
    <xf numFmtId="0" fontId="25" fillId="0" borderId="0" xfId="2" applyFont="1" applyBorder="1" applyAlignment="1" applyProtection="1">
      <alignment horizontal="left" vertical="center" wrapText="1"/>
    </xf>
    <xf numFmtId="0" fontId="3" fillId="0" borderId="0" xfId="2" applyFont="1" applyFill="1" applyAlignment="1" applyProtection="1">
      <alignment horizontal="center" wrapText="1"/>
    </xf>
    <xf numFmtId="0" fontId="3" fillId="0" borderId="0" xfId="2" applyFont="1" applyFill="1" applyBorder="1" applyAlignment="1" applyProtection="1">
      <alignment horizontal="left" vertical="top" wrapText="1"/>
    </xf>
    <xf numFmtId="0" fontId="2" fillId="0" borderId="65" xfId="2" applyFont="1" applyFill="1" applyBorder="1" applyAlignment="1" applyProtection="1">
      <alignment horizontal="left" vertical="center"/>
    </xf>
    <xf numFmtId="0" fontId="2" fillId="0" borderId="112" xfId="2" applyFont="1" applyFill="1" applyBorder="1" applyAlignment="1" applyProtection="1">
      <alignment horizontal="left" vertical="center"/>
    </xf>
    <xf numFmtId="0" fontId="25" fillId="0" borderId="0" xfId="2" applyFont="1" applyBorder="1" applyAlignment="1" applyProtection="1">
      <alignment horizontal="left" vertical="center"/>
    </xf>
    <xf numFmtId="0" fontId="6" fillId="0" borderId="55" xfId="2" applyFont="1" applyFill="1" applyBorder="1" applyAlignment="1" applyProtection="1">
      <alignment horizontal="left" vertical="center"/>
    </xf>
    <xf numFmtId="0" fontId="6" fillId="0" borderId="51" xfId="2" applyFont="1" applyFill="1" applyBorder="1" applyAlignment="1" applyProtection="1">
      <alignment horizontal="left" vertical="center"/>
    </xf>
    <xf numFmtId="0" fontId="6" fillId="0" borderId="56" xfId="2" applyFont="1" applyFill="1" applyBorder="1" applyAlignment="1" applyProtection="1">
      <alignment horizontal="left" vertical="center"/>
    </xf>
    <xf numFmtId="0" fontId="6" fillId="0" borderId="57" xfId="2" applyFont="1" applyFill="1" applyBorder="1" applyAlignment="1" applyProtection="1">
      <alignment horizontal="left" vertical="center"/>
    </xf>
    <xf numFmtId="0" fontId="6" fillId="0" borderId="58" xfId="2" applyFont="1" applyFill="1" applyBorder="1" applyAlignment="1" applyProtection="1">
      <alignment horizontal="left" vertical="center"/>
    </xf>
    <xf numFmtId="0" fontId="6" fillId="0" borderId="59" xfId="2" applyFont="1" applyFill="1" applyBorder="1" applyAlignment="1" applyProtection="1">
      <alignment horizontal="left" vertical="center"/>
    </xf>
    <xf numFmtId="0" fontId="3" fillId="11" borderId="49" xfId="2" applyFont="1" applyFill="1" applyBorder="1" applyAlignment="1" applyProtection="1">
      <alignment horizontal="center" vertical="center" wrapText="1"/>
    </xf>
    <xf numFmtId="0" fontId="3" fillId="11" borderId="32" xfId="2" applyFont="1" applyFill="1" applyBorder="1" applyAlignment="1" applyProtection="1">
      <alignment horizontal="center" vertical="center" wrapText="1"/>
    </xf>
    <xf numFmtId="0" fontId="3" fillId="11" borderId="63" xfId="2" applyFont="1" applyFill="1" applyBorder="1" applyAlignment="1" applyProtection="1">
      <alignment horizontal="center" vertical="center" wrapText="1"/>
    </xf>
    <xf numFmtId="0" fontId="25" fillId="0" borderId="4" xfId="2" applyFont="1" applyBorder="1" applyAlignment="1" applyProtection="1">
      <alignment horizontal="left" vertical="center"/>
    </xf>
    <xf numFmtId="0" fontId="16" fillId="0" borderId="17" xfId="2" applyFont="1" applyFill="1" applyBorder="1" applyAlignment="1" applyProtection="1">
      <alignment horizontal="center" vertical="center" wrapText="1"/>
    </xf>
    <xf numFmtId="0" fontId="16" fillId="0" borderId="4" xfId="2" applyFont="1" applyFill="1" applyBorder="1" applyAlignment="1" applyProtection="1">
      <alignment horizontal="center" vertical="center" wrapText="1"/>
    </xf>
    <xf numFmtId="0" fontId="16" fillId="0" borderId="5" xfId="2" applyFont="1" applyFill="1" applyBorder="1" applyAlignment="1" applyProtection="1">
      <alignment horizontal="center" vertical="center" wrapText="1"/>
    </xf>
    <xf numFmtId="0" fontId="6" fillId="0" borderId="52" xfId="2" applyFont="1" applyFill="1" applyBorder="1" applyAlignment="1" applyProtection="1">
      <alignment horizontal="left" vertical="center"/>
    </xf>
    <xf numFmtId="0" fontId="6" fillId="0" borderId="53" xfId="2" applyFont="1" applyFill="1" applyBorder="1" applyAlignment="1" applyProtection="1">
      <alignment horizontal="left" vertical="center"/>
    </xf>
    <xf numFmtId="0" fontId="6" fillId="0" borderId="54" xfId="2" applyFont="1" applyFill="1" applyBorder="1" applyAlignment="1" applyProtection="1">
      <alignment horizontal="left" vertical="center"/>
    </xf>
    <xf numFmtId="0" fontId="37" fillId="0" borderId="3" xfId="2" applyFont="1" applyBorder="1" applyAlignment="1" applyProtection="1">
      <alignment horizontal="center"/>
    </xf>
    <xf numFmtId="0" fontId="6" fillId="0" borderId="0" xfId="2" applyNumberFormat="1" applyFont="1" applyBorder="1" applyAlignment="1" applyProtection="1">
      <alignment horizontal="right" vertical="center"/>
    </xf>
    <xf numFmtId="0" fontId="69" fillId="0" borderId="0" xfId="2" applyFont="1" applyBorder="1" applyAlignment="1" applyProtection="1">
      <alignment horizontal="left" vertical="center" wrapText="1"/>
    </xf>
    <xf numFmtId="165" fontId="25" fillId="0" borderId="0" xfId="7" applyNumberFormat="1" applyFont="1" applyBorder="1" applyAlignment="1">
      <alignment horizontal="left"/>
    </xf>
    <xf numFmtId="0" fontId="6" fillId="11" borderId="49" xfId="7" applyFont="1" applyFill="1" applyBorder="1" applyAlignment="1">
      <alignment horizontal="center" vertical="center"/>
    </xf>
    <xf numFmtId="0" fontId="24" fillId="11" borderId="32" xfId="7" applyFont="1" applyFill="1" applyBorder="1" applyAlignment="1">
      <alignment horizontal="center" vertical="center"/>
    </xf>
    <xf numFmtId="0" fontId="2" fillId="3" borderId="49" xfId="0" applyFont="1" applyFill="1" applyBorder="1" applyAlignment="1">
      <alignment horizontal="left" vertical="center" wrapText="1"/>
    </xf>
    <xf numFmtId="0" fontId="0" fillId="3" borderId="32" xfId="0" applyFill="1" applyBorder="1" applyAlignment="1">
      <alignment horizontal="left" vertical="center" wrapText="1"/>
    </xf>
    <xf numFmtId="0" fontId="0" fillId="3" borderId="63" xfId="0" applyFill="1" applyBorder="1" applyAlignment="1">
      <alignment horizontal="left" vertical="center" wrapText="1"/>
    </xf>
    <xf numFmtId="0" fontId="1" fillId="3" borderId="49" xfId="0" applyFont="1" applyFill="1" applyBorder="1" applyAlignment="1">
      <alignment horizontal="center"/>
    </xf>
    <xf numFmtId="0" fontId="0" fillId="0" borderId="32" xfId="0" applyBorder="1" applyAlignment="1"/>
    <xf numFmtId="0" fontId="0" fillId="0" borderId="63" xfId="0" applyBorder="1" applyAlignment="1"/>
    <xf numFmtId="0" fontId="15" fillId="3" borderId="14" xfId="4" applyFont="1" applyFill="1" applyBorder="1" applyAlignment="1">
      <alignment horizontal="center" vertical="center"/>
    </xf>
    <xf numFmtId="0" fontId="15" fillId="3" borderId="49" xfId="4" applyFont="1" applyFill="1" applyBorder="1" applyAlignment="1">
      <alignment horizontal="center" vertical="center"/>
    </xf>
    <xf numFmtId="0" fontId="2" fillId="3" borderId="49" xfId="0" applyFont="1" applyFill="1" applyBorder="1" applyAlignment="1">
      <alignment horizontal="center" vertical="center" wrapText="1"/>
    </xf>
    <xf numFmtId="0" fontId="0" fillId="3" borderId="32" xfId="0" applyFill="1" applyBorder="1" applyAlignment="1">
      <alignment horizontal="center" vertical="center" wrapText="1"/>
    </xf>
    <xf numFmtId="0" fontId="0" fillId="3" borderId="63" xfId="0" applyFill="1" applyBorder="1" applyAlignment="1">
      <alignment horizontal="center" vertical="center" wrapText="1"/>
    </xf>
    <xf numFmtId="0" fontId="25" fillId="24" borderId="0" xfId="2" applyFont="1" applyFill="1" applyBorder="1" applyAlignment="1" applyProtection="1">
      <alignment horizontal="left" vertical="center" wrapText="1"/>
      <protection locked="0"/>
    </xf>
    <xf numFmtId="0" fontId="25" fillId="24" borderId="0" xfId="2" applyFont="1" applyFill="1" applyBorder="1" applyAlignment="1" applyProtection="1">
      <alignment horizontal="left" vertical="center"/>
      <protection locked="0"/>
    </xf>
    <xf numFmtId="0" fontId="25" fillId="24" borderId="4" xfId="2" applyFont="1" applyFill="1" applyBorder="1" applyAlignment="1" applyProtection="1">
      <alignment horizontal="left" vertical="center"/>
      <protection locked="0"/>
    </xf>
    <xf numFmtId="0" fontId="25" fillId="24" borderId="0" xfId="2" applyFont="1" applyFill="1" applyBorder="1" applyAlignment="1" applyProtection="1">
      <alignment horizontal="left" vertical="top" wrapText="1"/>
      <protection locked="0"/>
    </xf>
    <xf numFmtId="0" fontId="25" fillId="24" borderId="0" xfId="2" applyFont="1" applyFill="1" applyBorder="1" applyAlignment="1" applyProtection="1">
      <alignment horizontal="left" vertical="top"/>
      <protection locked="0"/>
    </xf>
    <xf numFmtId="0" fontId="25" fillId="24" borderId="4" xfId="2" applyFont="1" applyFill="1" applyBorder="1" applyAlignment="1" applyProtection="1">
      <alignment horizontal="left" vertical="top"/>
      <protection locked="0"/>
    </xf>
  </cellXfs>
  <cellStyles count="13">
    <cellStyle name="_x000a_mouse.drv=lm" xfId="10" xr:uid="{00000000-0005-0000-0000-000000000000}"/>
    <cellStyle name="Hyperlänk" xfId="12" builtinId="8"/>
    <cellStyle name="Normal" xfId="0" builtinId="0"/>
    <cellStyle name="Procent" xfId="1" builtinId="5"/>
    <cellStyle name="Standard 2" xfId="9" xr:uid="{00000000-0005-0000-0000-000001000000}"/>
    <cellStyle name="Standard 3" xfId="11" xr:uid="{00000000-0005-0000-0000-000002000000}"/>
    <cellStyle name="Standard_Deckblatt" xfId="2" xr:uid="{00000000-0005-0000-0000-000003000000}"/>
    <cellStyle name="Standard_Eingabemaske" xfId="3" xr:uid="{00000000-0005-0000-0000-000004000000}"/>
    <cellStyle name="Standard_Programm A Lieferanten_Arbeitsdokument" xfId="4" xr:uid="{00000000-0005-0000-0000-000005000000}"/>
    <cellStyle name="Standard_VAAUSWER" xfId="5" xr:uid="{00000000-0005-0000-0000-000006000000}"/>
    <cellStyle name="Standard_VAERGEBN" xfId="6" xr:uid="{00000000-0005-0000-0000-000007000000}"/>
    <cellStyle name="Standard_Verbesserungsprogramm" xfId="7" xr:uid="{00000000-0005-0000-0000-000008000000}"/>
    <cellStyle name="Standard_Z-10.31.01.01 EA 113 DuNa1" xfId="8" xr:uid="{00000000-0005-0000-0000-000009000000}"/>
  </cellStyles>
  <dxfs count="76">
    <dxf>
      <fill>
        <patternFill>
          <bgColor indexed="11"/>
        </patternFill>
      </fill>
    </dxf>
    <dxf>
      <fill>
        <patternFill>
          <bgColor indexed="44"/>
        </patternFill>
      </fill>
    </dxf>
    <dxf>
      <fill>
        <patternFill>
          <bgColor indexed="13"/>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rgb="FFFFC000"/>
        </patternFill>
      </fill>
    </dxf>
  </dxfs>
  <tableStyles count="1" defaultTableStyle="TableStyleMedium9" defaultPivotStyle="PivotStyleLight16">
    <tableStyle name="MySqlDefault" pivot="0" table="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99D5FD"/>
      <rgbColor rgb="0000FFFF"/>
      <rgbColor rgb="00800000"/>
      <rgbColor rgb="00008000"/>
      <rgbColor rgb="00000080"/>
      <rgbColor rgb="00808000"/>
      <rgbColor rgb="00800080"/>
      <rgbColor rgb="00008080"/>
      <rgbColor rgb="00C0C0C0"/>
      <rgbColor rgb="00424242"/>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008155"/>
      <color rgb="FFFF7C80"/>
      <color rgb="FFFF5050"/>
      <color rgb="FF559D79"/>
      <color rgb="FFC9DED1"/>
      <color rgb="FFC0C0C0"/>
      <color rgb="FFCCCCFF"/>
      <color rgb="FF9966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Spin" dx="16" fmlaLink="$D$36" max="10" min="1" page="1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Evaluation-Bewertung'!$A$5" lockText="1"/>
</file>

<file path=xl/ctrlProps/ctrlProp7.xml><?xml version="1.0" encoding="utf-8"?>
<formControlPr xmlns="http://schemas.microsoft.com/office/spreadsheetml/2009/9/main" objectType="CheckBox" fmlaLink="'Evaluation-Bewertung'!$A$10" lockText="1"/>
</file>

<file path=xl/ctrlProps/ctrlProp8.xml><?xml version="1.0" encoding="utf-8"?>
<formControlPr xmlns="http://schemas.microsoft.com/office/spreadsheetml/2009/9/main" objectType="CheckBox" fmlaLink="'Evaluation-Bewertung'!$A$18" lockText="1"/>
</file>

<file path=xl/ctrlProps/ctrlProp9.xml><?xml version="1.0" encoding="utf-8"?>
<formControlPr xmlns="http://schemas.microsoft.com/office/spreadsheetml/2009/9/main" objectType="CheckBox" fmlaLink="'Evaluation-Bewertung'!$A$27" lockText="1"/>
</file>

<file path=xl/ctrlProps/ctrlProp10.xml><?xml version="1.0" encoding="utf-8"?>
<formControlPr xmlns="http://schemas.microsoft.com/office/spreadsheetml/2009/9/main" objectType="CheckBox" checked="Checked" fmlaLink="'Evaluation-Bewertung'!$A$31" lockText="1"/>
</file>

<file path=xl/ctrlProps/ctrlProp11.xml><?xml version="1.0" encoding="utf-8"?>
<formControlPr xmlns="http://schemas.microsoft.com/office/spreadsheetml/2009/9/main" objectType="CheckBox" fmlaLink="'Evaluation-Bewertung'!$A$67"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5</xdr:col>
      <xdr:colOff>981075</xdr:colOff>
      <xdr:row>0</xdr:row>
      <xdr:rowOff>190500</xdr:rowOff>
    </xdr:from>
    <xdr:to>
      <xdr:col>9</xdr:col>
      <xdr:colOff>704850</xdr:colOff>
      <xdr:row>1</xdr:row>
      <xdr:rowOff>239162</xdr:rowOff>
    </xdr:to>
    <xdr:pic>
      <xdr:nvPicPr>
        <xdr:cNvPr id="23553" name="Picture 1">
          <a:extLst>
            <a:ext uri="{FF2B5EF4-FFF2-40B4-BE49-F238E27FC236}">
              <a16:creationId xmlns:a16="http://schemas.microsoft.com/office/drawing/2014/main" id="{00000000-0008-0000-0100-0000015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53325" y="190500"/>
          <a:ext cx="3267075" cy="382037"/>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1600200</xdr:colOff>
          <xdr:row>35</xdr:row>
          <xdr:rowOff>19050</xdr:rowOff>
        </xdr:from>
        <xdr:to>
          <xdr:col>3</xdr:col>
          <xdr:colOff>2286000</xdr:colOff>
          <xdr:row>35</xdr:row>
          <xdr:rowOff>495300</xdr:rowOff>
        </xdr:to>
        <xdr:sp macro="" textlink="">
          <xdr:nvSpPr>
            <xdr:cNvPr id="16391" name="Spinner 7" hidden="1">
              <a:extLst>
                <a:ext uri="{63B3BB69-23CF-44E3-9099-C40C66FF867C}">
                  <a14:compatExt spid="_x0000_s16391"/>
                </a:ext>
                <a:ext uri="{FF2B5EF4-FFF2-40B4-BE49-F238E27FC236}">
                  <a16:creationId xmlns:a16="http://schemas.microsoft.com/office/drawing/2014/main" id="{00000000-0008-0000-0200-000007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xdr:row>
          <xdr:rowOff>28575</xdr:rowOff>
        </xdr:from>
        <xdr:to>
          <xdr:col>5</xdr:col>
          <xdr:colOff>838200</xdr:colOff>
          <xdr:row>4</xdr:row>
          <xdr:rowOff>66675</xdr:rowOff>
        </xdr:to>
        <xdr:sp macro="" textlink="">
          <xdr:nvSpPr>
            <xdr:cNvPr id="16393" name="ComboBox1" hidden="1">
              <a:extLst>
                <a:ext uri="{63B3BB69-23CF-44E3-9099-C40C66FF867C}">
                  <a14:compatExt spid="_x0000_s16393"/>
                </a:ext>
                <a:ext uri="{FF2B5EF4-FFF2-40B4-BE49-F238E27FC236}">
                  <a16:creationId xmlns:a16="http://schemas.microsoft.com/office/drawing/2014/main" id="{00000000-0008-0000-02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76200</xdr:rowOff>
        </xdr:from>
        <xdr:to>
          <xdr:col>8</xdr:col>
          <xdr:colOff>809625</xdr:colOff>
          <xdr:row>2</xdr:row>
          <xdr:rowOff>76200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200-00000A4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sv-SE" sz="1200" b="0" i="0" u="none" strike="noStrike" baseline="0">
                  <a:solidFill>
                    <a:srgbClr val="000000"/>
                  </a:solidFill>
                  <a:latin typeface="Arial"/>
                  <a:cs typeface="Arial"/>
                </a:rPr>
                <a:t>Create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xdr:row>
          <xdr:rowOff>180975</xdr:rowOff>
        </xdr:from>
        <xdr:to>
          <xdr:col>8</xdr:col>
          <xdr:colOff>809625</xdr:colOff>
          <xdr:row>4</xdr:row>
          <xdr:rowOff>123825</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200-00000B4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sv-SE" sz="1200" b="0" i="0" u="none" strike="noStrike" baseline="0">
                  <a:solidFill>
                    <a:srgbClr val="000000"/>
                  </a:solidFill>
                  <a:latin typeface="Arial"/>
                  <a:cs typeface="Arial"/>
                </a:rPr>
                <a:t>Import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2038349</xdr:colOff>
      <xdr:row>68</xdr:row>
      <xdr:rowOff>19050</xdr:rowOff>
    </xdr:from>
    <xdr:to>
      <xdr:col>2</xdr:col>
      <xdr:colOff>5372098</xdr:colOff>
      <xdr:row>68</xdr:row>
      <xdr:rowOff>781050</xdr:rowOff>
    </xdr:to>
    <xdr:sp macro="" textlink="$L$69">
      <xdr:nvSpPr>
        <xdr:cNvPr id="2" name="Textfeld 1">
          <a:extLst>
            <a:ext uri="{FF2B5EF4-FFF2-40B4-BE49-F238E27FC236}">
              <a16:creationId xmlns:a16="http://schemas.microsoft.com/office/drawing/2014/main" id="{00000000-0008-0000-0300-000002000000}"/>
            </a:ext>
          </a:extLst>
        </xdr:cNvPr>
        <xdr:cNvSpPr txBox="1"/>
      </xdr:nvSpPr>
      <xdr:spPr>
        <a:xfrm>
          <a:off x="2868385" y="5189764"/>
          <a:ext cx="3333749"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fld id="{E298F787-34EB-4BF6-B47F-3E1F58EC8AD8}" type="TxLink">
            <a:rPr lang="en-US" sz="1000" b="0" i="0" u="none" strike="noStrike">
              <a:solidFill>
                <a:srgbClr val="FFC000"/>
              </a:solidFill>
              <a:latin typeface="Arial"/>
              <a:cs typeface="Arial"/>
            </a:rPr>
            <a:pPr/>
            <a:t>Please fill in the number of process steps in the input area (D36) as needed. 17 from 26 questions must be answered for each process step.</a:t>
          </a:fld>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2</xdr:col>
          <xdr:colOff>5391150</xdr:colOff>
          <xdr:row>2</xdr:row>
          <xdr:rowOff>247650</xdr:rowOff>
        </xdr:from>
        <xdr:to>
          <xdr:col>4</xdr:col>
          <xdr:colOff>847725</xdr:colOff>
          <xdr:row>6</xdr:row>
          <xdr:rowOff>95250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All questions rated with 10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5391150</xdr:colOff>
          <xdr:row>1</xdr:row>
          <xdr:rowOff>38100</xdr:rowOff>
        </xdr:from>
        <xdr:to>
          <xdr:col>4</xdr:col>
          <xdr:colOff>866775</xdr:colOff>
          <xdr:row>2</xdr:row>
          <xdr:rowOff>200025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Clear questionnaire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11</xdr:row>
          <xdr:rowOff>152400</xdr:rowOff>
        </xdr:from>
        <xdr:to>
          <xdr:col>2</xdr:col>
          <xdr:colOff>5210175</xdr:colOff>
          <xdr:row>68</xdr:row>
          <xdr:rowOff>666750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3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285750</xdr:rowOff>
        </xdr:from>
        <xdr:to>
          <xdr:col>2</xdr:col>
          <xdr:colOff>5343525</xdr:colOff>
          <xdr:row>68</xdr:row>
          <xdr:rowOff>485775</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3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36</xdr:row>
          <xdr:rowOff>38100</xdr:rowOff>
        </xdr:from>
        <xdr:to>
          <xdr:col>2</xdr:col>
          <xdr:colOff>5372100</xdr:colOff>
          <xdr:row>68</xdr:row>
          <xdr:rowOff>704850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3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60</xdr:row>
          <xdr:rowOff>66675</xdr:rowOff>
        </xdr:from>
        <xdr:to>
          <xdr:col>2</xdr:col>
          <xdr:colOff>5372100</xdr:colOff>
          <xdr:row>68</xdr:row>
          <xdr:rowOff>542925</xdr:rowOff>
        </xdr:to>
        <xdr:sp macro="" textlink="">
          <xdr:nvSpPr>
            <xdr:cNvPr id="21511" name="Check Box 7" hidden="1">
              <a:extLst>
                <a:ext uri="{63B3BB69-23CF-44E3-9099-C40C66FF867C}">
                  <a14:compatExt spid="_x0000_s21511"/>
                </a:ext>
                <a:ext uri="{FF2B5EF4-FFF2-40B4-BE49-F238E27FC236}">
                  <a16:creationId xmlns:a16="http://schemas.microsoft.com/office/drawing/2014/main" id="{00000000-0008-0000-03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68</xdr:row>
          <xdr:rowOff>123825</xdr:rowOff>
        </xdr:from>
        <xdr:to>
          <xdr:col>2</xdr:col>
          <xdr:colOff>2009775</xdr:colOff>
          <xdr:row>68</xdr:row>
          <xdr:rowOff>609600</xdr:rowOff>
        </xdr:to>
        <xdr:sp macro="" textlink="">
          <xdr:nvSpPr>
            <xdr:cNvPr id="21512" name="Check Box 8" hidden="1">
              <a:extLst>
                <a:ext uri="{63B3BB69-23CF-44E3-9099-C40C66FF867C}">
                  <a14:compatExt spid="_x0000_s21512"/>
                </a:ext>
                <a:ext uri="{FF2B5EF4-FFF2-40B4-BE49-F238E27FC236}">
                  <a16:creationId xmlns:a16="http://schemas.microsoft.com/office/drawing/2014/main" id="{00000000-0008-0000-03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361</xdr:row>
          <xdr:rowOff>133350</xdr:rowOff>
        </xdr:from>
        <xdr:to>
          <xdr:col>2</xdr:col>
          <xdr:colOff>5372100</xdr:colOff>
          <xdr:row>361</xdr:row>
          <xdr:rowOff>609600</xdr:rowOff>
        </xdr:to>
        <xdr:sp macro="" textlink="">
          <xdr:nvSpPr>
            <xdr:cNvPr id="21513" name="Check Box 9" hidden="1">
              <a:extLst>
                <a:ext uri="{63B3BB69-23CF-44E3-9099-C40C66FF867C}">
                  <a14:compatExt spid="_x0000_s21513"/>
                </a:ext>
                <a:ext uri="{FF2B5EF4-FFF2-40B4-BE49-F238E27FC236}">
                  <a16:creationId xmlns:a16="http://schemas.microsoft.com/office/drawing/2014/main" id="{00000000-0008-0000-03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66675</xdr:colOff>
      <xdr:row>206</xdr:row>
      <xdr:rowOff>114300</xdr:rowOff>
    </xdr:from>
    <xdr:to>
      <xdr:col>14</xdr:col>
      <xdr:colOff>47625</xdr:colOff>
      <xdr:row>209</xdr:row>
      <xdr:rowOff>0</xdr:rowOff>
    </xdr:to>
    <xdr:sp macro="" textlink="">
      <xdr:nvSpPr>
        <xdr:cNvPr id="36888" name="Text 31">
          <a:extLst>
            <a:ext uri="{FF2B5EF4-FFF2-40B4-BE49-F238E27FC236}">
              <a16:creationId xmlns:a16="http://schemas.microsoft.com/office/drawing/2014/main" id="{00000000-0008-0000-0400-000018900000}"/>
            </a:ext>
          </a:extLst>
        </xdr:cNvPr>
        <xdr:cNvSpPr txBox="1">
          <a:spLocks noChangeArrowheads="1"/>
        </xdr:cNvSpPr>
      </xdr:nvSpPr>
      <xdr:spPr bwMode="auto">
        <a:xfrm>
          <a:off x="4381500" y="11658600"/>
          <a:ext cx="6477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207</xdr:row>
      <xdr:rowOff>161925</xdr:rowOff>
    </xdr:from>
    <xdr:to>
      <xdr:col>18</xdr:col>
      <xdr:colOff>0</xdr:colOff>
      <xdr:row>207</xdr:row>
      <xdr:rowOff>161925</xdr:rowOff>
    </xdr:to>
    <xdr:sp macro="" textlink="">
      <xdr:nvSpPr>
        <xdr:cNvPr id="36889" name="Line 5">
          <a:extLst>
            <a:ext uri="{FF2B5EF4-FFF2-40B4-BE49-F238E27FC236}">
              <a16:creationId xmlns:a16="http://schemas.microsoft.com/office/drawing/2014/main" id="{00000000-0008-0000-0400-000019900000}"/>
            </a:ext>
          </a:extLst>
        </xdr:cNvPr>
        <xdr:cNvSpPr>
          <a:spLocks noChangeShapeType="1"/>
        </xdr:cNvSpPr>
      </xdr:nvSpPr>
      <xdr:spPr bwMode="auto">
        <a:xfrm>
          <a:off x="5029200" y="11896725"/>
          <a:ext cx="1285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209</xdr:row>
      <xdr:rowOff>152400</xdr:rowOff>
    </xdr:from>
    <xdr:to>
      <xdr:col>13</xdr:col>
      <xdr:colOff>322091</xdr:colOff>
      <xdr:row>213</xdr:row>
      <xdr:rowOff>38100</xdr:rowOff>
    </xdr:to>
    <xdr:sp macro="" textlink="">
      <xdr:nvSpPr>
        <xdr:cNvPr id="30729" name="Text 26">
          <a:extLst>
            <a:ext uri="{FF2B5EF4-FFF2-40B4-BE49-F238E27FC236}">
              <a16:creationId xmlns:a16="http://schemas.microsoft.com/office/drawing/2014/main" id="{00000000-0008-0000-0400-000009780000}"/>
            </a:ext>
          </a:extLst>
        </xdr:cNvPr>
        <xdr:cNvSpPr txBox="1">
          <a:spLocks noChangeArrowheads="1"/>
        </xdr:cNvSpPr>
      </xdr:nvSpPr>
      <xdr:spPr bwMode="auto">
        <a:xfrm>
          <a:off x="4258796" y="12490076"/>
          <a:ext cx="758560" cy="558053"/>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211</xdr:row>
      <xdr:rowOff>47625</xdr:rowOff>
    </xdr:from>
    <xdr:to>
      <xdr:col>18</xdr:col>
      <xdr:colOff>0</xdr:colOff>
      <xdr:row>211</xdr:row>
      <xdr:rowOff>47625</xdr:rowOff>
    </xdr:to>
    <xdr:sp macro="" textlink="">
      <xdr:nvSpPr>
        <xdr:cNvPr id="36867" name="Line 10">
          <a:extLst>
            <a:ext uri="{FF2B5EF4-FFF2-40B4-BE49-F238E27FC236}">
              <a16:creationId xmlns:a16="http://schemas.microsoft.com/office/drawing/2014/main" id="{00000000-0008-0000-0400-000003900000}"/>
            </a:ext>
          </a:extLst>
        </xdr:cNvPr>
        <xdr:cNvSpPr>
          <a:spLocks noChangeShapeType="1"/>
        </xdr:cNvSpPr>
      </xdr:nvSpPr>
      <xdr:spPr bwMode="auto">
        <a:xfrm>
          <a:off x="5029200" y="12544425"/>
          <a:ext cx="1285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76</xdr:row>
      <xdr:rowOff>100853</xdr:rowOff>
    </xdr:from>
    <xdr:to>
      <xdr:col>52</xdr:col>
      <xdr:colOff>156882</xdr:colOff>
      <xdr:row>76</xdr:row>
      <xdr:rowOff>100853</xdr:rowOff>
    </xdr:to>
    <xdr:cxnSp macro="">
      <xdr:nvCxnSpPr>
        <xdr:cNvPr id="3" name="Gerader Verbinder 2">
          <a:extLst>
            <a:ext uri="{FF2B5EF4-FFF2-40B4-BE49-F238E27FC236}">
              <a16:creationId xmlns:a16="http://schemas.microsoft.com/office/drawing/2014/main" id="{00000000-0008-0000-0400-000003000000}"/>
            </a:ext>
          </a:extLst>
        </xdr:cNvPr>
        <xdr:cNvCxnSpPr/>
      </xdr:nvCxnSpPr>
      <xdr:spPr bwMode="auto">
        <a:xfrm>
          <a:off x="13940118" y="12629029"/>
          <a:ext cx="3653117"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66675</xdr:colOff>
      <xdr:row>206</xdr:row>
      <xdr:rowOff>114300</xdr:rowOff>
    </xdr:from>
    <xdr:to>
      <xdr:col>14</xdr:col>
      <xdr:colOff>47625</xdr:colOff>
      <xdr:row>209</xdr:row>
      <xdr:rowOff>0</xdr:rowOff>
    </xdr:to>
    <xdr:sp macro="" textlink="">
      <xdr:nvSpPr>
        <xdr:cNvPr id="2" name="Text 31">
          <a:extLst>
            <a:ext uri="{FF2B5EF4-FFF2-40B4-BE49-F238E27FC236}">
              <a16:creationId xmlns:a16="http://schemas.microsoft.com/office/drawing/2014/main" id="{00000000-0008-0000-05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207</xdr:row>
      <xdr:rowOff>161925</xdr:rowOff>
    </xdr:from>
    <xdr:to>
      <xdr:col>18</xdr:col>
      <xdr:colOff>0</xdr:colOff>
      <xdr:row>207</xdr:row>
      <xdr:rowOff>161925</xdr:rowOff>
    </xdr:to>
    <xdr:sp macro="" textlink="">
      <xdr:nvSpPr>
        <xdr:cNvPr id="3" name="Line 5">
          <a:extLst>
            <a:ext uri="{FF2B5EF4-FFF2-40B4-BE49-F238E27FC236}">
              <a16:creationId xmlns:a16="http://schemas.microsoft.com/office/drawing/2014/main" id="{00000000-0008-0000-05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209</xdr:row>
      <xdr:rowOff>152400</xdr:rowOff>
    </xdr:from>
    <xdr:to>
      <xdr:col>13</xdr:col>
      <xdr:colOff>322091</xdr:colOff>
      <xdr:row>213</xdr:row>
      <xdr:rowOff>38100</xdr:rowOff>
    </xdr:to>
    <xdr:sp macro="" textlink="">
      <xdr:nvSpPr>
        <xdr:cNvPr id="4" name="Text 26">
          <a:extLst>
            <a:ext uri="{FF2B5EF4-FFF2-40B4-BE49-F238E27FC236}">
              <a16:creationId xmlns:a16="http://schemas.microsoft.com/office/drawing/2014/main" id="{00000000-0008-0000-05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211</xdr:row>
      <xdr:rowOff>47625</xdr:rowOff>
    </xdr:from>
    <xdr:to>
      <xdr:col>18</xdr:col>
      <xdr:colOff>0</xdr:colOff>
      <xdr:row>211</xdr:row>
      <xdr:rowOff>47625</xdr:rowOff>
    </xdr:to>
    <xdr:sp macro="" textlink="">
      <xdr:nvSpPr>
        <xdr:cNvPr id="5" name="Line 10">
          <a:extLst>
            <a:ext uri="{FF2B5EF4-FFF2-40B4-BE49-F238E27FC236}">
              <a16:creationId xmlns:a16="http://schemas.microsoft.com/office/drawing/2014/main" id="{00000000-0008-0000-05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76</xdr:row>
      <xdr:rowOff>100853</xdr:rowOff>
    </xdr:from>
    <xdr:to>
      <xdr:col>52</xdr:col>
      <xdr:colOff>156882</xdr:colOff>
      <xdr:row>76</xdr:row>
      <xdr:rowOff>100853</xdr:rowOff>
    </xdr:to>
    <xdr:cxnSp macro="">
      <xdr:nvCxnSpPr>
        <xdr:cNvPr id="6" name="Gerader Verbinder 2">
          <a:extLst>
            <a:ext uri="{FF2B5EF4-FFF2-40B4-BE49-F238E27FC236}">
              <a16:creationId xmlns:a16="http://schemas.microsoft.com/office/drawing/2014/main" id="{00000000-0008-0000-05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66675</xdr:colOff>
      <xdr:row>192</xdr:row>
      <xdr:rowOff>114300</xdr:rowOff>
    </xdr:from>
    <xdr:to>
      <xdr:col>14</xdr:col>
      <xdr:colOff>47625</xdr:colOff>
      <xdr:row>195</xdr:row>
      <xdr:rowOff>0</xdr:rowOff>
    </xdr:to>
    <xdr:sp macro="" textlink="">
      <xdr:nvSpPr>
        <xdr:cNvPr id="2" name="Text 31">
          <a:extLst>
            <a:ext uri="{FF2B5EF4-FFF2-40B4-BE49-F238E27FC236}">
              <a16:creationId xmlns:a16="http://schemas.microsoft.com/office/drawing/2014/main" id="{00000000-0008-0000-06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193</xdr:row>
      <xdr:rowOff>161925</xdr:rowOff>
    </xdr:from>
    <xdr:to>
      <xdr:col>18</xdr:col>
      <xdr:colOff>0</xdr:colOff>
      <xdr:row>193</xdr:row>
      <xdr:rowOff>161925</xdr:rowOff>
    </xdr:to>
    <xdr:sp macro="" textlink="">
      <xdr:nvSpPr>
        <xdr:cNvPr id="3" name="Line 5">
          <a:extLst>
            <a:ext uri="{FF2B5EF4-FFF2-40B4-BE49-F238E27FC236}">
              <a16:creationId xmlns:a16="http://schemas.microsoft.com/office/drawing/2014/main" id="{00000000-0008-0000-06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195</xdr:row>
      <xdr:rowOff>152400</xdr:rowOff>
    </xdr:from>
    <xdr:to>
      <xdr:col>13</xdr:col>
      <xdr:colOff>322091</xdr:colOff>
      <xdr:row>199</xdr:row>
      <xdr:rowOff>38100</xdr:rowOff>
    </xdr:to>
    <xdr:sp macro="" textlink="">
      <xdr:nvSpPr>
        <xdr:cNvPr id="4" name="Text 26">
          <a:extLst>
            <a:ext uri="{FF2B5EF4-FFF2-40B4-BE49-F238E27FC236}">
              <a16:creationId xmlns:a16="http://schemas.microsoft.com/office/drawing/2014/main" id="{00000000-0008-0000-06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197</xdr:row>
      <xdr:rowOff>47625</xdr:rowOff>
    </xdr:from>
    <xdr:to>
      <xdr:col>18</xdr:col>
      <xdr:colOff>0</xdr:colOff>
      <xdr:row>197</xdr:row>
      <xdr:rowOff>47625</xdr:rowOff>
    </xdr:to>
    <xdr:sp macro="" textlink="">
      <xdr:nvSpPr>
        <xdr:cNvPr id="5" name="Line 10">
          <a:extLst>
            <a:ext uri="{FF2B5EF4-FFF2-40B4-BE49-F238E27FC236}">
              <a16:creationId xmlns:a16="http://schemas.microsoft.com/office/drawing/2014/main" id="{00000000-0008-0000-06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62</xdr:row>
      <xdr:rowOff>100853</xdr:rowOff>
    </xdr:from>
    <xdr:to>
      <xdr:col>52</xdr:col>
      <xdr:colOff>156882</xdr:colOff>
      <xdr:row>62</xdr:row>
      <xdr:rowOff>100853</xdr:rowOff>
    </xdr:to>
    <xdr:cxnSp macro="">
      <xdr:nvCxnSpPr>
        <xdr:cNvPr id="6" name="Gerader Verbinder 2">
          <a:extLst>
            <a:ext uri="{FF2B5EF4-FFF2-40B4-BE49-F238E27FC236}">
              <a16:creationId xmlns:a16="http://schemas.microsoft.com/office/drawing/2014/main" id="{00000000-0008-0000-06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66675</xdr:colOff>
      <xdr:row>192</xdr:row>
      <xdr:rowOff>114300</xdr:rowOff>
    </xdr:from>
    <xdr:to>
      <xdr:col>14</xdr:col>
      <xdr:colOff>47625</xdr:colOff>
      <xdr:row>195</xdr:row>
      <xdr:rowOff>0</xdr:rowOff>
    </xdr:to>
    <xdr:sp macro="" textlink="">
      <xdr:nvSpPr>
        <xdr:cNvPr id="2" name="Text 31">
          <a:extLst>
            <a:ext uri="{FF2B5EF4-FFF2-40B4-BE49-F238E27FC236}">
              <a16:creationId xmlns:a16="http://schemas.microsoft.com/office/drawing/2014/main" id="{00000000-0008-0000-07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193</xdr:row>
      <xdr:rowOff>161925</xdr:rowOff>
    </xdr:from>
    <xdr:to>
      <xdr:col>18</xdr:col>
      <xdr:colOff>0</xdr:colOff>
      <xdr:row>193</xdr:row>
      <xdr:rowOff>161925</xdr:rowOff>
    </xdr:to>
    <xdr:sp macro="" textlink="">
      <xdr:nvSpPr>
        <xdr:cNvPr id="3" name="Line 5">
          <a:extLst>
            <a:ext uri="{FF2B5EF4-FFF2-40B4-BE49-F238E27FC236}">
              <a16:creationId xmlns:a16="http://schemas.microsoft.com/office/drawing/2014/main" id="{00000000-0008-0000-07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195</xdr:row>
      <xdr:rowOff>152400</xdr:rowOff>
    </xdr:from>
    <xdr:to>
      <xdr:col>13</xdr:col>
      <xdr:colOff>322091</xdr:colOff>
      <xdr:row>199</xdr:row>
      <xdr:rowOff>38100</xdr:rowOff>
    </xdr:to>
    <xdr:sp macro="" textlink="">
      <xdr:nvSpPr>
        <xdr:cNvPr id="4" name="Text 26">
          <a:extLst>
            <a:ext uri="{FF2B5EF4-FFF2-40B4-BE49-F238E27FC236}">
              <a16:creationId xmlns:a16="http://schemas.microsoft.com/office/drawing/2014/main" id="{00000000-0008-0000-07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197</xdr:row>
      <xdr:rowOff>47625</xdr:rowOff>
    </xdr:from>
    <xdr:to>
      <xdr:col>18</xdr:col>
      <xdr:colOff>0</xdr:colOff>
      <xdr:row>197</xdr:row>
      <xdr:rowOff>47625</xdr:rowOff>
    </xdr:to>
    <xdr:sp macro="" textlink="">
      <xdr:nvSpPr>
        <xdr:cNvPr id="5" name="Line 10">
          <a:extLst>
            <a:ext uri="{FF2B5EF4-FFF2-40B4-BE49-F238E27FC236}">
              <a16:creationId xmlns:a16="http://schemas.microsoft.com/office/drawing/2014/main" id="{00000000-0008-0000-07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62</xdr:row>
      <xdr:rowOff>100853</xdr:rowOff>
    </xdr:from>
    <xdr:to>
      <xdr:col>52</xdr:col>
      <xdr:colOff>156882</xdr:colOff>
      <xdr:row>62</xdr:row>
      <xdr:rowOff>100853</xdr:rowOff>
    </xdr:to>
    <xdr:cxnSp macro="">
      <xdr:nvCxnSpPr>
        <xdr:cNvPr id="6" name="Gerader Verbinder 2">
          <a:extLst>
            <a:ext uri="{FF2B5EF4-FFF2-40B4-BE49-F238E27FC236}">
              <a16:creationId xmlns:a16="http://schemas.microsoft.com/office/drawing/2014/main" id="{00000000-0008-0000-07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66675</xdr:colOff>
      <xdr:row>192</xdr:row>
      <xdr:rowOff>114300</xdr:rowOff>
    </xdr:from>
    <xdr:to>
      <xdr:col>14</xdr:col>
      <xdr:colOff>47625</xdr:colOff>
      <xdr:row>195</xdr:row>
      <xdr:rowOff>0</xdr:rowOff>
    </xdr:to>
    <xdr:sp macro="" textlink="">
      <xdr:nvSpPr>
        <xdr:cNvPr id="2" name="Text 31">
          <a:extLst>
            <a:ext uri="{FF2B5EF4-FFF2-40B4-BE49-F238E27FC236}">
              <a16:creationId xmlns:a16="http://schemas.microsoft.com/office/drawing/2014/main" id="{00000000-0008-0000-08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193</xdr:row>
      <xdr:rowOff>161925</xdr:rowOff>
    </xdr:from>
    <xdr:to>
      <xdr:col>18</xdr:col>
      <xdr:colOff>0</xdr:colOff>
      <xdr:row>193</xdr:row>
      <xdr:rowOff>161925</xdr:rowOff>
    </xdr:to>
    <xdr:sp macro="" textlink="">
      <xdr:nvSpPr>
        <xdr:cNvPr id="3" name="Line 5">
          <a:extLst>
            <a:ext uri="{FF2B5EF4-FFF2-40B4-BE49-F238E27FC236}">
              <a16:creationId xmlns:a16="http://schemas.microsoft.com/office/drawing/2014/main" id="{00000000-0008-0000-08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195</xdr:row>
      <xdr:rowOff>152400</xdr:rowOff>
    </xdr:from>
    <xdr:to>
      <xdr:col>13</xdr:col>
      <xdr:colOff>322091</xdr:colOff>
      <xdr:row>199</xdr:row>
      <xdr:rowOff>38100</xdr:rowOff>
    </xdr:to>
    <xdr:sp macro="" textlink="">
      <xdr:nvSpPr>
        <xdr:cNvPr id="4" name="Text 26">
          <a:extLst>
            <a:ext uri="{FF2B5EF4-FFF2-40B4-BE49-F238E27FC236}">
              <a16:creationId xmlns:a16="http://schemas.microsoft.com/office/drawing/2014/main" id="{00000000-0008-0000-08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197</xdr:row>
      <xdr:rowOff>47625</xdr:rowOff>
    </xdr:from>
    <xdr:to>
      <xdr:col>18</xdr:col>
      <xdr:colOff>0</xdr:colOff>
      <xdr:row>197</xdr:row>
      <xdr:rowOff>47625</xdr:rowOff>
    </xdr:to>
    <xdr:sp macro="" textlink="">
      <xdr:nvSpPr>
        <xdr:cNvPr id="5" name="Line 10">
          <a:extLst>
            <a:ext uri="{FF2B5EF4-FFF2-40B4-BE49-F238E27FC236}">
              <a16:creationId xmlns:a16="http://schemas.microsoft.com/office/drawing/2014/main" id="{00000000-0008-0000-08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62</xdr:row>
      <xdr:rowOff>100853</xdr:rowOff>
    </xdr:from>
    <xdr:to>
      <xdr:col>52</xdr:col>
      <xdr:colOff>156882</xdr:colOff>
      <xdr:row>62</xdr:row>
      <xdr:rowOff>100853</xdr:rowOff>
    </xdr:to>
    <xdr:cxnSp macro="">
      <xdr:nvCxnSpPr>
        <xdr:cNvPr id="6" name="Gerader Verbinder 2">
          <a:extLst>
            <a:ext uri="{FF2B5EF4-FFF2-40B4-BE49-F238E27FC236}">
              <a16:creationId xmlns:a16="http://schemas.microsoft.com/office/drawing/2014/main" id="{00000000-0008-0000-08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wsDr>
</file>

<file path=xl/drawings/drawing9.xml><?xml version="1.0" encoding="utf-8"?>
<xdr:wsDr xmlns:xdr="http://schemas.openxmlformats.org/drawingml/2006/spreadsheetDrawing" xmlns:a="http://schemas.openxmlformats.org/drawingml/2006/main">
  <xdr:oneCellAnchor>
    <xdr:from>
      <xdr:col>9</xdr:col>
      <xdr:colOff>16648</xdr:colOff>
      <xdr:row>11</xdr:row>
      <xdr:rowOff>379686</xdr:rowOff>
    </xdr:from>
    <xdr:ext cx="234038" cy="313099"/>
    <xdr:sp macro="" textlink="">
      <xdr:nvSpPr>
        <xdr:cNvPr id="2" name="Textfeld 1">
          <a:extLst>
            <a:ext uri="{FF2B5EF4-FFF2-40B4-BE49-F238E27FC236}">
              <a16:creationId xmlns:a16="http://schemas.microsoft.com/office/drawing/2014/main" id="{00000000-0008-0000-0900-000002000000}"/>
            </a:ext>
          </a:extLst>
        </xdr:cNvPr>
        <xdr:cNvSpPr txBox="1"/>
      </xdr:nvSpPr>
      <xdr:spPr>
        <a:xfrm>
          <a:off x="3074674" y="2951436"/>
          <a:ext cx="23403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lIns="0" tIns="0" rIns="0" bIns="0" rtlCol="0" anchor="t">
          <a:spAutoFit/>
        </a:bodyPr>
        <a:lstStyle/>
        <a:p>
          <a:r>
            <a:rPr lang="de-DE" sz="2000" b="1"/>
            <a:t>E</a:t>
          </a:r>
          <a:r>
            <a:rPr lang="de-DE" sz="2000" b="1" baseline="-25000"/>
            <a:t>G</a:t>
          </a:r>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266700</xdr:colOff>
          <xdr:row>4</xdr:row>
          <xdr:rowOff>161925</xdr:rowOff>
        </xdr:from>
        <xdr:to>
          <xdr:col>10</xdr:col>
          <xdr:colOff>2276475</xdr:colOff>
          <xdr:row>6</xdr:row>
          <xdr:rowOff>228600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A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1" i="0" u="none" strike="noStrike" baseline="0">
                  <a:solidFill>
                    <a:srgbClr val="000000"/>
                  </a:solidFill>
                  <a:latin typeface="Arial"/>
                  <a:cs typeface="Arial"/>
                </a:rPr>
                <a:t>Show all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257175</xdr:colOff>
          <xdr:row>4</xdr:row>
          <xdr:rowOff>200025</xdr:rowOff>
        </xdr:from>
        <xdr:to>
          <xdr:col>12</xdr:col>
          <xdr:colOff>2181225</xdr:colOff>
          <xdr:row>6</xdr:row>
          <xdr:rowOff>238125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A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Copy sheet to new file (only for suppliers)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printerSettings" Target="../printerSettings/printerSettings4.bin"/><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hyperlink" Target="http://mbpf/process/companystandards/sp/SPPublished/SP05-02.pdf" TargetMode="External"/><Relationship Id="rId1" Type="http://schemas.openxmlformats.org/officeDocument/2006/relationships/hyperlink" Target="http://mbpf/process/companystandards/wi/WIPublished/WI_2467.pdf" TargetMode="Externa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vmlDrawing" Target="../drawings/vmlDrawing3.vml"/><Relationship Id="rId10" Type="http://schemas.openxmlformats.org/officeDocument/2006/relationships/ctrlProp" Target="../ctrlProps/ctrlProp8.xml"/><Relationship Id="rId4" Type="http://schemas.openxmlformats.org/officeDocument/2006/relationships/drawing" Target="../drawings/drawing3.xml"/><Relationship Id="rId9" Type="http://schemas.openxmlformats.org/officeDocument/2006/relationships/ctrlProp" Target="../ctrlProps/ctrlProp7.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A43"/>
  <sheetViews>
    <sheetView zoomScale="80" workbookViewId="0"/>
  </sheetViews>
  <sheetFormatPr defaultColWidth="0" defaultRowHeight="12.75" zeroHeight="1"/>
  <cols>
    <col min="1" max="1" width="181.85546875" customWidth="1"/>
    <col min="2" max="16384" width="11.42578125" hidden="1"/>
  </cols>
  <sheetData>
    <row r="1" spans="1:1" ht="405" customHeight="1">
      <c r="A1" s="255">
        <f>VLOOKUP(pos(A1),'Language-Sprachen'!$A$301:$G$311,'Language-Sprachen'!$A$3,0)</f>
        <v>0</v>
      </c>
    </row>
    <row r="2" spans="1:1" ht="13.5" hidden="1" customHeight="1">
      <c r="A2" s="1019">
        <v>54803</v>
      </c>
    </row>
    <row r="11" spans="1:1" hidden="1">
      <c r="A11" s="108"/>
    </row>
    <row r="13" spans="1:1" hidden="1">
      <c r="A13" s="108"/>
    </row>
    <row r="15" spans="1:1" hidden="1">
      <c r="A15" s="108"/>
    </row>
    <row r="17" spans="1:1" hidden="1">
      <c r="A17" s="108"/>
    </row>
    <row r="19" spans="1:1" s="326" customFormat="1" hidden="1"/>
    <row r="20" spans="1:1" hidden="1">
      <c r="A20" s="326"/>
    </row>
    <row r="21" spans="1:1" hidden="1">
      <c r="A21" s="326"/>
    </row>
    <row r="22" spans="1:1" hidden="1">
      <c r="A22" s="108"/>
    </row>
    <row r="23" spans="1:1" hidden="1">
      <c r="A23" s="326"/>
    </row>
    <row r="24" spans="1:1" hidden="1">
      <c r="A24" s="326"/>
    </row>
    <row r="25" spans="1:1" hidden="1">
      <c r="A25" s="326"/>
    </row>
    <row r="26" spans="1:1" hidden="1">
      <c r="A26" s="326"/>
    </row>
    <row r="27" spans="1:1" hidden="1">
      <c r="A27" s="108"/>
    </row>
    <row r="28" spans="1:1" hidden="1">
      <c r="A28" s="326"/>
    </row>
    <row r="37" spans="1:1" hidden="1">
      <c r="A37" s="108"/>
    </row>
    <row r="42" spans="1:1" hidden="1">
      <c r="A42" s="336"/>
    </row>
    <row r="43" spans="1:1" hidden="1">
      <c r="A43" s="335"/>
    </row>
  </sheetData>
  <sheetProtection password="F718" sheet="1" objects="1" scenarios="1" selectLockedCells="1" selectUnlockedCells="1"/>
  <phoneticPr fontId="13" type="noConversion"/>
  <pageMargins left="0.59055118110236227" right="0.39370078740157483" top="0.59055118110236227" bottom="0.39370078740157483" header="0.19685039370078741" footer="0.19685039370078741"/>
  <pageSetup paperSize="9" orientation="landscape" r:id="rId1"/>
  <headerFooter scaleWithDoc="0" alignWithMargins="0">
    <oddHeader>&amp;L&amp;"Arial,Fett"&amp;12Produkt-/Prozess-Audit&amp;R&amp;G</oddHeader>
    <oddFooter>&amp;RSeite &amp;P von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3">
    <tabColor theme="3" tint="0.59999389629810485"/>
    <pageSetUpPr fitToPage="1"/>
  </sheetPr>
  <dimension ref="A1:P34"/>
  <sheetViews>
    <sheetView workbookViewId="0">
      <selection activeCell="F9" sqref="F9"/>
    </sheetView>
  </sheetViews>
  <sheetFormatPr defaultColWidth="0" defaultRowHeight="12.75" zeroHeight="1"/>
  <cols>
    <col min="1" max="1" width="34.42578125" customWidth="1"/>
    <col min="2" max="2" width="14.5703125" customWidth="1"/>
    <col min="3" max="3" width="5.85546875" customWidth="1"/>
    <col min="4" max="4" width="6.5703125" customWidth="1"/>
    <col min="5" max="5" width="34.85546875" customWidth="1"/>
    <col min="6" max="6" width="15.7109375" customWidth="1"/>
    <col min="7" max="7" width="12.42578125" customWidth="1"/>
    <col min="8" max="8" width="12.28515625" customWidth="1"/>
    <col min="9" max="9" width="12.7109375" customWidth="1"/>
    <col min="10" max="10" width="11.42578125" customWidth="1"/>
    <col min="11" max="16" width="0" hidden="1" customWidth="1"/>
    <col min="17" max="16384" width="11.42578125" hidden="1"/>
  </cols>
  <sheetData>
    <row r="1" spans="1:16" ht="26.25">
      <c r="A1" s="405"/>
      <c r="B1" s="405"/>
      <c r="C1" s="406"/>
      <c r="D1" s="406"/>
      <c r="E1" s="406"/>
      <c r="G1" s="442"/>
      <c r="H1" s="443"/>
      <c r="I1" s="407"/>
      <c r="J1" s="408"/>
      <c r="K1" s="408"/>
      <c r="L1" s="408"/>
      <c r="M1" s="408"/>
      <c r="N1" s="409"/>
      <c r="O1" s="409"/>
      <c r="P1" s="409"/>
    </row>
    <row r="2" spans="1:16" ht="26.25" customHeight="1">
      <c r="A2" s="450" t="str">
        <f>VLOOKUP(pos(A2),'Language-Sprachen'!$A$100:$G$119,'Language-Sprachen'!$A$3,0)</f>
        <v>Process Audit</v>
      </c>
      <c r="B2" s="451"/>
      <c r="C2" s="452"/>
      <c r="D2" s="454"/>
      <c r="E2" s="453" t="str">
        <f>VLOOKUP(pos(E2),'Language-Sprachen'!$A$100:$G$119,'Language-Sprachen'!$A$3,0)</f>
        <v>Revision 2016</v>
      </c>
      <c r="F2" s="452"/>
      <c r="G2" s="452"/>
      <c r="H2" s="455"/>
      <c r="I2" s="455"/>
      <c r="J2" s="460"/>
      <c r="K2" s="460"/>
      <c r="L2" s="460"/>
      <c r="M2" s="460"/>
      <c r="N2" s="409"/>
      <c r="O2" s="409"/>
      <c r="P2" s="409"/>
    </row>
    <row r="3" spans="1:16" ht="26.25" customHeight="1">
      <c r="A3" s="405"/>
      <c r="B3" s="405"/>
      <c r="C3" s="436"/>
      <c r="D3" s="436"/>
      <c r="E3" s="457"/>
      <c r="F3" s="465"/>
      <c r="G3" s="436"/>
      <c r="H3" s="407"/>
      <c r="I3" s="466"/>
      <c r="J3" s="456"/>
      <c r="K3" s="456"/>
      <c r="L3" s="456"/>
      <c r="M3" s="456"/>
      <c r="N3" s="409"/>
      <c r="O3" s="409"/>
      <c r="P3" s="409"/>
    </row>
    <row r="4" spans="1:16" ht="26.25">
      <c r="A4" s="405"/>
      <c r="B4" s="405"/>
      <c r="C4" s="436"/>
      <c r="D4" s="436"/>
      <c r="E4" s="457"/>
      <c r="F4" s="436"/>
      <c r="G4" s="436"/>
      <c r="H4" s="407"/>
      <c r="I4" s="407"/>
      <c r="J4" s="408"/>
      <c r="K4" s="408"/>
      <c r="L4" s="408"/>
      <c r="M4" s="408"/>
      <c r="N4" s="409"/>
      <c r="O4" s="409"/>
      <c r="P4" s="409"/>
    </row>
    <row r="5" spans="1:16" ht="26.25">
      <c r="A5" s="449" t="str">
        <f>VLOOKUP(pos(A5),'Language-Sprachen'!$A$100:$G$119,'Language-Sprachen'!$A$3,0)</f>
        <v>Audit Organization:</v>
      </c>
      <c r="B5" s="405"/>
      <c r="C5" s="436"/>
      <c r="D5" s="445"/>
      <c r="E5" s="457"/>
      <c r="F5" s="448" t="str">
        <f>'Input Form - EingabeMaske'!B19</f>
        <v>Supplier:</v>
      </c>
      <c r="H5" s="407"/>
      <c r="I5" s="407"/>
      <c r="J5" s="408"/>
      <c r="K5" s="408"/>
      <c r="L5" s="408"/>
      <c r="M5" s="408"/>
      <c r="N5" s="409"/>
      <c r="O5" s="409"/>
      <c r="P5" s="409"/>
    </row>
    <row r="6" spans="1:16" ht="26.25">
      <c r="A6" s="405"/>
      <c r="B6" s="405"/>
      <c r="C6" s="436"/>
      <c r="D6" s="441"/>
      <c r="E6" s="457"/>
      <c r="F6" s="457"/>
      <c r="G6" s="436"/>
      <c r="H6" s="407"/>
      <c r="I6" s="407"/>
      <c r="J6" s="408"/>
      <c r="K6" s="408"/>
      <c r="L6" s="408"/>
      <c r="M6" s="408"/>
      <c r="N6" s="409"/>
      <c r="O6" s="409"/>
      <c r="P6" s="409"/>
    </row>
    <row r="7" spans="1:16" ht="26.25">
      <c r="A7" s="405" t="str">
        <f>VLOOKUP(pos(A7),'Language-Sprachen'!$A$100:$G$119,'Language-Sprachen'!$A$3,0)</f>
        <v>Company Logo</v>
      </c>
      <c r="B7" s="405"/>
      <c r="C7" s="436"/>
      <c r="D7" s="436"/>
      <c r="E7" s="457"/>
      <c r="F7" s="481"/>
      <c r="H7" s="407"/>
      <c r="I7" s="407"/>
      <c r="J7" s="408"/>
      <c r="K7" s="408"/>
      <c r="L7" s="408"/>
      <c r="M7" s="408"/>
      <c r="N7" s="409"/>
      <c r="O7" s="409"/>
      <c r="P7" s="409"/>
    </row>
    <row r="8" spans="1:16" ht="26.25">
      <c r="A8" s="405"/>
      <c r="B8" s="405"/>
      <c r="C8" s="410"/>
      <c r="D8" s="410"/>
      <c r="E8" s="467"/>
      <c r="F8" s="468"/>
      <c r="G8" s="407"/>
      <c r="H8" s="407"/>
      <c r="I8" s="407"/>
      <c r="J8" s="408"/>
      <c r="K8" s="408"/>
      <c r="L8" s="408"/>
      <c r="M8" s="408"/>
      <c r="N8" s="409"/>
      <c r="O8" s="409"/>
      <c r="P8" s="409"/>
    </row>
    <row r="9" spans="1:16" ht="21.75" customHeight="1">
      <c r="A9" s="444"/>
      <c r="B9" s="420"/>
      <c r="C9" s="421"/>
      <c r="D9" s="445"/>
      <c r="E9" s="446"/>
      <c r="F9" s="480"/>
      <c r="H9" s="480"/>
      <c r="I9" s="420"/>
      <c r="J9" s="420"/>
      <c r="K9" s="420"/>
      <c r="L9" s="420"/>
      <c r="M9" s="420"/>
      <c r="N9" s="411"/>
      <c r="O9" s="412"/>
      <c r="P9" s="412"/>
    </row>
    <row r="10" spans="1:16" ht="23.25" customHeight="1">
      <c r="A10" s="414"/>
      <c r="B10" s="414"/>
      <c r="C10" s="415"/>
      <c r="D10" s="416"/>
      <c r="E10" s="416"/>
      <c r="F10" s="414"/>
      <c r="G10" s="414"/>
      <c r="H10" s="417"/>
      <c r="I10" s="417"/>
      <c r="J10" s="417"/>
      <c r="K10" s="417"/>
      <c r="L10" s="417"/>
      <c r="M10" s="417"/>
      <c r="N10" s="418"/>
      <c r="O10" s="418"/>
      <c r="P10" s="418"/>
    </row>
    <row r="11" spans="1:16" s="499" customFormat="1" ht="25.5">
      <c r="A11" s="504" t="str">
        <f>'Input Form - EingabeMaske'!B10</f>
        <v>Date:</v>
      </c>
      <c r="B11" s="1377"/>
      <c r="C11" s="1377"/>
      <c r="D11" s="1377"/>
      <c r="E11" s="505"/>
      <c r="F11" s="506" t="str">
        <f>'Input Form - EingabeMaske'!B9</f>
        <v>Order No.:</v>
      </c>
      <c r="G11" s="507"/>
      <c r="K11" s="511"/>
      <c r="L11" s="500"/>
      <c r="M11" s="500"/>
      <c r="N11" s="501"/>
      <c r="O11" s="502"/>
      <c r="P11" s="502"/>
    </row>
    <row r="12" spans="1:16" s="46" customFormat="1" ht="20.25">
      <c r="A12" s="419"/>
      <c r="B12" s="420"/>
      <c r="C12" s="421"/>
      <c r="D12" s="416"/>
      <c r="E12" s="422"/>
      <c r="F12" s="423"/>
      <c r="G12" s="423"/>
      <c r="H12" s="413"/>
      <c r="I12" s="413"/>
      <c r="J12" s="413"/>
      <c r="K12" s="413"/>
      <c r="L12" s="437"/>
      <c r="M12" s="437"/>
      <c r="N12" s="438"/>
      <c r="O12" s="503"/>
      <c r="P12" s="503"/>
    </row>
    <row r="13" spans="1:16" ht="31.5" customHeight="1">
      <c r="A13" s="462" t="str">
        <f>VLOOKUP(pos(A13),'Language-Sprachen'!$A$100:$G$119,'Language-Sprachen'!$A$3,0)</f>
        <v>Distribution</v>
      </c>
      <c r="D13" s="447"/>
      <c r="F13" s="417"/>
      <c r="G13" s="437"/>
      <c r="K13" s="437"/>
      <c r="L13" s="417"/>
      <c r="M13" s="417"/>
      <c r="N13" s="418"/>
      <c r="O13" s="418"/>
      <c r="P13" s="418"/>
    </row>
    <row r="14" spans="1:16" ht="20.25">
      <c r="A14" s="492" t="str">
        <f>'Input Form - EingabeMaske'!B73</f>
        <v>Distribution Internal</v>
      </c>
      <c r="B14" s="414"/>
      <c r="C14" s="508"/>
      <c r="D14" s="416"/>
      <c r="E14" s="509" t="str">
        <f>'Input Form - EingabeMaske'!B65</f>
        <v>Distribution at the audited unit</v>
      </c>
      <c r="F14" s="414"/>
      <c r="G14" s="414"/>
      <c r="H14" s="414"/>
      <c r="I14" s="414"/>
      <c r="J14" s="414"/>
      <c r="K14" s="414"/>
      <c r="L14" s="417"/>
      <c r="M14" s="417"/>
      <c r="N14" s="418"/>
      <c r="O14" s="418"/>
      <c r="P14" s="418"/>
    </row>
    <row r="15" spans="1:16" ht="15">
      <c r="A15" s="463"/>
      <c r="B15" s="463"/>
      <c r="C15" s="415"/>
      <c r="D15" s="416"/>
      <c r="E15" s="463"/>
      <c r="G15" s="463"/>
      <c r="H15" s="414"/>
      <c r="I15" s="414"/>
      <c r="J15" s="414"/>
      <c r="K15" s="417"/>
      <c r="L15" s="417"/>
      <c r="M15" s="417"/>
      <c r="N15" s="418"/>
      <c r="O15" s="418"/>
      <c r="P15" s="418"/>
    </row>
    <row r="16" spans="1:16" ht="15">
      <c r="A16" s="463"/>
      <c r="B16" s="463"/>
      <c r="C16" s="415"/>
      <c r="D16" s="416"/>
      <c r="E16" s="463"/>
      <c r="G16" s="463"/>
      <c r="I16" s="414"/>
      <c r="J16" s="414"/>
      <c r="K16" s="417"/>
      <c r="L16" s="417"/>
      <c r="M16" s="417"/>
      <c r="N16" s="418"/>
      <c r="O16" s="418"/>
      <c r="P16" s="418"/>
    </row>
    <row r="17" spans="1:16" ht="20.25">
      <c r="A17" s="463" t="str">
        <f>IF('Input Form - EingabeMaske'!C76=0,"",'Input Form - EingabeMaske'!C76)</f>
        <v/>
      </c>
      <c r="B17" s="463" t="str">
        <f>IF('Input Form - EingabeMaske'!D76=0,"",'Input Form - EingabeMaske'!D76)</f>
        <v/>
      </c>
      <c r="E17" s="463"/>
      <c r="G17" s="463"/>
      <c r="H17" s="461"/>
      <c r="L17" s="417"/>
      <c r="M17" s="417"/>
      <c r="N17" s="418"/>
      <c r="O17" s="418"/>
      <c r="P17" s="418"/>
    </row>
    <row r="18" spans="1:16" ht="18">
      <c r="A18" s="463" t="str">
        <f>IF('Input Form - EingabeMaske'!C77=0,"",'Input Form - EingabeMaske'!C77)</f>
        <v/>
      </c>
      <c r="B18" s="463" t="str">
        <f>IF('Input Form - EingabeMaske'!D77=0,"",'Input Form - EingabeMaske'!D77)</f>
        <v/>
      </c>
      <c r="E18" s="463"/>
      <c r="G18" s="463"/>
      <c r="L18" s="440"/>
      <c r="M18" s="440"/>
      <c r="N18" s="418"/>
      <c r="O18" s="418"/>
      <c r="P18" s="418"/>
    </row>
    <row r="19" spans="1:16" ht="18">
      <c r="A19" s="463" t="str">
        <f>IF('Input Form - EingabeMaske'!C78=0,"",'Input Form - EingabeMaske'!C78)</f>
        <v/>
      </c>
      <c r="B19" s="463" t="str">
        <f>IF('Input Form - EingabeMaske'!D78=0,"",'Input Form - EingabeMaske'!D78)</f>
        <v/>
      </c>
      <c r="C19" s="464"/>
      <c r="D19" s="464"/>
      <c r="E19" s="463" t="str">
        <f>IF('Input Form - EingabeMaske'!C71=0,"",'Input Form - EingabeMaske'!C71)</f>
        <v/>
      </c>
      <c r="G19" s="463" t="str">
        <f>IF('Input Form - EingabeMaske'!D71=0,"",'Input Form - EingabeMaske'!D71)</f>
        <v/>
      </c>
      <c r="H19" s="464"/>
      <c r="I19" s="464"/>
      <c r="J19" s="464"/>
      <c r="K19" s="464"/>
      <c r="L19" s="440"/>
      <c r="M19" s="440"/>
      <c r="N19" s="418"/>
      <c r="O19" s="418"/>
      <c r="P19" s="418"/>
    </row>
    <row r="20" spans="1:16" ht="18">
      <c r="A20" s="463" t="str">
        <f>IF('Input Form - EingabeMaske'!C79=0,"",'Input Form - EingabeMaske'!C79)</f>
        <v/>
      </c>
      <c r="B20" s="463" t="str">
        <f>IF('Input Form - EingabeMaske'!D79=0,"",'Input Form - EingabeMaske'!D79)</f>
        <v/>
      </c>
      <c r="E20" s="463" t="str">
        <f>IF('Input Form - EingabeMaske'!C72=0,"",'Input Form - EingabeMaske'!C72)</f>
        <v/>
      </c>
      <c r="G20" s="463" t="str">
        <f>IF('Input Form - EingabeMaske'!D72=0,"",'Input Form - EingabeMaske'!D72)</f>
        <v/>
      </c>
      <c r="H20" s="459"/>
      <c r="L20" s="440"/>
      <c r="M20" s="440"/>
      <c r="N20" s="418"/>
      <c r="O20" s="418"/>
      <c r="P20" s="418"/>
    </row>
    <row r="21" spans="1:16" ht="21.75">
      <c r="E21" s="463"/>
      <c r="F21" s="463"/>
      <c r="G21" s="458"/>
      <c r="H21" s="440"/>
      <c r="L21" s="510"/>
      <c r="M21" s="510"/>
      <c r="N21" s="418"/>
      <c r="O21" s="418"/>
      <c r="P21" s="418"/>
    </row>
    <row r="22" spans="1:16" ht="21.75" hidden="1">
      <c r="A22" s="417"/>
      <c r="B22" s="439"/>
      <c r="C22" s="439"/>
      <c r="D22" s="439"/>
      <c r="E22" s="439"/>
      <c r="F22" s="440"/>
      <c r="G22" s="440"/>
      <c r="H22" s="440"/>
      <c r="I22" s="440"/>
      <c r="J22" s="440"/>
      <c r="K22" s="440"/>
      <c r="L22" s="424"/>
      <c r="M22" s="424"/>
      <c r="N22" s="412"/>
      <c r="O22" s="412"/>
      <c r="P22" s="412"/>
    </row>
    <row r="23" spans="1:16" hidden="1">
      <c r="A23" s="424"/>
      <c r="B23" s="424"/>
      <c r="C23" s="424"/>
      <c r="D23" s="424"/>
      <c r="E23" s="424"/>
      <c r="F23" s="424"/>
      <c r="G23" s="424"/>
      <c r="H23" s="424"/>
      <c r="I23" s="424"/>
      <c r="J23" s="424"/>
      <c r="K23" s="424"/>
      <c r="L23" s="424"/>
      <c r="M23" s="424"/>
      <c r="N23" s="412"/>
      <c r="O23" s="412"/>
      <c r="P23" s="412"/>
    </row>
    <row r="24" spans="1:16" hidden="1">
      <c r="A24" s="425"/>
      <c r="B24" s="425"/>
      <c r="C24" s="425"/>
      <c r="D24" s="425"/>
      <c r="E24" s="425"/>
      <c r="F24" s="425"/>
      <c r="G24" s="425"/>
      <c r="H24" s="425"/>
      <c r="I24" s="425"/>
      <c r="J24" s="425"/>
      <c r="K24" s="425"/>
      <c r="L24" s="425"/>
      <c r="M24" s="425"/>
      <c r="N24" s="412"/>
      <c r="O24" s="412"/>
      <c r="P24" s="412"/>
    </row>
    <row r="25" spans="1:16" hidden="1">
      <c r="A25" s="413"/>
      <c r="B25" s="413"/>
      <c r="C25" s="426"/>
      <c r="D25" s="426"/>
      <c r="E25" s="427"/>
      <c r="F25" s="427"/>
      <c r="G25" s="427"/>
      <c r="H25" s="427"/>
      <c r="I25" s="427"/>
      <c r="J25" s="413"/>
      <c r="K25" s="413"/>
      <c r="L25" s="413"/>
      <c r="M25" s="413"/>
      <c r="N25" s="412"/>
      <c r="O25" s="412"/>
      <c r="P25" s="412"/>
    </row>
    <row r="26" spans="1:16" ht="15.75" hidden="1">
      <c r="A26" s="428"/>
      <c r="B26" s="429"/>
      <c r="C26" s="413"/>
      <c r="D26" s="430"/>
      <c r="E26" s="431"/>
      <c r="F26" s="413"/>
      <c r="G26" s="413"/>
      <c r="H26" s="413"/>
      <c r="I26" s="413"/>
      <c r="J26" s="413"/>
      <c r="K26" s="413"/>
      <c r="L26" s="413"/>
      <c r="M26" s="413"/>
      <c r="N26" s="412"/>
      <c r="O26" s="412"/>
      <c r="P26" s="412"/>
    </row>
    <row r="27" spans="1:16" ht="15.75" hidden="1">
      <c r="A27" s="432"/>
      <c r="B27" s="412"/>
      <c r="C27" s="412"/>
      <c r="D27" s="433"/>
      <c r="E27" s="434"/>
      <c r="F27" s="412"/>
      <c r="G27" s="412"/>
      <c r="H27" s="412"/>
      <c r="I27" s="412"/>
      <c r="J27" s="412"/>
      <c r="K27" s="412"/>
      <c r="L27" s="412"/>
      <c r="M27" s="412"/>
      <c r="N27" s="412"/>
      <c r="O27" s="412"/>
      <c r="P27" s="412"/>
    </row>
    <row r="28" spans="1:16" ht="15.75" hidden="1">
      <c r="A28" s="435"/>
      <c r="B28" s="412"/>
      <c r="C28" s="412"/>
      <c r="D28" s="433"/>
      <c r="E28" s="434"/>
      <c r="F28" s="412"/>
      <c r="G28" s="412"/>
      <c r="H28" s="412"/>
      <c r="I28" s="412"/>
      <c r="J28" s="412"/>
      <c r="K28" s="412"/>
      <c r="L28" s="412"/>
      <c r="M28" s="412"/>
      <c r="N28" s="412"/>
      <c r="O28" s="412"/>
      <c r="P28" s="412"/>
    </row>
    <row r="29" spans="1:16" ht="15.75" hidden="1">
      <c r="A29" s="435"/>
      <c r="B29" s="412"/>
      <c r="C29" s="412"/>
      <c r="D29" s="433"/>
      <c r="E29" s="434"/>
      <c r="F29" s="412"/>
      <c r="G29" s="412"/>
      <c r="H29" s="412"/>
      <c r="I29" s="412"/>
      <c r="J29" s="412"/>
      <c r="K29" s="412"/>
      <c r="L29" s="412"/>
      <c r="M29" s="412"/>
      <c r="N29" s="412"/>
      <c r="O29" s="412"/>
      <c r="P29" s="412"/>
    </row>
    <row r="30" spans="1:16" ht="15.75" hidden="1">
      <c r="A30" s="435"/>
      <c r="B30" s="412"/>
      <c r="C30" s="412"/>
      <c r="D30" s="433"/>
      <c r="E30" s="434"/>
      <c r="F30" s="412"/>
      <c r="G30" s="412"/>
      <c r="H30" s="412"/>
      <c r="I30" s="412"/>
      <c r="J30" s="412"/>
      <c r="K30" s="412"/>
      <c r="L30" s="412"/>
      <c r="M30" s="412"/>
      <c r="N30" s="412"/>
      <c r="O30" s="412"/>
      <c r="P30" s="412"/>
    </row>
    <row r="31" spans="1:16" ht="15.75" hidden="1">
      <c r="A31" s="435"/>
      <c r="B31" s="412"/>
      <c r="C31" s="412"/>
      <c r="D31" s="433"/>
      <c r="E31" s="434"/>
      <c r="F31" s="412"/>
      <c r="G31" s="412"/>
      <c r="H31" s="412"/>
      <c r="I31" s="412"/>
      <c r="J31" s="412"/>
      <c r="K31" s="412"/>
      <c r="L31" s="412"/>
      <c r="M31" s="412"/>
      <c r="N31" s="412"/>
      <c r="O31" s="412"/>
      <c r="P31" s="412"/>
    </row>
    <row r="32" spans="1:16" ht="15.75" hidden="1">
      <c r="A32" s="435"/>
      <c r="B32" s="412"/>
      <c r="C32" s="412"/>
      <c r="D32" s="433"/>
      <c r="E32" s="434"/>
      <c r="F32" s="412"/>
      <c r="G32" s="412"/>
      <c r="H32" s="412"/>
      <c r="I32" s="412"/>
      <c r="J32" s="412"/>
      <c r="K32" s="412"/>
      <c r="L32" s="412"/>
      <c r="M32" s="412"/>
      <c r="N32" s="412"/>
      <c r="O32" s="412"/>
      <c r="P32" s="412"/>
    </row>
    <row r="33" spans="1:16" ht="15.75" hidden="1">
      <c r="A33" s="435"/>
      <c r="B33" s="412"/>
      <c r="C33" s="412"/>
      <c r="D33" s="433"/>
      <c r="E33" s="434"/>
      <c r="F33" s="412"/>
      <c r="G33" s="412"/>
      <c r="H33" s="412"/>
      <c r="I33" s="412"/>
      <c r="J33" s="412"/>
      <c r="K33" s="412"/>
      <c r="L33" s="412"/>
      <c r="M33" s="412"/>
      <c r="N33" s="412"/>
      <c r="O33" s="412"/>
      <c r="P33" s="412"/>
    </row>
    <row r="34" spans="1:16" ht="15.75" hidden="1">
      <c r="A34" s="435"/>
      <c r="B34" s="412"/>
      <c r="C34" s="412"/>
      <c r="D34" s="433"/>
      <c r="E34" s="434"/>
      <c r="F34" s="412"/>
      <c r="G34" s="412"/>
      <c r="H34" s="412"/>
      <c r="I34" s="412"/>
      <c r="J34" s="412"/>
      <c r="K34" s="412"/>
      <c r="L34" s="412"/>
      <c r="M34" s="412"/>
      <c r="N34" s="412"/>
      <c r="O34" s="412"/>
      <c r="P34" s="412"/>
    </row>
  </sheetData>
  <sheetProtection formatColumns="0" formatRows="0" selectLockedCells="1" selectUnlockedCells="1"/>
  <mergeCells count="1">
    <mergeCell ref="B11:D11"/>
  </mergeCells>
  <pageMargins left="0.62" right="0.46" top="0.56999999999999995" bottom="0.56000000000000005" header="0.31496062992125984" footer="0.31496062992125984"/>
  <pageSetup paperSize="9" scale="85" orientation="landscape"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aske">
    <tabColor indexed="51"/>
    <pageSetUpPr fitToPage="1"/>
  </sheetPr>
  <dimension ref="A1:N85"/>
  <sheetViews>
    <sheetView showGridLines="0" showZeros="0" zoomScale="85" zoomScaleNormal="85" zoomScaleSheetLayoutView="70" workbookViewId="0">
      <selection activeCell="C38" sqref="C38"/>
    </sheetView>
  </sheetViews>
  <sheetFormatPr defaultColWidth="11.42578125" defaultRowHeight="12.75"/>
  <cols>
    <col min="1" max="1" width="1.28515625" style="1" customWidth="1"/>
    <col min="2" max="2" width="41.140625" style="1" customWidth="1"/>
    <col min="3" max="3" width="36.140625" style="1" customWidth="1"/>
    <col min="4" max="4" width="34.85546875" style="1" customWidth="1"/>
    <col min="5" max="5" width="33.28515625" style="1" customWidth="1"/>
    <col min="6" max="6" width="29.5703125" style="1" customWidth="1"/>
    <col min="7" max="7" width="17.140625" style="1" customWidth="1"/>
    <col min="8" max="9" width="12.28515625" style="1" customWidth="1"/>
    <col min="10" max="10" width="37.28515625" style="6" hidden="1" customWidth="1"/>
    <col min="11" max="11" width="12.5703125" style="1" customWidth="1"/>
    <col min="12" max="16384" width="11.42578125" style="1"/>
  </cols>
  <sheetData>
    <row r="1" spans="1:14" ht="18">
      <c r="A1" s="76"/>
      <c r="B1" s="787" t="str">
        <f>VLOOKUP(pos(B1),'Language-Sprachen'!$A$4:$G$99,'Language-Sprachen'!$A$3,0)</f>
        <v>Data Input for Compiling Report</v>
      </c>
      <c r="C1" s="68"/>
      <c r="D1" s="238"/>
      <c r="E1" s="233"/>
      <c r="F1" s="234"/>
      <c r="G1" s="234"/>
      <c r="H1" s="234"/>
      <c r="I1" s="253"/>
      <c r="J1" s="788" t="str">
        <f>VLOOKUP(pos(J1),'Language-Sprachen'!$A$4:$G$99,'Language-Sprachen'!$A$3,0)</f>
        <v>Create CSV</v>
      </c>
      <c r="K1" s="2"/>
      <c r="L1" s="3"/>
      <c r="M1" s="3"/>
      <c r="N1" s="3"/>
    </row>
    <row r="2" spans="1:14" ht="15.75">
      <c r="A2" s="76"/>
      <c r="B2" s="1130" t="str">
        <f>VLOOKUP(pos(B2),'Language-Sprachen'!$A$4:$G$99,'Language-Sprachen'!$A$3,0)</f>
        <v>Short Instruction:</v>
      </c>
      <c r="C2" s="65"/>
      <c r="D2" s="65"/>
      <c r="E2" s="47"/>
      <c r="F2" s="47"/>
      <c r="G2" s="47"/>
      <c r="H2" s="47"/>
      <c r="I2" s="66"/>
      <c r="J2" s="788" t="str">
        <f>VLOOKUP(pos(J2),'Language-Sprachen'!$A$4:$G$99,'Language-Sprachen'!$A$3,0)</f>
        <v>Import CSV</v>
      </c>
      <c r="K2" s="3"/>
      <c r="L2" s="3"/>
      <c r="M2" s="3"/>
      <c r="N2" s="3"/>
    </row>
    <row r="3" spans="1:14" ht="20.25" customHeight="1">
      <c r="A3" s="76"/>
      <c r="B3" s="1131" t="str">
        <f>VLOOKUP(pos(B3),'Language-Sprachen'!$A$4:$G$99,'Language-Sprachen'!$A$3,0)</f>
        <v>1. Activate macros</v>
      </c>
      <c r="D3" s="789" t="str">
        <f>VLOOKUP(pos(D3),'Language-Sprachen'!$A$4:$G$99,'Language-Sprachen'!$A$3,0)</f>
        <v>Select language:</v>
      </c>
      <c r="E3"/>
      <c r="F3" s="334"/>
      <c r="G3" s="47"/>
      <c r="I3" s="66"/>
      <c r="J3" s="58"/>
      <c r="K3" s="3"/>
      <c r="L3" s="3"/>
      <c r="M3" s="3"/>
      <c r="N3" s="3"/>
    </row>
    <row r="4" spans="1:14" ht="15.75">
      <c r="A4" s="76"/>
      <c r="B4" s="1131" t="str">
        <f>VLOOKUP(pos(B4),'Language-Sprachen'!$A$4:$G$99,'Language-Sprachen'!$A$3,0)</f>
        <v>2. Select Language</v>
      </c>
      <c r="D4" s="55"/>
      <c r="E4" s="55"/>
      <c r="F4" s="57"/>
      <c r="G4" s="76"/>
      <c r="I4" s="66"/>
      <c r="J4" s="59"/>
      <c r="K4" s="3"/>
      <c r="L4" s="3"/>
      <c r="M4" s="3"/>
      <c r="N4" s="3"/>
    </row>
    <row r="5" spans="1:14" ht="15.75">
      <c r="A5" s="76"/>
      <c r="B5" s="1132" t="str">
        <f>VLOOKUP(pos(B5),'Language-Sprachen'!$A$4:$G$99,'Language-Sprachen'!$A$3,0)</f>
        <v>3. Choose amount of processsteps (only for P6 evaluations)</v>
      </c>
      <c r="C5"/>
      <c r="D5"/>
      <c r="E5"/>
      <c r="F5" s="809"/>
      <c r="G5" s="76"/>
      <c r="H5" s="76"/>
      <c r="I5" s="66"/>
      <c r="J5" s="58"/>
      <c r="K5" s="3"/>
      <c r="L5" s="3"/>
      <c r="M5" s="3"/>
      <c r="N5" s="3"/>
    </row>
    <row r="6" spans="1:14" ht="15.75">
      <c r="A6" s="76"/>
      <c r="B6" s="1132" t="str">
        <f>VLOOKUP(pos(B6),'Language-Sprachen'!$A$4:$G$99,'Language-Sprachen'!$A$3,0)</f>
        <v>4. Choose process elements (Table: Questions-Fragen)</v>
      </c>
      <c r="C6"/>
      <c r="D6"/>
      <c r="E6" s="16"/>
      <c r="F6" s="809"/>
      <c r="G6" s="76"/>
      <c r="H6" s="76"/>
      <c r="I6" s="66"/>
      <c r="J6" s="58"/>
      <c r="K6" s="3"/>
      <c r="L6" s="3"/>
      <c r="M6" s="3"/>
      <c r="N6" s="3"/>
    </row>
    <row r="7" spans="1:14" ht="15.75">
      <c r="A7" s="76"/>
      <c r="B7" s="499"/>
      <c r="C7" s="499"/>
      <c r="D7" s="499"/>
      <c r="E7" s="640"/>
      <c r="F7" s="1170"/>
      <c r="G7" s="387"/>
      <c r="H7" s="387"/>
      <c r="I7" s="388"/>
      <c r="J7" s="58"/>
      <c r="K7" s="3"/>
      <c r="L7" s="3"/>
      <c r="M7" s="3"/>
      <c r="N7" s="3"/>
    </row>
    <row r="8" spans="1:14" ht="15">
      <c r="A8" s="76"/>
      <c r="B8"/>
      <c r="C8"/>
      <c r="D8"/>
      <c r="E8" s="16"/>
      <c r="F8" s="812"/>
      <c r="G8" s="76"/>
      <c r="H8" s="76"/>
      <c r="I8" s="66"/>
      <c r="J8" s="58"/>
      <c r="K8" s="3"/>
      <c r="L8" s="3"/>
      <c r="M8" s="3"/>
      <c r="N8" s="3"/>
    </row>
    <row r="9" spans="1:14" ht="18.75" customHeight="1">
      <c r="A9" s="76"/>
      <c r="B9" s="792" t="str">
        <f>VLOOKUP(pos(B9),'Language-Sprachen'!$A$4:$G$99,'Language-Sprachen'!$A$3,0)</f>
        <v>Order No.:</v>
      </c>
      <c r="C9" s="1158"/>
      <c r="D9"/>
      <c r="E9" s="16"/>
      <c r="F9" s="812"/>
      <c r="G9" s="76"/>
      <c r="H9" s="1388" t="str">
        <f>VLOOKUP(pos(H9),'Language-Sprachen'!$A$4:$G$99,'Language-Sprachen'!$A$3,0)</f>
        <v>Input in purple areas</v>
      </c>
      <c r="I9" s="1389" t="e">
        <f>VLOOKUP(pos(I9),'Language-Sprachen'!$A:$G,'Language-Sprachen'!$A$3,0)</f>
        <v>#N/A</v>
      </c>
      <c r="J9" s="58"/>
      <c r="K9" s="3"/>
      <c r="L9" s="3"/>
      <c r="M9" s="3"/>
      <c r="N9" s="3"/>
    </row>
    <row r="10" spans="1:14" ht="15.75">
      <c r="A10" s="76"/>
      <c r="B10" s="792" t="str">
        <f>VLOOKUP(pos(B10),'Language-Sprachen'!$A$4:$G$99,'Language-Sprachen'!$A$3,0)</f>
        <v>Date:</v>
      </c>
      <c r="C10" s="1258">
        <v>45713</v>
      </c>
      <c r="D10" s="792" t="str">
        <f>VLOOKUP(pos(D10),'Language-Sprachen'!$A$4:$G$99,'Language-Sprachen'!$A$3,0)</f>
        <v>Layer:</v>
      </c>
      <c r="E10" s="1138"/>
      <c r="F10" s="3"/>
      <c r="G10" s="76"/>
      <c r="H10" s="1388" t="str">
        <f>VLOOKUP(pos(H10),'Language-Sprachen'!$A:$G,'Language-Sprachen'!$A$3,0)</f>
        <v>Points</v>
      </c>
      <c r="I10" s="1389" t="str">
        <f>VLOOKUP(pos(I10),'Language-Sprachen'!$A:$G,'Language-Sprachen'!$A$3,0)</f>
        <v>Immediate action (x)</v>
      </c>
      <c r="J10" s="58"/>
      <c r="K10" s="3"/>
      <c r="L10" s="3"/>
      <c r="M10" s="3"/>
      <c r="N10" s="3"/>
    </row>
    <row r="11" spans="1:14" ht="15">
      <c r="A11" s="76"/>
      <c r="B11" s="1181"/>
      <c r="C11"/>
      <c r="D11"/>
      <c r="E11"/>
      <c r="F11" s="57"/>
      <c r="G11" s="76"/>
      <c r="H11" s="76"/>
      <c r="I11" s="66"/>
      <c r="J11" s="58"/>
      <c r="K11" s="3"/>
      <c r="L11" s="3"/>
      <c r="M11" s="3"/>
      <c r="N11" s="3"/>
    </row>
    <row r="12" spans="1:14" ht="15.75">
      <c r="A12" s="76"/>
      <c r="B12" s="791" t="str">
        <f>VLOOKUP(pos(B12),'Language-Sprachen'!$A$4:$G$99,'Language-Sprachen'!$A$3,0)</f>
        <v>Audit Reason:</v>
      </c>
      <c r="C12" s="1397" t="s">
        <v>1011</v>
      </c>
      <c r="D12" s="1397"/>
      <c r="E12" s="1397"/>
      <c r="F12" s="1397"/>
      <c r="G12" s="76"/>
      <c r="H12" s="76"/>
      <c r="I12" s="66"/>
      <c r="J12" s="58"/>
      <c r="K12" s="3"/>
      <c r="L12" s="3"/>
      <c r="M12" s="3"/>
      <c r="N12" s="3"/>
    </row>
    <row r="13" spans="1:14" ht="15.75">
      <c r="A13" s="76"/>
      <c r="B13" s="791" t="str">
        <f>VLOOKUP(pos(B13),'Language-Sprachen'!$A$4:$G$99,'Language-Sprachen'!$A$3,0)</f>
        <v>Audit request:</v>
      </c>
      <c r="C13" s="1256" t="s">
        <v>796</v>
      </c>
      <c r="D13" s="791" t="str">
        <f>VLOOKUP(pos(D13),'Language-Sprachen'!$A$4:$G$99,'Language-Sprachen'!$A$3,0)</f>
        <v>Department:</v>
      </c>
      <c r="E13" s="1396" t="s">
        <v>797</v>
      </c>
      <c r="F13" s="1396"/>
      <c r="G13" s="76"/>
      <c r="H13" s="76"/>
      <c r="I13" s="66"/>
      <c r="J13" s="58"/>
      <c r="L13" s="3"/>
      <c r="M13" s="3"/>
      <c r="N13" s="3"/>
    </row>
    <row r="14" spans="1:14" ht="31.5">
      <c r="A14" s="76"/>
      <c r="B14" s="791" t="str">
        <f>VLOOKUP(pos(B14),'Language-Sprachen'!$A$4:$G$99,'Language-Sprachen'!$A$3,0)</f>
        <v>Auditor:</v>
      </c>
      <c r="C14" s="1257" t="s">
        <v>1012</v>
      </c>
      <c r="D14" s="1139" t="str">
        <f>$D$13</f>
        <v>Department:</v>
      </c>
      <c r="E14" s="1396" t="s">
        <v>797</v>
      </c>
      <c r="F14" s="1396"/>
      <c r="G14" s="1140" t="str">
        <f>VLOOKUP(pos(G14),'Language-Sprachen'!$A$4:$G$99,'Language-Sprachen'!$A$3,0)</f>
        <v>Certificate No.:</v>
      </c>
      <c r="H14" s="1398" t="s">
        <v>745</v>
      </c>
      <c r="I14" s="1399"/>
      <c r="J14" s="58"/>
      <c r="K14" s="3"/>
      <c r="L14" s="3"/>
      <c r="M14" s="3"/>
      <c r="N14" s="3"/>
    </row>
    <row r="15" spans="1:14" ht="15.75">
      <c r="A15" s="76"/>
      <c r="B15" s="791" t="str">
        <f>VLOOKUP(pos(B15),'Language-Sprachen'!$A$4:$G$99,'Language-Sprachen'!$A$3,0)</f>
        <v>Manager of audited organisation:</v>
      </c>
      <c r="C15" s="1257" t="s">
        <v>798</v>
      </c>
      <c r="D15" s="792" t="str">
        <f>$D$13</f>
        <v>Department:</v>
      </c>
      <c r="E15" s="1396" t="s">
        <v>799</v>
      </c>
      <c r="F15" s="1396"/>
      <c r="G15" s="76"/>
      <c r="H15" s="76"/>
      <c r="I15" s="66"/>
      <c r="J15" s="58"/>
      <c r="K15" s="3"/>
      <c r="L15" s="3"/>
      <c r="M15" s="3"/>
      <c r="N15" s="3"/>
    </row>
    <row r="16" spans="1:14" ht="15">
      <c r="A16" s="76"/>
      <c r="B16" s="1180"/>
      <c r="C16" s="55"/>
      <c r="D16" s="55"/>
      <c r="E16" s="55"/>
      <c r="F16" s="57"/>
      <c r="G16" s="76"/>
      <c r="H16" s="76"/>
      <c r="I16" s="66"/>
      <c r="J16" s="58"/>
      <c r="K16" s="3"/>
      <c r="L16" s="3"/>
      <c r="M16" s="3"/>
      <c r="N16" s="3"/>
    </row>
    <row r="17" spans="1:14" ht="15.75">
      <c r="A17" s="76"/>
      <c r="B17" s="792" t="str">
        <f>VLOOKUP(pos(B17),'Language-Sprachen'!$A$4:$G$99,'Language-Sprachen'!$A$3,0)</f>
        <v>Suppl.-No.:</v>
      </c>
      <c r="C17" s="1231"/>
      <c r="D17" s="67"/>
      <c r="E17" s="790" t="str">
        <f>VLOOKUP(pos(E17),'Language-Sprachen'!$A$4:$G$99,'Language-Sprachen'!$A$3,0)</f>
        <v>Name:</v>
      </c>
      <c r="F17" s="790" t="str">
        <f>D13</f>
        <v>Department:</v>
      </c>
      <c r="G17" s="76"/>
      <c r="H17" s="1392"/>
      <c r="I17" s="1393"/>
      <c r="J17" s="58"/>
      <c r="K17" s="3"/>
      <c r="L17" s="3"/>
      <c r="M17" s="3"/>
      <c r="N17" s="3"/>
    </row>
    <row r="18" spans="1:14" ht="15.75">
      <c r="A18" s="76"/>
      <c r="B18" s="1241" t="str">
        <f>VLOOKUP(pos(B18),'Language-Sprachen'!$A$4:$G$99,'Language-Sprachen'!$A$3,0)</f>
        <v xml:space="preserve"> D-U-N-S No.:</v>
      </c>
      <c r="C18" s="1239"/>
      <c r="D18" s="792" t="str">
        <f>VLOOKUP(pos(D18),'Language-Sprachen'!$A$4:$G$99,'Language-Sprachen'!$A$3,0)</f>
        <v>Senior Management:</v>
      </c>
      <c r="E18" s="1238"/>
      <c r="F18" s="1239"/>
      <c r="G18" s="333"/>
      <c r="H18" s="1392"/>
      <c r="I18" s="1393"/>
      <c r="J18" s="60"/>
      <c r="K18" s="4"/>
      <c r="M18" s="3"/>
      <c r="N18" s="3"/>
    </row>
    <row r="19" spans="1:14" ht="15.75">
      <c r="A19" s="76"/>
      <c r="B19" s="1241" t="str">
        <f>VLOOKUP(pos(B19),'Language-Sprachen'!$A$4:$G$99,'Language-Sprachen'!$A$3,0)</f>
        <v>Supplier:</v>
      </c>
      <c r="C19" s="738"/>
      <c r="D19" s="792" t="str">
        <f>VLOOKUP(pos(D19),'Language-Sprachen'!$A$4:$G$99,'Language-Sprachen'!$A$3,0)</f>
        <v>Plant Management:</v>
      </c>
      <c r="E19" s="1238" t="s">
        <v>989</v>
      </c>
      <c r="F19" s="1337" t="s">
        <v>800</v>
      </c>
      <c r="G19" s="333"/>
      <c r="H19" s="1392"/>
      <c r="I19" s="1393"/>
      <c r="J19" s="251"/>
      <c r="K19" s="252"/>
      <c r="M19" s="3"/>
      <c r="N19" s="3"/>
    </row>
    <row r="20" spans="1:14" ht="15.75">
      <c r="A20" s="76"/>
      <c r="B20" s="792" t="str">
        <f>VLOOKUP(pos(B20),'Language-Sprachen'!$A$4:$G$99,'Language-Sprachen'!$A$3,0)</f>
        <v>Street:</v>
      </c>
      <c r="C20" s="1237"/>
      <c r="D20" s="792" t="str">
        <f>VLOOKUP(pos(D20),'Language-Sprachen'!$A$4:$G$99,'Language-Sprachen'!$A$3,0)</f>
        <v>Q-Management:</v>
      </c>
      <c r="E20" s="1238" t="s">
        <v>802</v>
      </c>
      <c r="F20" s="1240" t="s">
        <v>801</v>
      </c>
      <c r="G20" s="333"/>
      <c r="H20" s="1392"/>
      <c r="I20" s="1393"/>
      <c r="J20" s="251"/>
      <c r="K20" s="252"/>
      <c r="M20" s="3"/>
      <c r="N20" s="3"/>
    </row>
    <row r="21" spans="1:14" ht="15.75">
      <c r="A21" s="76"/>
      <c r="B21" s="792" t="str">
        <f>VLOOKUP(pos(B21),'Language-Sprachen'!$A$4:$G$99,'Language-Sprachen'!$A$3,0)</f>
        <v>Location:</v>
      </c>
      <c r="C21" s="738"/>
      <c r="D21" s="792" t="str">
        <f>VLOOKUP(pos(D21),'Language-Sprachen'!$A$4:$G$99,'Language-Sprachen'!$A$3,0)</f>
        <v xml:space="preserve">Customer Support </v>
      </c>
      <c r="E21" s="1238"/>
      <c r="F21" s="1240"/>
      <c r="G21" s="333"/>
      <c r="H21" s="1392"/>
      <c r="I21" s="1393"/>
      <c r="J21" s="251"/>
      <c r="K21" s="252"/>
      <c r="M21" s="3"/>
      <c r="N21" s="3"/>
    </row>
    <row r="22" spans="1:14" ht="15.75">
      <c r="A22" s="76"/>
      <c r="B22" s="792" t="str">
        <f>VLOOKUP(pos(B22),'Language-Sprachen'!$A$4:$G$99,'Language-Sprachen'!$A$3,0)</f>
        <v>Country:</v>
      </c>
      <c r="C22" s="738"/>
      <c r="D22" s="792" t="str">
        <f>VLOOKUP(pos(D22),'Language-Sprachen'!$A$4:$G$99,'Language-Sprachen'!$A$3,0)</f>
        <v>Research and development</v>
      </c>
      <c r="E22" s="1238"/>
      <c r="F22" s="1240"/>
      <c r="G22" s="333"/>
      <c r="H22" s="1392"/>
      <c r="I22" s="1393"/>
      <c r="J22" s="251"/>
      <c r="K22" s="252"/>
    </row>
    <row r="23" spans="1:14" ht="15.75">
      <c r="A23" s="76"/>
      <c r="B23" s="792" t="str">
        <f>VLOOKUP(pos(B23),'Language-Sprachen'!$A$4:$G$99,'Language-Sprachen'!$A$3,0)</f>
        <v>Manufacturing Site (Post Code):</v>
      </c>
      <c r="C23" s="738"/>
      <c r="D23"/>
      <c r="E23"/>
      <c r="F23"/>
      <c r="G23" s="76"/>
      <c r="H23" s="76"/>
      <c r="I23" s="66"/>
      <c r="J23" s="61"/>
      <c r="K23" s="75"/>
      <c r="L23" s="76"/>
    </row>
    <row r="24" spans="1:14" ht="15.75">
      <c r="A24" s="76"/>
      <c r="B24" s="792" t="str">
        <f>VLOOKUP(pos(B24),'Language-Sprachen'!$A$4:$G$99,'Language-Sprachen'!$A$3,0)</f>
        <v>Telephone Number:</v>
      </c>
      <c r="C24" s="738"/>
      <c r="D24"/>
      <c r="E24"/>
      <c r="F24"/>
      <c r="G24" s="76"/>
      <c r="H24" s="76"/>
      <c r="I24" s="66"/>
      <c r="J24" s="61"/>
      <c r="K24" s="5"/>
    </row>
    <row r="25" spans="1:14" ht="15.75">
      <c r="A25" s="76"/>
      <c r="B25" s="792" t="str">
        <f>VLOOKUP(pos(B25),'Language-Sprachen'!$A$4:$G$99,'Language-Sprachen'!$A$3,0)</f>
        <v>Fax Number:</v>
      </c>
      <c r="C25" s="738"/>
      <c r="D25"/>
      <c r="E25"/>
      <c r="F25"/>
      <c r="G25" s="76"/>
      <c r="H25" s="76"/>
      <c r="I25" s="66"/>
      <c r="J25" s="61"/>
      <c r="K25" s="5"/>
    </row>
    <row r="26" spans="1:14" ht="15.75">
      <c r="A26" s="387"/>
      <c r="B26" s="1182" t="str">
        <f>VLOOKUP(pos(B26),'Language-Sprachen'!$A$4:$G$99,'Language-Sprachen'!$A$3,0)</f>
        <v>Signed by (organisation):</v>
      </c>
      <c r="C26" s="512"/>
      <c r="D26" s="499"/>
      <c r="E26" s="499"/>
      <c r="F26" s="499"/>
      <c r="G26" s="387"/>
      <c r="H26" s="387"/>
      <c r="I26" s="388"/>
      <c r="J26" s="61"/>
      <c r="K26" s="5"/>
    </row>
    <row r="27" spans="1:14" ht="19.5" customHeight="1">
      <c r="A27" s="76"/>
      <c r="B27" s="1390" t="str">
        <f>VLOOKUP(pos(B27),'Language-Sprachen'!$A$4:$G$99,'Language-Sprachen'!$A$3,0)</f>
        <v>Last Audit Results  / Certificate</v>
      </c>
      <c r="C27" s="1391" t="e">
        <f>VLOOKUP(pos(C27),'Language-Sprachen'!$A:$G,'Language-Sprachen'!$A$3,0)</f>
        <v>#N/A</v>
      </c>
      <c r="D27" s="55"/>
      <c r="E27" s="55"/>
      <c r="F27" s="55"/>
      <c r="G27" s="76"/>
      <c r="H27" s="76"/>
      <c r="I27" s="66"/>
      <c r="J27" s="62"/>
    </row>
    <row r="28" spans="1:14" ht="15.75">
      <c r="A28" s="76"/>
      <c r="B28" s="1241" t="str">
        <f>VLOOKUP(pos(B28),'Language-Sprachen'!$A$4:$G$99,'Language-Sprachen'!$A$3,0)</f>
        <v>Certificate / Audit No:</v>
      </c>
      <c r="C28" s="1242"/>
      <c r="D28" s="1242"/>
      <c r="E28" s="1242"/>
      <c r="F28" s="472"/>
      <c r="G28" s="1232"/>
      <c r="H28" s="76"/>
      <c r="I28" s="66"/>
      <c r="J28" s="62"/>
    </row>
    <row r="29" spans="1:14" ht="15.75">
      <c r="A29" s="76"/>
      <c r="B29" s="792" t="str">
        <f>VLOOKUP(pos(B29),'Language-Sprachen'!$A$4:$G$99,'Language-Sprachen'!$A$3,0)</f>
        <v>Issue Date</v>
      </c>
      <c r="C29" s="473"/>
      <c r="D29" s="473"/>
      <c r="E29" s="473"/>
      <c r="F29" s="473"/>
      <c r="G29" s="1232"/>
      <c r="H29" s="76"/>
      <c r="I29" s="66"/>
      <c r="J29" s="63"/>
    </row>
    <row r="30" spans="1:14" ht="15.75">
      <c r="A30" s="76"/>
      <c r="B30" s="792" t="str">
        <f>VLOOKUP(pos(B30),'Language-Sprachen'!$A$4:$G$99,'Language-Sprachen'!$A$3,0)</f>
        <v>Conducted by</v>
      </c>
      <c r="C30" s="474"/>
      <c r="D30" s="474"/>
      <c r="E30" s="474"/>
      <c r="F30" s="474"/>
      <c r="G30" s="1232"/>
      <c r="H30" s="76"/>
      <c r="I30" s="66"/>
      <c r="J30" s="62"/>
    </row>
    <row r="31" spans="1:14" ht="15.75">
      <c r="A31" s="76"/>
      <c r="B31" s="792" t="str">
        <f>VLOOKUP(pos(B31),'Language-Sprachen'!$A$4:$G$99,'Language-Sprachen'!$A$3,0)</f>
        <v>Result / Certificate No.</v>
      </c>
      <c r="C31" s="475"/>
      <c r="D31" s="475"/>
      <c r="E31" s="475"/>
      <c r="F31" s="476"/>
      <c r="G31" s="1232"/>
      <c r="H31" s="76"/>
      <c r="I31" s="66"/>
      <c r="J31" s="62"/>
    </row>
    <row r="32" spans="1:14" ht="15">
      <c r="A32" s="76"/>
      <c r="B32" s="239"/>
      <c r="C32" s="55"/>
      <c r="D32" s="55"/>
      <c r="E32" s="55"/>
      <c r="F32" s="115"/>
      <c r="G32" s="387"/>
      <c r="H32" s="387"/>
      <c r="I32" s="388"/>
      <c r="J32" s="62"/>
    </row>
    <row r="33" spans="1:14" ht="15.75">
      <c r="A33" s="76"/>
      <c r="B33" s="795" t="str">
        <f>VLOOKUP(pos(B33),'Language-Sprachen'!$A$4:$G$99,'Language-Sprachen'!$A$3,0)</f>
        <v>Product Group(s):</v>
      </c>
      <c r="C33" s="793" t="str">
        <f>VLOOKUP(pos(C33),'Language-Sprachen'!$A$4:$G$99,'Language-Sprachen'!$A$3,0)</f>
        <v>First:</v>
      </c>
      <c r="D33" s="793" t="str">
        <f>VLOOKUP(pos(D33),'Language-Sprachen'!$A$4:$G$99,'Language-Sprachen'!$A$3,0)</f>
        <v>Second:</v>
      </c>
      <c r="E33" s="793" t="str">
        <f>VLOOKUP(pos(E33),'Language-Sprachen'!$A$4:$G$99,'Language-Sprachen'!$A$3,0)</f>
        <v>Third:</v>
      </c>
      <c r="F33" s="794" t="str">
        <f>VLOOKUP(pos(F33),'Language-Sprachen'!$A$4:$G$99,'Language-Sprachen'!$A$3,0)</f>
        <v>Fourth:</v>
      </c>
      <c r="G33" s="76"/>
      <c r="H33" s="76"/>
      <c r="I33" s="66"/>
      <c r="J33" s="61"/>
    </row>
    <row r="34" spans="1:14" ht="15.75">
      <c r="A34" s="76"/>
      <c r="B34" s="796" t="str">
        <f>VLOOKUP(pos(B34),'Language-Sprachen'!$A$4:$G$99,'Language-Sprachen'!$A$3,0)</f>
        <v>Description</v>
      </c>
      <c r="C34" s="1235" t="s">
        <v>795</v>
      </c>
      <c r="D34" s="391"/>
      <c r="E34" s="391"/>
      <c r="F34" s="392"/>
      <c r="G34" s="76"/>
      <c r="H34" s="76"/>
      <c r="I34" s="66"/>
      <c r="J34" s="61"/>
      <c r="K34" s="1379"/>
      <c r="L34" s="1380"/>
      <c r="M34" s="1380"/>
      <c r="N34" s="1380"/>
    </row>
    <row r="35" spans="1:14" ht="18.75" customHeight="1">
      <c r="A35" s="76"/>
      <c r="B35" s="1167"/>
      <c r="C35" s="1167"/>
      <c r="D35" s="56"/>
      <c r="E35" s="56"/>
      <c r="F35" s="56"/>
      <c r="G35" s="1219"/>
      <c r="H35" s="1219"/>
      <c r="I35" s="1220"/>
      <c r="J35" s="64"/>
      <c r="K35" s="7"/>
    </row>
    <row r="36" spans="1:14" ht="40.5" customHeight="1">
      <c r="A36" s="76"/>
      <c r="B36" s="1168" t="str">
        <f>VLOOKUP(pos(B36),'Language-Sprachen'!$A$4:$G$99,'Language-Sprachen'!$A$3,0)</f>
        <v>Process Steps:</v>
      </c>
      <c r="C36" s="1169" t="str">
        <f>VLOOKUP(pos(C36),'Language-Sprachen'!$A$4:$G$99,'Language-Sprachen'!$A$3,0)</f>
        <v>Number of process steps</v>
      </c>
      <c r="D36" s="1129">
        <v>1</v>
      </c>
      <c r="E36" s="1384">
        <f>IF(ISBLANK(D36),$L$13,IF(D36=10,$L$14,$L$15))</f>
        <v>0</v>
      </c>
      <c r="F36" s="1385"/>
      <c r="G36" s="1386"/>
      <c r="H36" s="1386"/>
      <c r="I36" s="1387"/>
      <c r="J36" s="62"/>
    </row>
    <row r="37" spans="1:14" ht="16.5" customHeight="1">
      <c r="A37" s="76"/>
      <c r="C37" s="797" t="str">
        <f>B34&amp;" E1 - E10"</f>
        <v>Description E1 - E10</v>
      </c>
      <c r="D37" s="797" t="str">
        <f>VLOOKUP(pos(D37),'Language-Sprachen'!$A$4:$G$99,'Language-Sprachen'!$A$3,0)</f>
        <v>Process Step No.:</v>
      </c>
      <c r="E37" s="1218"/>
      <c r="F37" s="1383"/>
      <c r="G37" s="1383"/>
      <c r="H37" s="1381"/>
      <c r="I37" s="1382"/>
      <c r="J37" s="62"/>
    </row>
    <row r="38" spans="1:14" ht="46.5" customHeight="1">
      <c r="A38" s="76"/>
      <c r="B38" s="1217">
        <v>1</v>
      </c>
      <c r="C38" s="393" t="s">
        <v>1013</v>
      </c>
      <c r="D38" s="1128">
        <v>2</v>
      </c>
      <c r="E38" s="814"/>
      <c r="F38" s="1221"/>
      <c r="G38" s="1222"/>
      <c r="H38" s="1127"/>
      <c r="I38" s="810"/>
      <c r="J38" s="62"/>
    </row>
    <row r="39" spans="1:14" ht="38.25" customHeight="1">
      <c r="A39" s="76"/>
      <c r="B39" s="1255">
        <v>2</v>
      </c>
      <c r="C39" s="393" t="s">
        <v>1014</v>
      </c>
      <c r="D39" s="1128">
        <v>3</v>
      </c>
      <c r="E39" s="814"/>
      <c r="F39" s="1221"/>
      <c r="G39" s="1222"/>
      <c r="H39" s="1127"/>
      <c r="I39" s="810"/>
      <c r="J39" s="62"/>
    </row>
    <row r="40" spans="1:14" ht="29.25" customHeight="1">
      <c r="A40" s="76"/>
      <c r="B40" s="1255">
        <v>3</v>
      </c>
      <c r="C40" s="393" t="s">
        <v>1003</v>
      </c>
      <c r="D40" s="1128">
        <v>5</v>
      </c>
      <c r="E40" s="814"/>
      <c r="F40" s="1221"/>
      <c r="G40" s="1222"/>
      <c r="H40" s="1127"/>
      <c r="I40" s="810"/>
      <c r="J40" s="62"/>
    </row>
    <row r="41" spans="1:14" ht="21" customHeight="1">
      <c r="A41" s="76"/>
      <c r="B41" s="1255">
        <v>4</v>
      </c>
      <c r="C41" s="393" t="s">
        <v>1004</v>
      </c>
      <c r="D41" s="1128">
        <v>4</v>
      </c>
      <c r="E41" s="814"/>
      <c r="F41" s="1221"/>
      <c r="G41" s="1222"/>
      <c r="H41" s="1127"/>
      <c r="I41" s="810"/>
      <c r="J41" s="62"/>
    </row>
    <row r="42" spans="1:14" ht="30.75" customHeight="1">
      <c r="A42" s="76"/>
      <c r="B42" s="1255">
        <v>5</v>
      </c>
      <c r="C42" s="393" t="s">
        <v>1005</v>
      </c>
      <c r="D42" s="1128">
        <v>5</v>
      </c>
      <c r="E42" s="814"/>
      <c r="F42" s="1221"/>
      <c r="G42" s="1222"/>
      <c r="H42" s="1127"/>
      <c r="I42" s="810"/>
      <c r="J42" s="62"/>
    </row>
    <row r="43" spans="1:14" ht="21" customHeight="1">
      <c r="A43" s="76"/>
      <c r="B43" s="1255">
        <v>6</v>
      </c>
      <c r="C43" s="393" t="s">
        <v>790</v>
      </c>
      <c r="D43" s="1128">
        <v>6</v>
      </c>
      <c r="E43" s="814"/>
      <c r="F43" s="1221"/>
      <c r="G43" s="1222"/>
      <c r="H43" s="1127"/>
      <c r="I43" s="810"/>
      <c r="J43" s="62"/>
    </row>
    <row r="44" spans="1:14" ht="21" customHeight="1">
      <c r="A44" s="76"/>
      <c r="B44" s="1255">
        <v>7</v>
      </c>
      <c r="C44" s="393" t="s">
        <v>791</v>
      </c>
      <c r="D44" s="1128">
        <v>7</v>
      </c>
      <c r="E44" s="814"/>
      <c r="F44" s="1221"/>
      <c r="G44" s="1222"/>
      <c r="H44" s="1127"/>
      <c r="I44" s="810"/>
      <c r="J44" s="62"/>
    </row>
    <row r="45" spans="1:14" ht="21" customHeight="1">
      <c r="A45" s="76"/>
      <c r="B45" s="1255">
        <v>8</v>
      </c>
      <c r="C45" s="393" t="s">
        <v>792</v>
      </c>
      <c r="D45" s="1128">
        <v>8</v>
      </c>
      <c r="E45" s="814"/>
      <c r="F45" s="1221"/>
      <c r="G45" s="1222"/>
      <c r="H45" s="1127"/>
      <c r="I45" s="810"/>
      <c r="J45" s="62"/>
    </row>
    <row r="46" spans="1:14" ht="21" customHeight="1">
      <c r="A46" s="76"/>
      <c r="B46" s="1255">
        <v>9</v>
      </c>
      <c r="C46" s="393" t="s">
        <v>793</v>
      </c>
      <c r="D46" s="1128">
        <v>9</v>
      </c>
      <c r="E46" s="814"/>
      <c r="F46" s="1221"/>
      <c r="G46" s="1222"/>
      <c r="H46" s="1127"/>
      <c r="I46" s="810"/>
      <c r="J46" s="62"/>
    </row>
    <row r="47" spans="1:14" ht="21" customHeight="1">
      <c r="A47" s="76"/>
      <c r="B47" s="1255">
        <v>10</v>
      </c>
      <c r="C47" s="393" t="s">
        <v>794</v>
      </c>
      <c r="D47" s="1128">
        <v>10</v>
      </c>
      <c r="E47" s="814"/>
      <c r="F47" s="1221"/>
      <c r="G47" s="1222"/>
      <c r="H47" s="1127"/>
      <c r="I47" s="810"/>
      <c r="J47" s="62"/>
    </row>
    <row r="48" spans="1:14" ht="18">
      <c r="A48" s="76"/>
      <c r="B48" s="792"/>
      <c r="C48" s="1226"/>
      <c r="D48" s="1227"/>
      <c r="E48" s="814"/>
      <c r="F48" s="1221"/>
      <c r="G48" s="1222"/>
      <c r="H48" s="811"/>
      <c r="I48" s="808"/>
      <c r="J48" s="62"/>
    </row>
    <row r="49" spans="1:10" ht="18">
      <c r="A49" s="76"/>
      <c r="B49" s="792"/>
      <c r="C49" s="813"/>
      <c r="D49" s="1227"/>
      <c r="E49" s="814"/>
      <c r="F49" s="1221"/>
      <c r="G49" s="1222"/>
      <c r="H49" s="811"/>
      <c r="I49" s="808"/>
      <c r="J49" s="62"/>
    </row>
    <row r="50" spans="1:10" ht="18" customHeight="1">
      <c r="A50" s="76"/>
      <c r="B50" s="1394" t="str">
        <f>VLOOKUP(pos(B50),'Language-Sprachen'!$A$4:$G$99,'Language-Sprachen'!$A$3,0)</f>
        <v>Assignment of process steps to products, please use "X"</v>
      </c>
      <c r="C50" s="1394" t="e">
        <f>VLOOKUP(pos(C50),'Language-Sprachen'!$A:$G,'Language-Sprachen'!$A$3,0)</f>
        <v>#N/A</v>
      </c>
      <c r="D50" s="1227"/>
      <c r="E50" s="814"/>
      <c r="F50" s="1223"/>
      <c r="G50" s="1126"/>
      <c r="H50" s="1224"/>
      <c r="I50" s="1225"/>
      <c r="J50" s="62"/>
    </row>
    <row r="51" spans="1:10" ht="18.75" customHeight="1">
      <c r="A51" s="76"/>
      <c r="B51" s="1395" t="e">
        <f>VLOOKUP(pos(B51),'Language-Sprachen'!$A:$G,'Language-Sprachen'!$A$3,0)</f>
        <v>#N/A</v>
      </c>
      <c r="C51" s="1395" t="str">
        <f>VLOOKUP(pos(C51),'Language-Sprachen'!$A:$G,'Language-Sprachen'!$A$3,0)</f>
        <v>Are the manufacturing and inspection specifications derived from the product and process development and are they implemented?</v>
      </c>
      <c r="D51" s="812"/>
      <c r="E51" s="813"/>
      <c r="F51" s="812"/>
      <c r="G51" s="1219"/>
      <c r="H51" s="1219"/>
      <c r="I51" s="1220"/>
      <c r="J51" s="62"/>
    </row>
    <row r="52" spans="1:10" ht="18.75" customHeight="1">
      <c r="A52" s="76"/>
      <c r="B52" s="114"/>
      <c r="C52" s="798" t="str">
        <f>VLOOKUP(pos(C52),'Language-Sprachen'!$A$4:$G$99,'Language-Sprachen'!$A$3,0)</f>
        <v>Product Group 1</v>
      </c>
      <c r="D52" s="798" t="str">
        <f>VLOOKUP(pos(D52),'Language-Sprachen'!$A$4:$G$99,'Language-Sprachen'!$A$3,0)</f>
        <v>Product Group 2</v>
      </c>
      <c r="E52" s="798" t="str">
        <f>VLOOKUP(pos(E52),'Language-Sprachen'!$A$4:$G$99,'Language-Sprachen'!$A$3,0)</f>
        <v>Product Group 3</v>
      </c>
      <c r="F52" s="798" t="str">
        <f>VLOOKUP(pos(F52),'Language-Sprachen'!$A$4:$G$99,'Language-Sprachen'!$A$3,0)</f>
        <v>Product Group 4</v>
      </c>
      <c r="G52" s="76"/>
      <c r="H52" s="76"/>
      <c r="I52" s="66"/>
      <c r="J52" s="62"/>
    </row>
    <row r="53" spans="1:10" s="247" customFormat="1" ht="30" customHeight="1" thickBot="1">
      <c r="A53" s="65"/>
      <c r="B53" s="803" t="str">
        <f>B36</f>
        <v>Process Steps:</v>
      </c>
      <c r="C53" s="1236"/>
      <c r="D53" s="799" t="str">
        <f>IF(D34="","",D34)</f>
        <v/>
      </c>
      <c r="E53" s="799" t="str">
        <f>IF(E34="","",E34)</f>
        <v/>
      </c>
      <c r="F53" s="799" t="str">
        <f>IF(F34="","",F34)</f>
        <v/>
      </c>
      <c r="G53" s="65"/>
      <c r="H53" s="76"/>
      <c r="I53" s="66"/>
      <c r="J53" s="246"/>
    </row>
    <row r="54" spans="1:10" ht="18.75" customHeight="1" thickTop="1">
      <c r="A54" s="76"/>
      <c r="B54" s="786" t="str">
        <f>+PrSchr1</f>
        <v>Stage 1: Moldshop Process</v>
      </c>
      <c r="C54" s="785" t="s">
        <v>511</v>
      </c>
      <c r="D54" s="785"/>
      <c r="E54" s="785"/>
      <c r="F54" s="785"/>
      <c r="G54" s="76"/>
      <c r="H54" s="76"/>
      <c r="I54" s="66"/>
      <c r="J54" s="62"/>
    </row>
    <row r="55" spans="1:10" ht="18.75" hidden="1" customHeight="1">
      <c r="A55" s="76"/>
      <c r="B55" s="786" t="str">
        <f>+PrSchr2</f>
        <v>Stage 2:</v>
      </c>
      <c r="C55" s="785" t="s">
        <v>511</v>
      </c>
      <c r="D55" s="785"/>
      <c r="E55" s="785"/>
      <c r="F55" s="785"/>
      <c r="G55" s="76"/>
      <c r="H55" s="76"/>
      <c r="I55" s="66"/>
      <c r="J55" s="62"/>
    </row>
    <row r="56" spans="1:10" ht="18.75" hidden="1" customHeight="1">
      <c r="A56" s="76"/>
      <c r="B56" s="786" t="str">
        <f>+PrSchr3</f>
        <v>Stage 3</v>
      </c>
      <c r="C56" s="785" t="s">
        <v>511</v>
      </c>
      <c r="D56" s="785"/>
      <c r="E56" s="785"/>
      <c r="F56" s="785"/>
      <c r="G56" s="76"/>
      <c r="H56" s="76"/>
      <c r="I56" s="66"/>
      <c r="J56" s="62"/>
    </row>
    <row r="57" spans="1:10" ht="18.75" hidden="1" customHeight="1">
      <c r="A57" s="76"/>
      <c r="B57" s="786" t="str">
        <f>+PrSchr4</f>
        <v>Stage 4</v>
      </c>
      <c r="C57" s="785" t="s">
        <v>511</v>
      </c>
      <c r="D57" s="785"/>
      <c r="E57" s="785"/>
      <c r="F57" s="785"/>
      <c r="G57" s="76"/>
      <c r="H57" s="76"/>
      <c r="I57" s="66"/>
      <c r="J57" s="62"/>
    </row>
    <row r="58" spans="1:10" ht="18.75" hidden="1" customHeight="1">
      <c r="A58" s="76"/>
      <c r="B58" s="786" t="str">
        <f>+PrSchr5</f>
        <v>Stage 5</v>
      </c>
      <c r="C58" s="785" t="s">
        <v>511</v>
      </c>
      <c r="D58" s="785"/>
      <c r="E58" s="785"/>
      <c r="F58" s="785"/>
      <c r="G58" s="76"/>
      <c r="H58" s="76"/>
      <c r="I58" s="66"/>
      <c r="J58" s="62"/>
    </row>
    <row r="59" spans="1:10" ht="18.75" hidden="1" customHeight="1">
      <c r="A59" s="76"/>
      <c r="B59" s="786" t="str">
        <f>+PrSchr6</f>
        <v>Stage 6</v>
      </c>
      <c r="C59" s="785"/>
      <c r="D59" s="785"/>
      <c r="E59" s="785"/>
      <c r="F59" s="785"/>
      <c r="G59" s="76"/>
      <c r="H59" s="76"/>
      <c r="I59" s="66"/>
      <c r="J59" s="62"/>
    </row>
    <row r="60" spans="1:10" ht="18.75" hidden="1" customHeight="1">
      <c r="A60" s="76"/>
      <c r="B60" s="786" t="str">
        <f>+PrSchr7</f>
        <v>Stage 7</v>
      </c>
      <c r="C60" s="785"/>
      <c r="D60" s="785"/>
      <c r="E60" s="785"/>
      <c r="F60" s="785"/>
      <c r="G60" s="76"/>
      <c r="H60" s="76"/>
      <c r="I60" s="66"/>
      <c r="J60" s="62"/>
    </row>
    <row r="61" spans="1:10" ht="18.75" hidden="1" customHeight="1">
      <c r="A61" s="76"/>
      <c r="B61" s="786" t="str">
        <f>+PrSchr8</f>
        <v>Stage 8</v>
      </c>
      <c r="C61" s="785"/>
      <c r="D61" s="785"/>
      <c r="E61" s="785"/>
      <c r="F61" s="785"/>
      <c r="G61" s="76"/>
      <c r="H61" s="76"/>
      <c r="I61" s="66"/>
      <c r="J61" s="62"/>
    </row>
    <row r="62" spans="1:10" ht="18.75" hidden="1" customHeight="1">
      <c r="A62" s="76"/>
      <c r="B62" s="786" t="str">
        <f>+PrSchr9</f>
        <v>Stage 9</v>
      </c>
      <c r="C62" s="785"/>
      <c r="D62" s="785"/>
      <c r="E62" s="785"/>
      <c r="F62" s="785"/>
      <c r="G62" s="76"/>
      <c r="H62" s="76"/>
      <c r="I62" s="66"/>
      <c r="J62" s="62"/>
    </row>
    <row r="63" spans="1:10" ht="18.75" hidden="1" customHeight="1">
      <c r="A63" s="76"/>
      <c r="B63" s="786" t="str">
        <f>+PrSchr10</f>
        <v>Stage 10</v>
      </c>
      <c r="C63" s="785"/>
      <c r="D63" s="785"/>
      <c r="E63" s="785"/>
      <c r="F63" s="785"/>
      <c r="G63" s="76"/>
      <c r="H63" s="76"/>
      <c r="I63" s="66"/>
      <c r="J63" s="62"/>
    </row>
    <row r="64" spans="1:10" ht="48" customHeight="1">
      <c r="A64" s="76"/>
      <c r="B64" s="804" t="str">
        <f>VLOOKUP(pos(B64),'Language-Sprachen'!$A$4:$G$99,'Language-Sprachen'!$A$3,0)</f>
        <v>Number of process steps for each product group</v>
      </c>
      <c r="C64" s="800">
        <f>SUBTOTAL(103,C54:C63)</f>
        <v>1</v>
      </c>
      <c r="D64" s="800">
        <f>SUBTOTAL(103,D54:D63)</f>
        <v>0</v>
      </c>
      <c r="E64" s="800">
        <f>SUBTOTAL(103,E54:E63)</f>
        <v>0</v>
      </c>
      <c r="F64" s="800">
        <f>SUBTOTAL(103,F54:F63)</f>
        <v>0</v>
      </c>
      <c r="G64" s="387"/>
      <c r="H64" s="387"/>
      <c r="I64" s="388"/>
      <c r="J64" s="62"/>
    </row>
    <row r="65" spans="1:10" ht="15.75">
      <c r="A65" s="76"/>
      <c r="B65" s="805" t="str">
        <f>VLOOKUP(pos(B65),'Language-Sprachen'!$A$4:$G$99,'Language-Sprachen'!$A$3,0)</f>
        <v>Distribution at the audited unit</v>
      </c>
      <c r="C65" s="801" t="str">
        <f>E17</f>
        <v>Name:</v>
      </c>
      <c r="D65" s="471"/>
      <c r="E65" s="55"/>
      <c r="F65" s="57" t="str">
        <f>C65</f>
        <v>Name:</v>
      </c>
      <c r="G65" s="57" t="str">
        <f>D66</f>
        <v>Department:</v>
      </c>
      <c r="H65" s="76"/>
      <c r="I65" s="66"/>
      <c r="J65" s="62"/>
    </row>
    <row r="66" spans="1:10" ht="20.100000000000001" customHeight="1">
      <c r="A66" s="76"/>
      <c r="B66" s="792" t="str">
        <f>VLOOKUP(pos(B66),'Language-Sprachen'!$A$4:$G$99,'Language-Sprachen'!$A$3,0)</f>
        <v>Company (brief form):</v>
      </c>
      <c r="C66" s="477"/>
      <c r="D66" s="802" t="str">
        <f>D13</f>
        <v>Department:</v>
      </c>
      <c r="E66" s="1378" t="str">
        <f>VLOOKUP(pos(E66),'Language-Sprachen'!$A$4:$G$99,'Language-Sprachen'!$A$3,0)</f>
        <v>Participants:</v>
      </c>
      <c r="F66" s="483"/>
      <c r="G66" s="479"/>
      <c r="H66" s="76"/>
      <c r="I66" s="66"/>
      <c r="J66" s="62"/>
    </row>
    <row r="67" spans="1:10" ht="20.100000000000001" customHeight="1">
      <c r="A67" s="76"/>
      <c r="B67" s="792" t="str">
        <f>VLOOKUP(pos(B67),'Language-Sprachen'!$A$4:$G$99,'Language-Sprachen'!$A$3,0)</f>
        <v>Distribution 1 Company:</v>
      </c>
      <c r="C67" s="1234"/>
      <c r="D67" s="479"/>
      <c r="E67" s="1378" t="e">
        <f>VLOOKUP(pos(E67),'Language-Sprachen'!$A$4:$G$99,'Language-Sprachen'!$A$3,0)</f>
        <v>#N/A</v>
      </c>
      <c r="F67" s="483"/>
      <c r="G67" s="479"/>
      <c r="H67" s="76"/>
      <c r="I67" s="66"/>
      <c r="J67" s="62"/>
    </row>
    <row r="68" spans="1:10" ht="20.100000000000001" customHeight="1">
      <c r="A68" s="76"/>
      <c r="B68" s="792" t="str">
        <f>VLOOKUP(pos(B68),'Language-Sprachen'!$A$4:$G$99,'Language-Sprachen'!$A$3,0)</f>
        <v>Distribution 2 Company:</v>
      </c>
      <c r="C68" s="1234"/>
      <c r="D68" s="479"/>
      <c r="E68" s="513"/>
      <c r="F68" s="477"/>
      <c r="G68" s="479"/>
      <c r="H68" s="76"/>
      <c r="I68" s="66"/>
      <c r="J68" s="62"/>
    </row>
    <row r="69" spans="1:10" ht="20.100000000000001" customHeight="1">
      <c r="A69" s="76"/>
      <c r="B69" s="796" t="str">
        <f>VLOOKUP(pos(B69),'Language-Sprachen'!$A$4:$G$99,'Language-Sprachen'!$A$3,0)</f>
        <v>Distribution 3 Company:</v>
      </c>
      <c r="C69" s="1234"/>
      <c r="D69" s="479"/>
      <c r="E69" s="471"/>
      <c r="F69" s="484"/>
      <c r="G69" s="76"/>
      <c r="H69" s="76"/>
      <c r="I69" s="66"/>
      <c r="J69" s="62"/>
    </row>
    <row r="70" spans="1:10" ht="20.100000000000001" customHeight="1">
      <c r="A70" s="76"/>
      <c r="B70" s="796" t="str">
        <f>VLOOKUP(pos(B70),'Language-Sprachen'!$A$4:$G$99,'Language-Sprachen'!$A$3,0)</f>
        <v>Distribution 4 Company:</v>
      </c>
      <c r="C70" s="1234"/>
      <c r="D70" s="479"/>
      <c r="E70" s="471"/>
      <c r="F70" s="484"/>
      <c r="G70" s="76"/>
      <c r="H70" s="76"/>
      <c r="I70" s="66"/>
      <c r="J70" s="62"/>
    </row>
    <row r="71" spans="1:10" ht="20.100000000000001" customHeight="1">
      <c r="A71" s="76"/>
      <c r="B71" s="796" t="str">
        <f>VLOOKUP(pos(B71),'Language-Sprachen'!$A$4:$G$99,'Language-Sprachen'!$A$3,0)</f>
        <v>Distribution 5 Company:</v>
      </c>
      <c r="C71" s="478"/>
      <c r="D71" s="479"/>
      <c r="E71" s="471"/>
      <c r="F71" s="484"/>
      <c r="G71" s="76"/>
      <c r="H71" s="76"/>
      <c r="I71" s="66"/>
      <c r="J71" s="62"/>
    </row>
    <row r="72" spans="1:10" ht="20.100000000000001" customHeight="1">
      <c r="A72" s="76"/>
      <c r="B72" s="796" t="str">
        <f>VLOOKUP(pos(B72),'Language-Sprachen'!$A$4:$G$99,'Language-Sprachen'!$A$3,0)</f>
        <v>Distribution 6 Company:</v>
      </c>
      <c r="C72" s="478"/>
      <c r="D72" s="479"/>
      <c r="E72" s="471"/>
      <c r="F72" s="484"/>
      <c r="G72" s="76"/>
      <c r="H72" s="76"/>
      <c r="I72" s="66"/>
      <c r="J72" s="62"/>
    </row>
    <row r="73" spans="1:10" ht="20.100000000000001" customHeight="1">
      <c r="A73" s="76"/>
      <c r="B73" s="795" t="str">
        <f>VLOOKUP(pos(B73),'Language-Sprachen'!$A$4:$G$99,'Language-Sprachen'!$A$3,0)</f>
        <v>Distribution Internal</v>
      </c>
      <c r="C73" s="806" t="str">
        <f>C65</f>
        <v>Name:</v>
      </c>
      <c r="D73" s="806" t="str">
        <f>D66</f>
        <v>Department:</v>
      </c>
      <c r="E73" s="471"/>
      <c r="F73" s="484" t="str">
        <f>C65</f>
        <v>Name:</v>
      </c>
      <c r="G73" s="484" t="str">
        <f>D66</f>
        <v>Department:</v>
      </c>
      <c r="H73" s="76"/>
      <c r="I73" s="66"/>
      <c r="J73" s="62"/>
    </row>
    <row r="74" spans="1:10" ht="20.100000000000001" customHeight="1">
      <c r="A74" s="76"/>
      <c r="B74" s="67" t="s">
        <v>15</v>
      </c>
      <c r="C74" s="483"/>
      <c r="D74" s="479"/>
      <c r="E74" s="807" t="str">
        <f>VLOOKUP(pos(E74),'Language-Sprachen'!$A$4:$G$99,'Language-Sprachen'!$A$3,0)</f>
        <v>Audit team:</v>
      </c>
      <c r="F74" s="483"/>
      <c r="G74" s="479"/>
      <c r="H74" s="76"/>
      <c r="I74" s="66"/>
      <c r="J74" s="62"/>
    </row>
    <row r="75" spans="1:10" ht="20.100000000000001" customHeight="1">
      <c r="A75" s="76"/>
      <c r="B75" s="67" t="s">
        <v>16</v>
      </c>
      <c r="C75" s="483"/>
      <c r="D75" s="479"/>
      <c r="E75" s="471"/>
      <c r="F75" s="483"/>
      <c r="G75" s="479"/>
      <c r="H75" s="76"/>
      <c r="I75" s="66"/>
      <c r="J75" s="62"/>
    </row>
    <row r="76" spans="1:10" ht="20.100000000000001" customHeight="1">
      <c r="A76" s="76"/>
      <c r="B76" s="67" t="s">
        <v>18</v>
      </c>
      <c r="C76" s="477"/>
      <c r="D76" s="479"/>
      <c r="E76" s="471"/>
      <c r="F76" s="477"/>
      <c r="G76" s="479"/>
      <c r="H76" s="76"/>
      <c r="I76" s="66"/>
      <c r="J76" s="62"/>
    </row>
    <row r="77" spans="1:10" ht="20.100000000000001" customHeight="1">
      <c r="A77" s="76"/>
      <c r="B77" s="67" t="s">
        <v>20</v>
      </c>
      <c r="C77" s="477"/>
      <c r="D77" s="479"/>
      <c r="E77" s="55"/>
      <c r="F77" s="57"/>
      <c r="G77" s="76"/>
      <c r="H77" s="76"/>
      <c r="I77" s="66"/>
      <c r="J77" s="62"/>
    </row>
    <row r="78" spans="1:10" ht="20.100000000000001" customHeight="1">
      <c r="A78" s="76"/>
      <c r="B78" s="67" t="s">
        <v>21</v>
      </c>
      <c r="C78" s="477"/>
      <c r="D78" s="479"/>
      <c r="E78" s="55"/>
      <c r="F78" s="57"/>
      <c r="G78" s="76"/>
      <c r="H78" s="76"/>
      <c r="I78" s="66"/>
      <c r="J78" s="62"/>
    </row>
    <row r="79" spans="1:10" ht="20.100000000000001" customHeight="1">
      <c r="A79" s="76"/>
      <c r="B79" s="67" t="s">
        <v>22</v>
      </c>
      <c r="C79" s="477"/>
      <c r="D79" s="479"/>
      <c r="E79" s="55"/>
      <c r="F79" s="57"/>
      <c r="G79" s="76"/>
      <c r="H79" s="76"/>
      <c r="I79" s="66"/>
      <c r="J79" s="62"/>
    </row>
    <row r="80" spans="1:10" ht="20.100000000000001" customHeight="1">
      <c r="A80" s="76"/>
      <c r="B80" s="67" t="s">
        <v>23</v>
      </c>
      <c r="C80" s="477"/>
      <c r="D80" s="479"/>
      <c r="E80" s="55"/>
      <c r="F80" s="57"/>
      <c r="G80" s="76"/>
      <c r="H80" s="76"/>
      <c r="I80" s="66"/>
      <c r="J80" s="62"/>
    </row>
    <row r="81" spans="1:10" ht="20.100000000000001" customHeight="1">
      <c r="A81" s="76"/>
      <c r="B81" s="240"/>
      <c r="C81" s="76"/>
      <c r="D81" s="76"/>
      <c r="E81" s="76"/>
      <c r="F81" s="57"/>
      <c r="G81" s="76"/>
      <c r="H81" s="76"/>
      <c r="I81" s="66"/>
      <c r="J81" s="62"/>
    </row>
    <row r="82" spans="1:10" ht="20.100000000000001" customHeight="1">
      <c r="A82" s="76"/>
      <c r="F82" s="57"/>
      <c r="G82" s="76"/>
      <c r="H82" s="76"/>
      <c r="I82" s="66"/>
      <c r="J82" s="62"/>
    </row>
    <row r="83" spans="1:10" ht="20.100000000000001" customHeight="1">
      <c r="A83" s="76"/>
      <c r="F83" s="57"/>
      <c r="G83" s="76"/>
      <c r="H83" s="76"/>
      <c r="I83" s="66"/>
      <c r="J83" s="62"/>
    </row>
    <row r="84" spans="1:10" ht="20.100000000000001" customHeight="1">
      <c r="A84" s="76"/>
      <c r="F84" s="76"/>
      <c r="G84" s="76"/>
      <c r="H84" s="76"/>
      <c r="I84" s="66"/>
      <c r="J84" s="62"/>
    </row>
    <row r="85" spans="1:10">
      <c r="A85" s="387"/>
      <c r="B85" s="387"/>
      <c r="C85" s="387"/>
      <c r="D85" s="387"/>
      <c r="E85" s="387"/>
      <c r="F85" s="387"/>
      <c r="G85" s="387"/>
      <c r="H85" s="387"/>
      <c r="I85" s="388"/>
      <c r="J85" s="62"/>
    </row>
  </sheetData>
  <sheetProtection formatColumns="0" formatRows="0" selectLockedCells="1"/>
  <mergeCells count="14">
    <mergeCell ref="H9:I10"/>
    <mergeCell ref="B27:C27"/>
    <mergeCell ref="H17:I22"/>
    <mergeCell ref="B50:C51"/>
    <mergeCell ref="E14:F14"/>
    <mergeCell ref="E15:F15"/>
    <mergeCell ref="C12:F12"/>
    <mergeCell ref="E13:F13"/>
    <mergeCell ref="H14:I14"/>
    <mergeCell ref="E66:E67"/>
    <mergeCell ref="K34:N34"/>
    <mergeCell ref="H37:I37"/>
    <mergeCell ref="F37:G37"/>
    <mergeCell ref="E36:I36"/>
  </mergeCells>
  <phoneticPr fontId="13" type="noConversion"/>
  <dataValidations xWindow="48" yWindow="388" count="2">
    <dataValidation type="whole" allowBlank="1" showErrorMessage="1" promptTitle="PROZESSSCHRITTE" prompt="Bitte geben Sie die Anzahl der Prozessschitte (min. 1 - max. 10) an." sqref="D36" xr:uid="{00000000-0002-0000-0200-000000000000}">
      <formula1>1</formula1>
      <formula2>10</formula2>
    </dataValidation>
    <dataValidation type="list" allowBlank="1" showInputMessage="1" showErrorMessage="1" sqref="C54:F63" xr:uid="{00000000-0002-0000-0200-000001000000}">
      <formula1>"X"</formula1>
    </dataValidation>
  </dataValidations>
  <pageMargins left="0.4" right="0.39370078740157483" top="0.59055118110236227" bottom="0.39370078740157483" header="0.19685039370078741" footer="0.19685039370078741"/>
  <pageSetup paperSize="9" scale="45" fitToHeight="0" orientation="portrait" r:id="rId1"/>
  <headerFooter scaleWithDoc="0">
    <oddHeader>&amp;L&amp;12Аудит процесса</oddHeader>
    <oddFooter>&amp;RСтраница &amp;P из &amp;N</oddFooter>
  </headerFooter>
  <rowBreaks count="1" manualBreakCount="1">
    <brk id="81" max="8" man="1"/>
  </rowBreaks>
  <drawing r:id="rId2"/>
  <legacyDrawing r:id="rId3"/>
  <controls>
    <mc:AlternateContent xmlns:mc="http://schemas.openxmlformats.org/markup-compatibility/2006">
      <mc:Choice Requires="x14">
        <control shapeId="16393" r:id="rId4" name="ComboBox1">
          <controlPr defaultSize="0" autoLine="0" linkedCell="'Language-Sprachen'!A2" listFillRange="Sprachen" r:id="rId5">
            <anchor moveWithCells="1">
              <from>
                <xdr:col>4</xdr:col>
                <xdr:colOff>47625</xdr:colOff>
                <xdr:row>2</xdr:row>
                <xdr:rowOff>28575</xdr:rowOff>
              </from>
              <to>
                <xdr:col>5</xdr:col>
                <xdr:colOff>838200</xdr:colOff>
                <xdr:row>4</xdr:row>
                <xdr:rowOff>66675</xdr:rowOff>
              </to>
            </anchor>
          </controlPr>
        </control>
      </mc:Choice>
      <mc:Fallback>
        <control shapeId="16393" r:id="rId4" name="ComboBox1"/>
      </mc:Fallback>
    </mc:AlternateContent>
    <mc:AlternateContent xmlns:mc="http://schemas.openxmlformats.org/markup-compatibility/2006">
      <mc:Choice Requires="x14">
        <control shapeId="16391" r:id="rId6" name="Spinner 7">
          <controlPr defaultSize="0" autoPict="0" macro="[0]!ProzessschritteEinAusblenden">
            <anchor moveWithCells="1" sizeWithCells="1">
              <from>
                <xdr:col>3</xdr:col>
                <xdr:colOff>1600200</xdr:colOff>
                <xdr:row>35</xdr:row>
                <xdr:rowOff>19050</xdr:rowOff>
              </from>
              <to>
                <xdr:col>3</xdr:col>
                <xdr:colOff>2286000</xdr:colOff>
                <xdr:row>35</xdr:row>
                <xdr:rowOff>495300</xdr:rowOff>
              </to>
            </anchor>
          </controlPr>
        </control>
      </mc:Choice>
    </mc:AlternateContent>
    <mc:AlternateContent xmlns:mc="http://schemas.openxmlformats.org/markup-compatibility/2006">
      <mc:Choice Requires="x14">
        <control shapeId="16394" r:id="rId7" name="Button 10">
          <controlPr defaultSize="0" print="0" autoFill="0" autoPict="0" macro="[0]!CreateCSV">
            <anchor moveWithCells="1" sizeWithCells="1">
              <from>
                <xdr:col>7</xdr:col>
                <xdr:colOff>9525</xdr:colOff>
                <xdr:row>0</xdr:row>
                <xdr:rowOff>76200</xdr:rowOff>
              </from>
              <to>
                <xdr:col>8</xdr:col>
                <xdr:colOff>809625</xdr:colOff>
                <xdr:row>2</xdr:row>
                <xdr:rowOff>76200</xdr:rowOff>
              </to>
            </anchor>
          </controlPr>
        </control>
      </mc:Choice>
    </mc:AlternateContent>
    <mc:AlternateContent xmlns:mc="http://schemas.openxmlformats.org/markup-compatibility/2006">
      <mc:Choice Requires="x14">
        <control shapeId="16395" r:id="rId8" name="Button 11">
          <controlPr defaultSize="0" print="0" autoFill="0" autoPict="0" macro="[0]!ImportCSV">
            <anchor moveWithCells="1" sizeWithCells="1">
              <from>
                <xdr:col>7</xdr:col>
                <xdr:colOff>9525</xdr:colOff>
                <xdr:row>2</xdr:row>
                <xdr:rowOff>180975</xdr:rowOff>
              </from>
              <to>
                <xdr:col>8</xdr:col>
                <xdr:colOff>809625</xdr:colOff>
                <xdr:row>4</xdr:row>
                <xdr:rowOff>123825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ragen">
    <tabColor indexed="51"/>
    <pageSetUpPr fitToPage="1"/>
  </sheetPr>
  <dimension ref="A1:Q549"/>
  <sheetViews>
    <sheetView showGridLines="0" zoomScale="80" zoomScaleNormal="80" workbookViewId="0">
      <selection activeCell="C182" sqref="C182"/>
    </sheetView>
  </sheetViews>
  <sheetFormatPr defaultColWidth="11.42578125" defaultRowHeight="12.75" outlineLevelCol="1"/>
  <cols>
    <col min="1" max="1" width="8.140625" style="948" customWidth="1"/>
    <col min="2" max="2" width="4.28515625" style="949" customWidth="1"/>
    <col min="3" max="3" width="81.140625" style="950" customWidth="1"/>
    <col min="4" max="4" width="8" style="832" customWidth="1"/>
    <col min="5" max="5" width="49.5703125" style="951" customWidth="1"/>
    <col min="6" max="6" width="7.7109375" customWidth="1"/>
    <col min="7" max="10" width="3.7109375" style="16" customWidth="1"/>
    <col min="11" max="11" width="7.5703125" style="74" hidden="1" customWidth="1"/>
    <col min="12" max="12" width="0.42578125" style="74" hidden="1" customWidth="1"/>
    <col min="13" max="13" width="8.5703125" bestFit="1" customWidth="1"/>
    <col min="14" max="14" width="90" style="1259" customWidth="1"/>
    <col min="15" max="15" width="65.85546875" hidden="1" customWidth="1" outlineLevel="1"/>
    <col min="16" max="16" width="12.7109375" style="1266" customWidth="1" collapsed="1"/>
    <col min="17" max="17" width="10.7109375" style="335" customWidth="1"/>
    <col min="18" max="16384" width="11.42578125" style="74"/>
  </cols>
  <sheetData>
    <row r="1" spans="1:17" s="16" customFormat="1" ht="3.75" customHeight="1" thickBot="1">
      <c r="F1"/>
      <c r="M1"/>
      <c r="N1" s="1259"/>
      <c r="O1"/>
      <c r="P1" s="1260" t="s">
        <v>137</v>
      </c>
      <c r="Q1" s="335"/>
    </row>
    <row r="2" spans="1:17" ht="20.25" thickTop="1">
      <c r="A2" s="1006" t="s">
        <v>327</v>
      </c>
      <c r="B2" s="1450" t="s">
        <v>774</v>
      </c>
      <c r="C2" s="816" t="str">
        <f>VLOOKUP(pos(C2),'Language-Sprachen'!$A$200:$G$461,'Language-Sprachen'!$A$3,0)</f>
        <v>Process Audit</v>
      </c>
      <c r="D2" s="817"/>
      <c r="E2" s="1007" t="str">
        <f>'Input Form - EingabeMaske'!B9&amp;" "&amp;'Input Form - EingabeMaske'!C9</f>
        <v xml:space="preserve">Order No.: </v>
      </c>
      <c r="G2" s="1433" t="str">
        <f>IF(ISBLANK('Input Form - EingabeMaske'!C34),"--",'Input Form - EingabeMaske'!C34)</f>
        <v>Billets</v>
      </c>
      <c r="H2" s="1436" t="str">
        <f>IF(ISBLANK('Input Form - EingabeMaske'!D34),"--",'Input Form - EingabeMaske'!D34)</f>
        <v>--</v>
      </c>
      <c r="I2" s="1436" t="str">
        <f>IF(ISBLANK('Input Form - EingabeMaske'!E34),"--",'Input Form - EingabeMaske'!E34)</f>
        <v>--</v>
      </c>
      <c r="J2" s="1439" t="str">
        <f>IF(ISBLANK('Input Form - EingabeMaske'!F34),"--",'Input Form - EingabeMaske'!F34)</f>
        <v>--</v>
      </c>
      <c r="L2" s="818" t="str">
        <f>VLOOKUP(pos(L2),'Language-Sprachen'!$A$200:$G$461,'Language-Sprachen'!$A$3,0)</f>
        <v>Questions to be answered:</v>
      </c>
      <c r="M2" s="1261"/>
      <c r="N2" s="1262"/>
      <c r="O2" s="1230"/>
      <c r="P2" s="1263"/>
      <c r="Q2" s="1264"/>
    </row>
    <row r="3" spans="1:17" ht="21.75" customHeight="1">
      <c r="A3" s="1008">
        <f>'Evaluation-Bewertung'!BB76</f>
        <v>0.97</v>
      </c>
      <c r="B3" s="1451"/>
      <c r="C3" s="819" t="str">
        <f>VLOOKUP(pos(C3),'Language-Sprachen'!$A$200:$G$461,'Language-Sprachen'!$A$3,0)</f>
        <v>Result of the Questionnaire for Process audits</v>
      </c>
      <c r="D3" s="820"/>
      <c r="E3" s="1009" t="str">
        <f>'Input Form - EingabeMaske'!B10</f>
        <v>Date:</v>
      </c>
      <c r="G3" s="1434"/>
      <c r="H3" s="1437"/>
      <c r="I3" s="1437"/>
      <c r="J3" s="1440"/>
      <c r="L3" s="821" t="str">
        <f>VLOOKUP(pos(L3),'Language-Sprachen'!$A$200:$G$461,'Language-Sprachen'!$A$3,0)</f>
        <v>Questions answered:</v>
      </c>
      <c r="M3" s="1265"/>
      <c r="Q3" s="1267"/>
    </row>
    <row r="4" spans="1:17" s="824" customFormat="1" ht="16.5" customHeight="1">
      <c r="A4" s="1010" t="str">
        <f>'Evaluation-Bewertung'!BE76</f>
        <v>A</v>
      </c>
      <c r="B4" s="1451"/>
      <c r="C4" s="822" t="str">
        <f>'Input Form - EingabeMaske'!B21</f>
        <v>Location:</v>
      </c>
      <c r="D4" s="823"/>
      <c r="E4" s="1011">
        <f>IF('Input Form - EingabeMaske'!C10=0,"",'Input Form - EingabeMaske'!C10)</f>
        <v>45713</v>
      </c>
      <c r="F4"/>
      <c r="G4" s="1434"/>
      <c r="H4" s="1437"/>
      <c r="I4" s="1437"/>
      <c r="J4" s="1440"/>
      <c r="L4" s="818" t="str">
        <f>VLOOKUP(pos(L4),'Language-Sprachen'!$A$200:$G$461,'Language-Sprachen'!$A$3,0)</f>
        <v>All questions rated with 10 points</v>
      </c>
      <c r="M4" s="1268"/>
      <c r="N4" s="1259"/>
      <c r="O4" s="1269"/>
      <c r="P4" s="1270"/>
      <c r="Q4" s="1271"/>
    </row>
    <row r="5" spans="1:17" ht="2.25" customHeight="1">
      <c r="A5" s="1012"/>
      <c r="B5" s="1451"/>
      <c r="C5" s="825"/>
      <c r="D5" s="826"/>
      <c r="E5" s="1013"/>
      <c r="G5" s="1434"/>
      <c r="H5" s="1437"/>
      <c r="I5" s="1437"/>
      <c r="J5" s="1440"/>
      <c r="M5" s="1265"/>
      <c r="Q5" s="1267"/>
    </row>
    <row r="6" spans="1:17" ht="2.25" customHeight="1">
      <c r="A6" s="1012"/>
      <c r="B6" s="1451"/>
      <c r="C6" s="827"/>
      <c r="D6" s="828"/>
      <c r="E6" s="1014"/>
      <c r="G6" s="1434"/>
      <c r="H6" s="1437"/>
      <c r="I6" s="1437"/>
      <c r="J6" s="1440"/>
      <c r="M6" s="1265"/>
      <c r="Q6" s="1267"/>
    </row>
    <row r="7" spans="1:17" ht="15.75" customHeight="1" thickBot="1">
      <c r="A7" s="1015"/>
      <c r="B7" s="1452"/>
      <c r="C7" s="1016" t="str">
        <f>IF('Input Form - EingabeMaske'!C21=0,"",'Input Form - EingabeMaske'!C21)</f>
        <v/>
      </c>
      <c r="D7" s="1017"/>
      <c r="E7" s="1018"/>
      <c r="G7" s="1434"/>
      <c r="H7" s="1437"/>
      <c r="I7" s="1437"/>
      <c r="J7" s="1440"/>
      <c r="L7" s="818" t="str">
        <f>VLOOKUP(pos(L7),'Language-Sprachen'!$A$200:$G$461,'Language-Sprachen'!$A$3,0)</f>
        <v>Clear questionnaire</v>
      </c>
      <c r="M7" s="1265"/>
      <c r="Q7" s="1267"/>
    </row>
    <row r="8" spans="1:17" ht="38.25" customHeight="1" thickBot="1">
      <c r="A8" s="829"/>
      <c r="B8" s="830"/>
      <c r="C8" s="831"/>
      <c r="E8" s="1005"/>
      <c r="F8" s="1442" t="str">
        <f>'Actionplan-Maßnahmenplan'!I10</f>
        <v>Immediate action (x)</v>
      </c>
      <c r="G8" s="1434"/>
      <c r="H8" s="1437"/>
      <c r="I8" s="1437"/>
      <c r="J8" s="1440"/>
      <c r="M8" s="1265"/>
      <c r="Q8" s="1267"/>
    </row>
    <row r="9" spans="1:17" s="824" customFormat="1" ht="34.5" customHeight="1" thickTop="1" thickBot="1">
      <c r="A9" s="833" t="str">
        <f>VLOOKUP(pos(A9),'Language-Sprachen'!$A$200:$G$461,'Language-Sprachen'!$A$3,0)</f>
        <v>No.</v>
      </c>
      <c r="B9" s="834" t="str">
        <f>VLOOKUP(pos(B9),'Language-Sprachen'!$A$200:$G$461,'Language-Sprachen'!$A$3,0)</f>
        <v>Type</v>
      </c>
      <c r="C9" s="835" t="str">
        <f>VLOOKUP(pos(C9),'Language-Sprachen'!$A$200:$G$461,'Language-Sprachen'!$A$3,0)</f>
        <v>Question</v>
      </c>
      <c r="D9" s="836"/>
      <c r="E9" s="1203" t="str">
        <f>VLOOKUP(pos(E9),'Language-Sprachen'!$A$200:$G$461,'Language-Sprachen'!$A$3,0)</f>
        <v>Audit results</v>
      </c>
      <c r="F9" s="1443"/>
      <c r="G9" s="1435"/>
      <c r="H9" s="1438"/>
      <c r="I9" s="1438"/>
      <c r="J9" s="1441"/>
      <c r="M9" s="1272" t="s">
        <v>803</v>
      </c>
      <c r="N9" s="1273" t="s">
        <v>804</v>
      </c>
      <c r="O9" s="1274" t="s">
        <v>805</v>
      </c>
      <c r="P9" s="1275" t="s">
        <v>806</v>
      </c>
      <c r="Q9" s="1276" t="s">
        <v>807</v>
      </c>
    </row>
    <row r="10" spans="1:17" ht="15.75" hidden="1" customHeight="1">
      <c r="A10" s="837"/>
      <c r="B10" s="1001"/>
      <c r="C10" s="838"/>
      <c r="D10" s="1003"/>
      <c r="E10" s="839"/>
      <c r="G10" s="1186"/>
      <c r="H10" s="1187"/>
      <c r="I10" s="1187"/>
      <c r="J10" s="1188"/>
      <c r="M10" s="1277"/>
      <c r="N10" s="1278"/>
      <c r="P10" s="1279"/>
      <c r="Q10" s="1280"/>
    </row>
    <row r="11" spans="1:17" ht="16.5" hidden="1" customHeight="1" thickBot="1">
      <c r="A11" s="998"/>
      <c r="B11" s="1002"/>
      <c r="C11" s="999"/>
      <c r="D11" s="1004"/>
      <c r="E11" s="1000"/>
      <c r="G11" s="1189"/>
      <c r="H11" s="1184"/>
      <c r="I11" s="1184"/>
      <c r="J11" s="1190"/>
      <c r="M11" s="1277"/>
      <c r="N11" s="1278"/>
      <c r="P11" s="1281"/>
      <c r="Q11" s="1282"/>
    </row>
    <row r="12" spans="1:17" s="824" customFormat="1" ht="73.5" hidden="1" customHeight="1" thickBot="1">
      <c r="A12" s="840" t="s">
        <v>96</v>
      </c>
      <c r="B12" s="841" t="str">
        <f>epm</f>
        <v>n.e.</v>
      </c>
      <c r="C12" s="842" t="str">
        <f>VLOOKUP(pos(C12),'Language-Sprachen'!$A$200:$G$461,'Language-Sprachen'!$A$3,0)</f>
        <v>Project management</v>
      </c>
      <c r="D12" s="997" t="str">
        <f>VLOOKUP(pos(D12),'Language-Sprachen'!$A$200:$G$461,'Language-Sprachen'!$A$3,0)</f>
        <v>General</v>
      </c>
      <c r="E12" s="844" t="str">
        <f>L2&amp;" "&amp;'Evaluation-Bewertung'!M8&amp;"
"&amp;L3&amp;" "&amp;'Evaluation-Bewertung'!L8&amp;" /  7"</f>
        <v>Questions to be answered: 5
Questions answered: 0 /  7</v>
      </c>
      <c r="F12" s="1197"/>
      <c r="G12" s="1189"/>
      <c r="H12" s="1184"/>
      <c r="I12" s="1184"/>
      <c r="J12" s="1190"/>
      <c r="M12" s="1283" t="s">
        <v>808</v>
      </c>
      <c r="N12" s="1284"/>
      <c r="O12" s="1285"/>
      <c r="P12" s="1286"/>
      <c r="Q12" s="1287"/>
    </row>
    <row r="13" spans="1:17" s="824" customFormat="1" ht="15.75" hidden="1" customHeight="1">
      <c r="A13" s="845" t="s">
        <v>30</v>
      </c>
      <c r="B13" s="846"/>
      <c r="C13" s="847" t="str">
        <f>VLOOKUP(pos(C13),'Language-Sprachen'!$A$200:$G$461,'Language-Sprachen'!$A$3,0)</f>
        <v>Is a project management established with a project organisation?</v>
      </c>
      <c r="D13" s="359" t="s">
        <v>658</v>
      </c>
      <c r="E13" s="952" t="str">
        <f t="shared" ref="E13:E19" si="0">IF(ISBLANK(D13),$L$13,IF(D13=10,$L$14,$L$15))</f>
        <v>Enter text</v>
      </c>
      <c r="F13" s="1204"/>
      <c r="G13" s="1189"/>
      <c r="H13" s="1184"/>
      <c r="I13" s="1184"/>
      <c r="J13" s="1190"/>
      <c r="L13" s="821" t="str">
        <f>VLOOKUP(pos(L13),'Language-Sprachen'!$A$200:$G$461,'Language-Sprachen'!$A$3,0)</f>
        <v>Please rate!</v>
      </c>
      <c r="M13" s="1288" t="s">
        <v>808</v>
      </c>
      <c r="N13" s="1289" t="s">
        <v>809</v>
      </c>
      <c r="O13" s="1290" t="s">
        <v>810</v>
      </c>
      <c r="P13" s="1291"/>
      <c r="Q13" s="1292">
        <v>1010</v>
      </c>
    </row>
    <row r="14" spans="1:17" s="824" customFormat="1" ht="30" hidden="1" customHeight="1">
      <c r="A14" s="848" t="s">
        <v>132</v>
      </c>
      <c r="B14" s="846"/>
      <c r="C14" s="849" t="str">
        <f>VLOOKUP(pos(C14),'Language-Sprachen'!$A$200:$G$461,'Language-Sprachen'!$A$3,0)</f>
        <v>Are all resources required for the project implementation planned and available and are changes reported?</v>
      </c>
      <c r="D14" s="350" t="s">
        <v>658</v>
      </c>
      <c r="E14" s="952" t="str">
        <f t="shared" si="0"/>
        <v>Enter text</v>
      </c>
      <c r="F14" s="1204"/>
      <c r="G14" s="1189"/>
      <c r="H14" s="1184"/>
      <c r="I14" s="1184"/>
      <c r="J14" s="1190"/>
      <c r="L14" s="821" t="str">
        <f>VLOOKUP(pos(L14),'Language-Sprachen'!$A$200:$G$461,'Language-Sprachen'!$A$3,0)</f>
        <v>No weak points identified</v>
      </c>
      <c r="M14" s="1293" t="s">
        <v>808</v>
      </c>
      <c r="N14" s="1294" t="s">
        <v>811</v>
      </c>
      <c r="O14" s="1295" t="s">
        <v>812</v>
      </c>
      <c r="P14" s="1291"/>
      <c r="Q14" s="1292">
        <v>1110</v>
      </c>
    </row>
    <row r="15" spans="1:17" s="824" customFormat="1" ht="15.75" hidden="1" customHeight="1">
      <c r="A15" s="848" t="s">
        <v>133</v>
      </c>
      <c r="B15" s="846"/>
      <c r="C15" s="847" t="str">
        <f>VLOOKUP(pos(C15),'Language-Sprachen'!$A$200:$G$461,'Language-Sprachen'!$A$3,0)</f>
        <v>Is there a project plan and has this been agreed with the customer?</v>
      </c>
      <c r="D15" s="350" t="s">
        <v>658</v>
      </c>
      <c r="E15" s="952" t="str">
        <f t="shared" si="0"/>
        <v>Enter text</v>
      </c>
      <c r="F15" s="1204"/>
      <c r="G15" s="1189"/>
      <c r="H15" s="1184"/>
      <c r="I15" s="1184"/>
      <c r="J15" s="1190"/>
      <c r="L15" s="821" t="str">
        <f>VLOOKUP(pos(L15),'Language-Sprachen'!$A$200:$G$461,'Language-Sprachen'!$A$3,0)</f>
        <v>Enter text</v>
      </c>
      <c r="M15" s="1293" t="s">
        <v>808</v>
      </c>
      <c r="N15" s="1294" t="s">
        <v>813</v>
      </c>
      <c r="O15" s="1295" t="s">
        <v>814</v>
      </c>
      <c r="P15" s="1291" t="s">
        <v>137</v>
      </c>
      <c r="Q15" s="1296" t="s">
        <v>815</v>
      </c>
    </row>
    <row r="16" spans="1:17" s="824" customFormat="1" ht="30" hidden="1" customHeight="1">
      <c r="A16" s="848" t="s">
        <v>74</v>
      </c>
      <c r="B16" s="846"/>
      <c r="C16" s="847" t="str">
        <f>VLOOKUP(pos(C16),'Language-Sprachen'!$A$200:$G$461,'Language-Sprachen'!$A$3,0)</f>
        <v>Is the advanced product quality planning implemented within the project and monitored for compliance?</v>
      </c>
      <c r="D16" s="350" t="s">
        <v>658</v>
      </c>
      <c r="E16" s="952" t="str">
        <f t="shared" si="0"/>
        <v>Enter text</v>
      </c>
      <c r="F16" s="1204"/>
      <c r="G16" s="1189"/>
      <c r="H16" s="1184"/>
      <c r="I16" s="1184"/>
      <c r="J16" s="1190"/>
      <c r="M16" s="1293" t="s">
        <v>808</v>
      </c>
      <c r="N16" s="1294" t="s">
        <v>816</v>
      </c>
      <c r="O16" s="1295" t="s">
        <v>817</v>
      </c>
      <c r="P16" s="1291"/>
      <c r="Q16" s="1292">
        <v>2030</v>
      </c>
    </row>
    <row r="17" spans="1:17" s="824" customFormat="1" ht="30" hidden="1" customHeight="1">
      <c r="A17" s="850" t="s">
        <v>134</v>
      </c>
      <c r="B17" s="851" t="s">
        <v>7</v>
      </c>
      <c r="C17" s="847" t="str">
        <f>VLOOKUP(pos(C17),'Language-Sprachen'!$A$200:$G$461,'Language-Sprachen'!$A$3,0)</f>
        <v>Are the procurement activities of the project implemented and monitored for compliance?</v>
      </c>
      <c r="D17" s="394" t="s">
        <v>658</v>
      </c>
      <c r="E17" s="952" t="str">
        <f t="shared" si="0"/>
        <v>Enter text</v>
      </c>
      <c r="F17" s="1204"/>
      <c r="G17" s="1189"/>
      <c r="H17" s="1184"/>
      <c r="I17" s="1184"/>
      <c r="J17" s="1190"/>
      <c r="M17" s="1293" t="s">
        <v>808</v>
      </c>
      <c r="N17" s="1294" t="s">
        <v>818</v>
      </c>
      <c r="O17" s="1295" t="s">
        <v>819</v>
      </c>
      <c r="P17" s="1291" t="s">
        <v>820</v>
      </c>
      <c r="Q17" s="1292">
        <v>2050</v>
      </c>
    </row>
    <row r="18" spans="1:17" s="824" customFormat="1" ht="15.75" hidden="1" customHeight="1">
      <c r="A18" s="850" t="s">
        <v>135</v>
      </c>
      <c r="B18" s="851" t="s">
        <v>7</v>
      </c>
      <c r="C18" s="847" t="str">
        <f>VLOOKUP(pos(C18),'Language-Sprachen'!$A$200:$G$461,'Language-Sprachen'!$A$3,0)</f>
        <v xml:space="preserve">Is change management within the project ensured by the project organisation?  </v>
      </c>
      <c r="D18" s="394" t="s">
        <v>658</v>
      </c>
      <c r="E18" s="952" t="str">
        <f t="shared" si="0"/>
        <v>Enter text</v>
      </c>
      <c r="F18" s="1204"/>
      <c r="G18" s="1189"/>
      <c r="H18" s="1184"/>
      <c r="I18" s="1184"/>
      <c r="J18" s="1190"/>
      <c r="M18" s="1293" t="s">
        <v>808</v>
      </c>
      <c r="N18" s="1294" t="s">
        <v>821</v>
      </c>
      <c r="O18" s="1295" t="s">
        <v>822</v>
      </c>
      <c r="P18" s="1291" t="s">
        <v>823</v>
      </c>
      <c r="Q18" s="1297" t="s">
        <v>824</v>
      </c>
    </row>
    <row r="19" spans="1:17" s="824" customFormat="1" ht="30.75" hidden="1" customHeight="1" thickBot="1">
      <c r="A19" s="852" t="s">
        <v>136</v>
      </c>
      <c r="B19" s="853"/>
      <c r="C19" s="854" t="str">
        <f>VLOOKUP(pos(C19),'Language-Sprachen'!$A$200:$G$461,'Language-Sprachen'!$A$3,0)</f>
        <v>Is there an escalation process established and is this effectively implemented?</v>
      </c>
      <c r="D19" s="395" t="s">
        <v>658</v>
      </c>
      <c r="E19" s="953" t="str">
        <f t="shared" si="0"/>
        <v>Enter text</v>
      </c>
      <c r="F19" s="1204"/>
      <c r="G19" s="1189"/>
      <c r="H19" s="1184"/>
      <c r="I19" s="1184"/>
      <c r="J19" s="1190"/>
      <c r="M19" s="1298" t="s">
        <v>808</v>
      </c>
      <c r="N19" s="1299" t="s">
        <v>825</v>
      </c>
      <c r="O19" s="1300" t="s">
        <v>826</v>
      </c>
      <c r="P19" s="1291"/>
      <c r="Q19" s="1301" t="s">
        <v>827</v>
      </c>
    </row>
    <row r="20" spans="1:17" s="858" customFormat="1" ht="31.5" hidden="1">
      <c r="A20" s="1444" t="s">
        <v>97</v>
      </c>
      <c r="B20" s="855" t="str">
        <f>IF('Evaluation-Bewertung'!J14&lt;'Evaluation-Bewertung'!K14,$D$382,epdp)</f>
        <v>n.e.</v>
      </c>
      <c r="C20" s="1446" t="str">
        <f>VLOOKUP(pos(C20),'Language-Sprachen'!$A$200:$G$461,'Language-Sprachen'!$A$3,0)</f>
        <v>Planning the product and process development</v>
      </c>
      <c r="D20" s="856" t="str">
        <f>VLOOKUP(pos(D20),'Language-Sprachen'!$A$200:$G$461,'Language-Sprachen'!$A$3,0)</f>
        <v>Pro-duct</v>
      </c>
      <c r="E20" s="857" t="str">
        <f>L2&amp;" "&amp;'Evaluation-Bewertung'!K14&amp;"
"&amp;L3&amp;" "&amp;'Evaluation-Bewertung'!J14&amp;" /  5"</f>
        <v>Questions to be answered: 4
Questions answered: 0 /  5</v>
      </c>
      <c r="F20" s="1198"/>
      <c r="G20" s="1189"/>
      <c r="H20" s="1184"/>
      <c r="I20" s="1184"/>
      <c r="J20" s="1190"/>
      <c r="M20" s="1302" t="s">
        <v>808</v>
      </c>
      <c r="N20" s="1303"/>
      <c r="O20" s="1303"/>
      <c r="P20" s="1304"/>
      <c r="Q20" s="1305"/>
    </row>
    <row r="21" spans="1:17" s="858" customFormat="1" ht="32.25" hidden="1" thickBot="1">
      <c r="A21" s="1445"/>
      <c r="B21" s="859" t="str">
        <f>IF('Evaluation-Bewertung'!U14&lt;'Evaluation-Bewertung'!V14,$D$382,epzp)</f>
        <v>n.e.</v>
      </c>
      <c r="C21" s="1447"/>
      <c r="D21" s="860" t="str">
        <f>VLOOKUP(pos(D21),'Language-Sprachen'!$A$200:$G$461,'Language-Sprachen'!$A$3,0)</f>
        <v>Pro-cess</v>
      </c>
      <c r="E21" s="861" t="str">
        <f>L2&amp;" "&amp;'Evaluation-Bewertung'!V14&amp;"
"&amp;L3&amp;" "&amp;'Evaluation-Bewertung'!U14&amp;" /  5"</f>
        <v>Questions to be answered: 4
Questions answered: 0 /  5</v>
      </c>
      <c r="F21" s="1200"/>
      <c r="G21" s="1189"/>
      <c r="H21" s="1184"/>
      <c r="I21" s="1184"/>
      <c r="J21" s="1190"/>
      <c r="M21" s="1306" t="s">
        <v>808</v>
      </c>
      <c r="N21" s="1307"/>
      <c r="O21" s="1307"/>
      <c r="P21" s="1308"/>
      <c r="Q21" s="1309"/>
    </row>
    <row r="22" spans="1:17" s="824" customFormat="1" ht="16.5" hidden="1" customHeight="1" thickBot="1">
      <c r="A22" s="862" t="s">
        <v>78</v>
      </c>
      <c r="B22" s="863"/>
      <c r="C22" s="864" t="str">
        <f>VLOOKUP(pos(C22),'Language-Sprachen'!$A$200:$G$461,'Language-Sprachen'!$A$3,0)</f>
        <v>Are the specific product and process requirements available?</v>
      </c>
      <c r="D22" s="1427"/>
      <c r="E22" s="1428"/>
      <c r="F22" s="1199"/>
      <c r="G22" s="1189"/>
      <c r="H22" s="1184"/>
      <c r="I22" s="1184"/>
      <c r="J22" s="1190"/>
      <c r="M22" s="1310" t="s">
        <v>808</v>
      </c>
      <c r="N22" s="1311"/>
      <c r="O22" s="1311"/>
      <c r="P22" s="1312"/>
      <c r="Q22" s="1313"/>
    </row>
    <row r="23" spans="1:17" s="824" customFormat="1" ht="15.75" hidden="1" customHeight="1">
      <c r="A23" s="865"/>
      <c r="B23" s="866"/>
      <c r="C23" s="867" t="str">
        <f>SUBSTITUTE(D20,"-","")</f>
        <v>Product</v>
      </c>
      <c r="D23" s="351" t="s">
        <v>658</v>
      </c>
      <c r="E23" s="954" t="str">
        <f>IF(ISBLANK(D23),$L$13,IF(D23=10,$L$14,$L$15))</f>
        <v>Enter text</v>
      </c>
      <c r="F23" s="1201"/>
      <c r="G23" s="1189"/>
      <c r="H23" s="1184"/>
      <c r="I23" s="1184"/>
      <c r="J23" s="1190"/>
      <c r="M23" s="1293" t="s">
        <v>808</v>
      </c>
      <c r="N23" s="1314" t="s">
        <v>828</v>
      </c>
      <c r="O23" s="1315" t="s">
        <v>829</v>
      </c>
      <c r="P23" s="1291" t="s">
        <v>830</v>
      </c>
      <c r="Q23" s="1296" t="s">
        <v>831</v>
      </c>
    </row>
    <row r="24" spans="1:17" s="824" customFormat="1" ht="16.5" hidden="1" customHeight="1" thickBot="1">
      <c r="A24" s="868"/>
      <c r="B24" s="869"/>
      <c r="C24" s="870" t="str">
        <f>SUBSTITUTE(D21,"-","")</f>
        <v>Process</v>
      </c>
      <c r="D24" s="352" t="s">
        <v>658</v>
      </c>
      <c r="E24" s="955" t="str">
        <f>IF(ISBLANK(D24),$L$13,IF(D24=10,$L$14,$L$15))</f>
        <v>Enter text</v>
      </c>
      <c r="F24" s="1201"/>
      <c r="G24" s="1189"/>
      <c r="H24" s="1184"/>
      <c r="I24" s="1184"/>
      <c r="J24" s="1190"/>
      <c r="M24" s="1293" t="s">
        <v>808</v>
      </c>
      <c r="N24" s="1314" t="s">
        <v>832</v>
      </c>
      <c r="O24" s="1316"/>
      <c r="P24" s="1291"/>
      <c r="Q24" s="1292"/>
    </row>
    <row r="25" spans="1:17" s="824" customFormat="1" ht="30.75" hidden="1" customHeight="1" thickBot="1">
      <c r="A25" s="871" t="s">
        <v>79</v>
      </c>
      <c r="B25" s="872" t="s">
        <v>7</v>
      </c>
      <c r="C25" s="847" t="str">
        <f>VLOOKUP(pos(C25),'Language-Sprachen'!$A$200:$G$461,'Language-Sprachen'!$A$3,0)</f>
        <v>Is the feasibility comprehensively evaluated according to the product and process requirements?*</v>
      </c>
      <c r="D25" s="1429"/>
      <c r="E25" s="1430"/>
      <c r="F25" s="1197"/>
      <c r="G25" s="1189"/>
      <c r="H25" s="1184"/>
      <c r="I25" s="1184"/>
      <c r="J25" s="1190"/>
      <c r="M25" s="1283" t="s">
        <v>808</v>
      </c>
      <c r="N25" s="1284"/>
      <c r="O25" s="1285"/>
      <c r="P25" s="1286"/>
      <c r="Q25" s="1317"/>
    </row>
    <row r="26" spans="1:17" s="824" customFormat="1" ht="15.75" hidden="1" customHeight="1">
      <c r="A26" s="873"/>
      <c r="B26" s="874"/>
      <c r="C26" s="867" t="str">
        <f>$C$23</f>
        <v>Product</v>
      </c>
      <c r="D26" s="353" t="s">
        <v>658</v>
      </c>
      <c r="E26" s="954" t="str">
        <f>IF(ISBLANK(D26),$L$13,IF(D26=10,$L$14,$L$15))</f>
        <v>Enter text</v>
      </c>
      <c r="F26" s="1201"/>
      <c r="G26" s="1189"/>
      <c r="H26" s="1184"/>
      <c r="I26" s="1184"/>
      <c r="J26" s="1190"/>
      <c r="M26" s="1293" t="s">
        <v>808</v>
      </c>
      <c r="N26" s="1314" t="s">
        <v>833</v>
      </c>
      <c r="O26" s="1315" t="s">
        <v>834</v>
      </c>
      <c r="P26" s="1291" t="s">
        <v>835</v>
      </c>
      <c r="Q26" s="1292">
        <v>1110</v>
      </c>
    </row>
    <row r="27" spans="1:17" s="824" customFormat="1" ht="16.5" hidden="1" customHeight="1" thickBot="1">
      <c r="A27" s="875"/>
      <c r="B27" s="876"/>
      <c r="C27" s="870" t="str">
        <f>$C$24</f>
        <v>Process</v>
      </c>
      <c r="D27" s="354" t="s">
        <v>658</v>
      </c>
      <c r="E27" s="955" t="str">
        <f>IF(ISBLANK(D27),$L$13,IF(D27=10,$L$14,$L$15))</f>
        <v>Enter text</v>
      </c>
      <c r="F27" s="1201"/>
      <c r="G27" s="1189"/>
      <c r="H27" s="1184"/>
      <c r="I27" s="1184"/>
      <c r="J27" s="1190"/>
      <c r="M27" s="1293" t="s">
        <v>808</v>
      </c>
      <c r="N27" s="1314" t="s">
        <v>836</v>
      </c>
      <c r="O27" s="1316"/>
      <c r="P27" s="1291"/>
      <c r="Q27" s="1292"/>
    </row>
    <row r="28" spans="1:17" s="824" customFormat="1" ht="16.5" hidden="1" customHeight="1" thickBot="1">
      <c r="A28" s="877" t="s">
        <v>80</v>
      </c>
      <c r="B28" s="878"/>
      <c r="C28" s="847" t="str">
        <f>VLOOKUP(pos(C28),'Language-Sprachen'!$A$200:$G$461,'Language-Sprachen'!$A$3,0)</f>
        <v>Are the activities for the product and process development planned in detail?</v>
      </c>
      <c r="D28" s="1429"/>
      <c r="E28" s="1430"/>
      <c r="F28" s="1197"/>
      <c r="G28" s="1189"/>
      <c r="H28" s="1184"/>
      <c r="I28" s="1184"/>
      <c r="J28" s="1190"/>
      <c r="M28" s="1283" t="s">
        <v>808</v>
      </c>
      <c r="N28" s="1284"/>
      <c r="O28" s="1285"/>
      <c r="P28" s="1286"/>
      <c r="Q28" s="1317"/>
    </row>
    <row r="29" spans="1:17" s="824" customFormat="1" ht="15.75" hidden="1" customHeight="1">
      <c r="A29" s="865"/>
      <c r="B29" s="866"/>
      <c r="C29" s="867" t="s">
        <v>32</v>
      </c>
      <c r="D29" s="351" t="s">
        <v>658</v>
      </c>
      <c r="E29" s="954" t="str">
        <f>IF(ISBLANK(D29),$L$13,IF(D29=10,$L$14,$L$15))</f>
        <v>Enter text</v>
      </c>
      <c r="F29" s="1201"/>
      <c r="G29" s="1189"/>
      <c r="H29" s="1184"/>
      <c r="I29" s="1184"/>
      <c r="J29" s="1190"/>
      <c r="M29" s="1293" t="s">
        <v>808</v>
      </c>
      <c r="N29" s="1314" t="s">
        <v>837</v>
      </c>
      <c r="O29" s="1315" t="s">
        <v>838</v>
      </c>
      <c r="P29" s="1291"/>
      <c r="Q29" s="1296" t="s">
        <v>839</v>
      </c>
    </row>
    <row r="30" spans="1:17" s="824" customFormat="1" ht="16.5" hidden="1" customHeight="1" thickBot="1">
      <c r="A30" s="868"/>
      <c r="B30" s="869"/>
      <c r="C30" s="870" t="s">
        <v>33</v>
      </c>
      <c r="D30" s="352" t="s">
        <v>658</v>
      </c>
      <c r="E30" s="955" t="str">
        <f>IF(ISBLANK(D30),$L$13,IF(D30=10,$L$14,$L$15))</f>
        <v>Enter text</v>
      </c>
      <c r="F30" s="1201"/>
      <c r="G30" s="1189"/>
      <c r="H30" s="1184"/>
      <c r="I30" s="1184"/>
      <c r="J30" s="1190"/>
      <c r="M30" s="1293" t="s">
        <v>808</v>
      </c>
      <c r="N30" s="1314" t="s">
        <v>840</v>
      </c>
      <c r="O30" s="1316"/>
      <c r="P30" s="1291"/>
      <c r="Q30" s="1292"/>
    </row>
    <row r="31" spans="1:17" s="824" customFormat="1" ht="30.75" hidden="1" customHeight="1" thickBot="1">
      <c r="A31" s="877" t="s">
        <v>81</v>
      </c>
      <c r="B31" s="878"/>
      <c r="C31" s="847" t="str">
        <f>VLOOKUP(pos(C31),'Language-Sprachen'!$A$200:$G$461,'Language-Sprachen'!$A$3,0)</f>
        <v>Are the activities planned for customer care / customer satisfaction / customer service and field failure analysis?</v>
      </c>
      <c r="D31" s="1429"/>
      <c r="E31" s="1430"/>
      <c r="F31" s="1197"/>
      <c r="G31" s="1189"/>
      <c r="H31" s="1184"/>
      <c r="I31" s="1184"/>
      <c r="J31" s="1190"/>
      <c r="M31" s="1283" t="s">
        <v>808</v>
      </c>
      <c r="N31" s="1284"/>
      <c r="O31" s="1285"/>
      <c r="P31" s="1286"/>
      <c r="Q31" s="1317"/>
    </row>
    <row r="32" spans="1:17" s="824" customFormat="1" ht="15.75" hidden="1" customHeight="1">
      <c r="A32" s="865"/>
      <c r="B32" s="866"/>
      <c r="C32" s="867" t="str">
        <f>$C$23</f>
        <v>Product</v>
      </c>
      <c r="D32" s="351" t="s">
        <v>658</v>
      </c>
      <c r="E32" s="954" t="str">
        <f>IF(ISBLANK(D32),$L$13,IF(D32=10,$L$14,$L$15))</f>
        <v>Enter text</v>
      </c>
      <c r="F32" s="1201"/>
      <c r="G32" s="1189"/>
      <c r="H32" s="1184"/>
      <c r="I32" s="1184"/>
      <c r="J32" s="1190"/>
      <c r="M32" s="1293" t="s">
        <v>808</v>
      </c>
      <c r="N32" s="1314" t="s">
        <v>841</v>
      </c>
      <c r="O32" s="1315" t="s">
        <v>842</v>
      </c>
      <c r="P32" s="1291" t="s">
        <v>843</v>
      </c>
      <c r="Q32" s="1296" t="s">
        <v>844</v>
      </c>
    </row>
    <row r="33" spans="1:17" s="824" customFormat="1" ht="16.5" hidden="1" customHeight="1" thickBot="1">
      <c r="A33" s="868"/>
      <c r="B33" s="869"/>
      <c r="C33" s="870" t="str">
        <f>$C$24</f>
        <v>Process</v>
      </c>
      <c r="D33" s="352" t="s">
        <v>658</v>
      </c>
      <c r="E33" s="955" t="str">
        <f>IF(ISBLANK(D33),$L$13,IF(D33=10,$L$14,$L$15))</f>
        <v>Enter text</v>
      </c>
      <c r="F33" s="1201"/>
      <c r="G33" s="1189"/>
      <c r="H33" s="1184"/>
      <c r="I33" s="1184"/>
      <c r="J33" s="1190"/>
      <c r="M33" s="1293" t="s">
        <v>808</v>
      </c>
      <c r="N33" s="1318"/>
      <c r="O33" s="1316"/>
      <c r="P33" s="1291"/>
      <c r="Q33" s="1292"/>
    </row>
    <row r="34" spans="1:17" s="824" customFormat="1" ht="30.75" hidden="1" customHeight="1" thickBot="1">
      <c r="A34" s="877" t="s">
        <v>82</v>
      </c>
      <c r="B34" s="878"/>
      <c r="C34" s="847" t="str">
        <f>VLOOKUP(pos(C34),'Language-Sprachen'!$A$200:$G$461,'Language-Sprachen'!$A$3,0)</f>
        <v>Have the necessary resources been taken into account for the product and process development?</v>
      </c>
      <c r="D34" s="1429"/>
      <c r="E34" s="1430"/>
      <c r="F34" s="1197"/>
      <c r="G34" s="1189"/>
      <c r="H34" s="1184"/>
      <c r="I34" s="1184"/>
      <c r="J34" s="1190"/>
      <c r="M34" s="1283" t="s">
        <v>808</v>
      </c>
      <c r="N34" s="1284"/>
      <c r="O34" s="1285"/>
      <c r="P34" s="1286"/>
      <c r="Q34" s="1317"/>
    </row>
    <row r="35" spans="1:17" s="824" customFormat="1" ht="15.75" hidden="1" customHeight="1">
      <c r="A35" s="865"/>
      <c r="B35" s="866"/>
      <c r="C35" s="867" t="str">
        <f>$C$23</f>
        <v>Product</v>
      </c>
      <c r="D35" s="351" t="s">
        <v>658</v>
      </c>
      <c r="E35" s="954" t="str">
        <f>IF(ISBLANK(D35),$L$13,IF(D35=10,$L$14,$L$15))</f>
        <v>Enter text</v>
      </c>
      <c r="F35" s="1201"/>
      <c r="G35" s="1189"/>
      <c r="H35" s="1184"/>
      <c r="I35" s="1184"/>
      <c r="J35" s="1190"/>
      <c r="M35" s="1293" t="s">
        <v>808</v>
      </c>
      <c r="N35" s="1314" t="s">
        <v>845</v>
      </c>
      <c r="O35" s="1315" t="s">
        <v>846</v>
      </c>
      <c r="P35" s="1291" t="s">
        <v>847</v>
      </c>
      <c r="Q35" s="1292">
        <v>2270</v>
      </c>
    </row>
    <row r="36" spans="1:17" s="824" customFormat="1" ht="16.5" hidden="1" customHeight="1" thickBot="1">
      <c r="A36" s="868"/>
      <c r="B36" s="869"/>
      <c r="C36" s="870" t="str">
        <f>$C$24</f>
        <v>Process</v>
      </c>
      <c r="D36" s="352" t="s">
        <v>658</v>
      </c>
      <c r="E36" s="955" t="str">
        <f>IF(ISBLANK(D36),$L$13,IF(D36=10,$L$14,$L$15))</f>
        <v>Enter text</v>
      </c>
      <c r="F36" s="1201"/>
      <c r="G36" s="1189"/>
      <c r="H36" s="1184"/>
      <c r="I36" s="1184"/>
      <c r="J36" s="1190"/>
      <c r="M36" s="1293" t="s">
        <v>808</v>
      </c>
      <c r="N36" s="1314" t="s">
        <v>848</v>
      </c>
      <c r="O36" s="1316"/>
      <c r="P36" s="1291"/>
      <c r="Q36" s="1292"/>
    </row>
    <row r="37" spans="1:17" s="858" customFormat="1" ht="31.5" hidden="1">
      <c r="A37" s="1448" t="s">
        <v>98</v>
      </c>
      <c r="B37" s="879" t="str">
        <f>IF('Evaluation-Bewertung'!M22&lt;'Evaluation-Bewertung'!N22,$D$382,epdr)</f>
        <v>n.e.</v>
      </c>
      <c r="C37" s="1446" t="str">
        <f>VLOOKUP(pos(C37),'Language-Sprachen'!$A$200:$G$461,'Language-Sprachen'!$A$3,0)</f>
        <v>Implementation of the product and process development</v>
      </c>
      <c r="D37" s="856" t="str">
        <f>D20</f>
        <v>Pro-duct</v>
      </c>
      <c r="E37" s="857" t="str">
        <f>L2&amp;" "&amp;'Evaluation-Bewertung'!N22&amp;"
"&amp;L3&amp;" "&amp;'Evaluation-Bewertung'!M22&amp;" /  6"</f>
        <v>Questions to be answered: 4
Questions answered: 0 /  6</v>
      </c>
      <c r="F37" s="1198"/>
      <c r="G37" s="1189"/>
      <c r="H37" s="1184"/>
      <c r="I37" s="1184"/>
      <c r="J37" s="1190"/>
      <c r="M37" s="1302" t="s">
        <v>808</v>
      </c>
      <c r="N37" s="1303"/>
      <c r="O37" s="1303"/>
      <c r="P37" s="1304"/>
      <c r="Q37" s="1305"/>
    </row>
    <row r="38" spans="1:17" s="858" customFormat="1" ht="32.25" hidden="1" thickBot="1">
      <c r="A38" s="1449"/>
      <c r="B38" s="880" t="str">
        <f>IF('Evaluation-Bewertung'!Z22&lt;'Evaluation-Bewertung'!AA22,$D$382,epzr)</f>
        <v>n.e.</v>
      </c>
      <c r="C38" s="1447"/>
      <c r="D38" s="860" t="str">
        <f>D21</f>
        <v>Pro-cess</v>
      </c>
      <c r="E38" s="881" t="str">
        <f>L2&amp;" "&amp;'Evaluation-Bewertung'!AA22&amp;"
"&amp;L3&amp;" "&amp;'Evaluation-Bewertung'!Z22&amp;" /  8"</f>
        <v>Questions to be answered: 6
Questions answered: 0 /  8</v>
      </c>
      <c r="F38" s="1200"/>
      <c r="G38" s="1189"/>
      <c r="H38" s="1184"/>
      <c r="I38" s="1184"/>
      <c r="J38" s="1190"/>
      <c r="M38" s="1306" t="s">
        <v>808</v>
      </c>
      <c r="N38" s="1307"/>
      <c r="O38" s="1307"/>
      <c r="P38" s="1308"/>
      <c r="Q38" s="1309"/>
    </row>
    <row r="39" spans="1:17" s="824" customFormat="1" ht="30.75" hidden="1" customHeight="1" thickBot="1">
      <c r="A39" s="882" t="s">
        <v>84</v>
      </c>
      <c r="B39" s="883" t="s">
        <v>7</v>
      </c>
      <c r="C39" s="864" t="str">
        <f>VLOOKUP(pos(C39),'Language-Sprachen'!$A$200:$G$461,'Language-Sprachen'!$A$3,0)</f>
        <v>Are the actions from the product and process development plans implemented?</v>
      </c>
      <c r="D39" s="1427"/>
      <c r="E39" s="1428"/>
      <c r="F39" s="1199"/>
      <c r="G39" s="1189"/>
      <c r="H39" s="1184"/>
      <c r="I39" s="1184"/>
      <c r="J39" s="1190"/>
      <c r="M39" s="1310" t="s">
        <v>808</v>
      </c>
      <c r="N39" s="1311"/>
      <c r="O39" s="1311"/>
      <c r="P39" s="1312"/>
      <c r="Q39" s="1313"/>
    </row>
    <row r="40" spans="1:17" s="824" customFormat="1" ht="15.75" hidden="1" customHeight="1">
      <c r="A40" s="884"/>
      <c r="B40" s="885"/>
      <c r="C40" s="867" t="str">
        <f>$C$23</f>
        <v>Product</v>
      </c>
      <c r="D40" s="396" t="s">
        <v>658</v>
      </c>
      <c r="E40" s="954" t="str">
        <f>IF(ISBLANK(D40),$L$13,IF(D40=10,$L$14,$L$15))</f>
        <v>Enter text</v>
      </c>
      <c r="F40" s="1201"/>
      <c r="G40" s="1189"/>
      <c r="H40" s="1184"/>
      <c r="I40" s="1184"/>
      <c r="J40" s="1190"/>
      <c r="M40" s="1293" t="s">
        <v>808</v>
      </c>
      <c r="N40" s="1314" t="s">
        <v>849</v>
      </c>
      <c r="O40" s="1315" t="s">
        <v>850</v>
      </c>
      <c r="P40" s="1291" t="s">
        <v>851</v>
      </c>
      <c r="Q40" s="1296" t="s">
        <v>852</v>
      </c>
    </row>
    <row r="41" spans="1:17" s="824" customFormat="1" ht="16.5" hidden="1" customHeight="1" thickBot="1">
      <c r="A41" s="886"/>
      <c r="B41" s="887"/>
      <c r="C41" s="870" t="str">
        <f>$C$24</f>
        <v>Process</v>
      </c>
      <c r="D41" s="397" t="s">
        <v>658</v>
      </c>
      <c r="E41" s="955" t="str">
        <f>IF(ISBLANK(D41),$L$13,IF(D41=10,$L$14,$L$15))</f>
        <v>Enter text</v>
      </c>
      <c r="F41" s="1201"/>
      <c r="G41" s="1189"/>
      <c r="H41" s="1184"/>
      <c r="I41" s="1184"/>
      <c r="J41" s="1190"/>
      <c r="M41" s="1293" t="s">
        <v>808</v>
      </c>
      <c r="N41" s="1314" t="s">
        <v>853</v>
      </c>
      <c r="O41" s="1316"/>
      <c r="P41" s="1291"/>
      <c r="Q41" s="1292"/>
    </row>
    <row r="42" spans="1:17" s="824" customFormat="1" ht="30.75" hidden="1" customHeight="1" thickBot="1">
      <c r="A42" s="862" t="s">
        <v>137</v>
      </c>
      <c r="B42" s="863"/>
      <c r="C42" s="864" t="str">
        <f>VLOOKUP(pos(C42),'Language-Sprachen'!$A$200:$G$461,'Language-Sprachen'!$A$3,0)</f>
        <v>Are personnel resources available and are they qualified to ensure the start of the serial production?</v>
      </c>
      <c r="D42" s="1427"/>
      <c r="E42" s="1428"/>
      <c r="F42" s="1197"/>
      <c r="G42" s="1189"/>
      <c r="H42" s="1184"/>
      <c r="I42" s="1184"/>
      <c r="J42" s="1190"/>
      <c r="M42" s="1283" t="s">
        <v>808</v>
      </c>
      <c r="N42" s="1284"/>
      <c r="O42" s="1285"/>
      <c r="P42" s="1286"/>
      <c r="Q42" s="1317"/>
    </row>
    <row r="43" spans="1:17" s="824" customFormat="1" ht="15.75" hidden="1" customHeight="1">
      <c r="A43" s="865"/>
      <c r="B43" s="866"/>
      <c r="C43" s="867" t="str">
        <f>$C$23</f>
        <v>Product</v>
      </c>
      <c r="D43" s="351" t="s">
        <v>658</v>
      </c>
      <c r="E43" s="954" t="str">
        <f>IF(ISBLANK(D43),$L$13,IF(D43=10,$L$14,$L$15))</f>
        <v>Enter text</v>
      </c>
      <c r="F43" s="1201"/>
      <c r="G43" s="1189"/>
      <c r="H43" s="1184"/>
      <c r="I43" s="1184"/>
      <c r="J43" s="1190"/>
      <c r="M43" s="1293" t="s">
        <v>808</v>
      </c>
      <c r="N43" s="1314" t="s">
        <v>854</v>
      </c>
      <c r="O43" s="1315" t="s">
        <v>855</v>
      </c>
      <c r="P43" s="1291" t="s">
        <v>856</v>
      </c>
      <c r="Q43" s="1292">
        <v>3170</v>
      </c>
    </row>
    <row r="44" spans="1:17" s="824" customFormat="1" ht="16.5" hidden="1" customHeight="1" thickBot="1">
      <c r="A44" s="868"/>
      <c r="B44" s="869"/>
      <c r="C44" s="870" t="str">
        <f>$C$24</f>
        <v>Process</v>
      </c>
      <c r="D44" s="352" t="s">
        <v>658</v>
      </c>
      <c r="E44" s="955" t="str">
        <f>IF(ISBLANK(D44),$L$13,IF(D44=10,$L$14,$L$15))</f>
        <v>Enter text</v>
      </c>
      <c r="F44" s="1201"/>
      <c r="G44" s="1189"/>
      <c r="H44" s="1184"/>
      <c r="I44" s="1184"/>
      <c r="J44" s="1190"/>
      <c r="M44" s="1293" t="s">
        <v>808</v>
      </c>
      <c r="N44" s="1318"/>
      <c r="O44" s="1316"/>
      <c r="P44" s="1291"/>
      <c r="Q44" s="1292"/>
    </row>
    <row r="45" spans="1:17" s="824" customFormat="1" ht="30.75" hidden="1" customHeight="1" thickBot="1">
      <c r="A45" s="862" t="s">
        <v>138</v>
      </c>
      <c r="B45" s="863"/>
      <c r="C45" s="864" t="str">
        <f>VLOOKUP(pos(C45),'Language-Sprachen'!$A$200:$G$461,'Language-Sprachen'!$A$3,0)</f>
        <v>Are the material resources available and suitable to ensure the start of the serial prodiction?</v>
      </c>
      <c r="D45" s="1427"/>
      <c r="E45" s="1428"/>
      <c r="F45" s="1197"/>
      <c r="G45" s="1189"/>
      <c r="H45" s="1184"/>
      <c r="I45" s="1184"/>
      <c r="J45" s="1190"/>
      <c r="M45" s="1283" t="s">
        <v>808</v>
      </c>
      <c r="N45" s="1284"/>
      <c r="O45" s="1285"/>
      <c r="P45" s="1286"/>
      <c r="Q45" s="1317"/>
    </row>
    <row r="46" spans="1:17" s="824" customFormat="1" ht="15.75" hidden="1" customHeight="1">
      <c r="A46" s="865"/>
      <c r="B46" s="866"/>
      <c r="C46" s="867" t="str">
        <f>$C$23</f>
        <v>Product</v>
      </c>
      <c r="D46" s="351" t="s">
        <v>658</v>
      </c>
      <c r="E46" s="954" t="str">
        <f>IF(ISBLANK(D46),$L$13,IF(D46=10,$L$14,$L$15))</f>
        <v>Enter text</v>
      </c>
      <c r="F46" s="1201"/>
      <c r="G46" s="1189"/>
      <c r="H46" s="1184"/>
      <c r="I46" s="1184"/>
      <c r="J46" s="1190"/>
      <c r="M46" s="1293" t="s">
        <v>808</v>
      </c>
      <c r="N46" s="1314" t="s">
        <v>857</v>
      </c>
      <c r="O46" s="1315" t="s">
        <v>858</v>
      </c>
      <c r="P46" s="1291"/>
      <c r="Q46" s="1296" t="s">
        <v>859</v>
      </c>
    </row>
    <row r="47" spans="1:17" s="824" customFormat="1" ht="16.5" hidden="1" customHeight="1" thickBot="1">
      <c r="A47" s="868"/>
      <c r="B47" s="869"/>
      <c r="C47" s="870" t="str">
        <f>$C$24</f>
        <v>Process</v>
      </c>
      <c r="D47" s="352" t="s">
        <v>658</v>
      </c>
      <c r="E47" s="955" t="str">
        <f>IF(ISBLANK(D47),$L$13,IF(D47=10,$L$14,$L$15))</f>
        <v>Enter text</v>
      </c>
      <c r="F47" s="1201"/>
      <c r="G47" s="1189"/>
      <c r="H47" s="1184"/>
      <c r="I47" s="1184"/>
      <c r="J47" s="1190"/>
      <c r="M47" s="1293" t="s">
        <v>808</v>
      </c>
      <c r="N47" s="1314" t="s">
        <v>860</v>
      </c>
      <c r="O47" s="1316"/>
      <c r="P47" s="1291"/>
      <c r="Q47" s="1292"/>
    </row>
    <row r="48" spans="1:17" s="824" customFormat="1" ht="30.75" hidden="1" customHeight="1" thickBot="1">
      <c r="A48" s="882" t="s">
        <v>139</v>
      </c>
      <c r="B48" s="883" t="s">
        <v>7</v>
      </c>
      <c r="C48" s="864" t="str">
        <f>VLOOKUP(pos(C48),'Language-Sprachen'!$A$200:$G$461,'Language-Sprachen'!$A$3,0)</f>
        <v>Are the required approvals and releases for the product and process development available?</v>
      </c>
      <c r="D48" s="1427"/>
      <c r="E48" s="1428"/>
      <c r="F48" s="1197"/>
      <c r="G48" s="1189"/>
      <c r="H48" s="1184"/>
      <c r="I48" s="1184"/>
      <c r="J48" s="1190"/>
      <c r="M48" s="1283" t="s">
        <v>808</v>
      </c>
      <c r="N48" s="1284"/>
      <c r="O48" s="1285"/>
      <c r="P48" s="1286"/>
      <c r="Q48" s="1317"/>
    </row>
    <row r="49" spans="1:17" s="824" customFormat="1" ht="15.75" hidden="1" customHeight="1">
      <c r="A49" s="884"/>
      <c r="B49" s="885"/>
      <c r="C49" s="867" t="str">
        <f>$C$23</f>
        <v>Product</v>
      </c>
      <c r="D49" s="396" t="s">
        <v>658</v>
      </c>
      <c r="E49" s="954" t="str">
        <f>IF(ISBLANK(D49),$L$13,IF(D49=10,$L$14,$L$15))</f>
        <v>Enter text</v>
      </c>
      <c r="F49" s="1201"/>
      <c r="G49" s="1189"/>
      <c r="H49" s="1184"/>
      <c r="I49" s="1184"/>
      <c r="J49" s="1190"/>
      <c r="M49" s="1293" t="s">
        <v>808</v>
      </c>
      <c r="N49" s="1314" t="s">
        <v>861</v>
      </c>
      <c r="O49" s="1315" t="s">
        <v>862</v>
      </c>
      <c r="P49" s="1291" t="s">
        <v>863</v>
      </c>
      <c r="Q49" s="1296" t="s">
        <v>864</v>
      </c>
    </row>
    <row r="50" spans="1:17" s="824" customFormat="1" ht="16.5" hidden="1" customHeight="1" thickBot="1">
      <c r="A50" s="886"/>
      <c r="B50" s="887"/>
      <c r="C50" s="870" t="str">
        <f>$C$24</f>
        <v>Process</v>
      </c>
      <c r="D50" s="397" t="s">
        <v>658</v>
      </c>
      <c r="E50" s="955" t="str">
        <f>IF(ISBLANK(D50),$L$13,IF(D50=10,$L$14,$L$15))</f>
        <v>Enter text</v>
      </c>
      <c r="F50" s="1201"/>
      <c r="G50" s="1189"/>
      <c r="H50" s="1184"/>
      <c r="I50" s="1184"/>
      <c r="J50" s="1190"/>
      <c r="M50" s="1293" t="s">
        <v>808</v>
      </c>
      <c r="N50" s="1314" t="s">
        <v>865</v>
      </c>
      <c r="O50" s="1316"/>
      <c r="P50" s="1291"/>
      <c r="Q50" s="1292"/>
    </row>
    <row r="51" spans="1:17" s="824" customFormat="1" ht="30.75" hidden="1" customHeight="1" thickBot="1">
      <c r="A51" s="845" t="s">
        <v>140</v>
      </c>
      <c r="B51" s="846"/>
      <c r="C51" s="888" t="str">
        <f>VLOOKUP(pos(C51),'Language-Sprachen'!$A$200:$G$461,'Language-Sprachen'!$A$3,0)</f>
        <v>Are the manufacturing and inspection specifications derived from the product and process development and are they implemented?</v>
      </c>
      <c r="D51" s="1427"/>
      <c r="E51" s="1428"/>
      <c r="F51" s="1197"/>
      <c r="G51" s="1189"/>
      <c r="H51" s="1184"/>
      <c r="I51" s="1184"/>
      <c r="J51" s="1190"/>
      <c r="M51" s="1283" t="s">
        <v>808</v>
      </c>
      <c r="N51" s="1284"/>
      <c r="O51" s="1285"/>
      <c r="P51" s="1286"/>
      <c r="Q51" s="1317"/>
    </row>
    <row r="52" spans="1:17" s="824" customFormat="1" ht="15.75" hidden="1" customHeight="1">
      <c r="A52" s="845"/>
      <c r="B52" s="846"/>
      <c r="C52" s="867" t="str">
        <f>$C$23</f>
        <v>Product</v>
      </c>
      <c r="D52" s="351" t="s">
        <v>658</v>
      </c>
      <c r="E52" s="954" t="str">
        <f>IF(ISBLANK(D52),$L$13,IF(D52=10,$L$14,$L$15))</f>
        <v>Enter text</v>
      </c>
      <c r="F52" s="1201"/>
      <c r="G52" s="1189"/>
      <c r="H52" s="1184"/>
      <c r="I52" s="1184"/>
      <c r="J52" s="1190"/>
      <c r="M52" s="1293" t="s">
        <v>808</v>
      </c>
      <c r="N52" s="1314" t="s">
        <v>866</v>
      </c>
      <c r="O52" s="1315" t="s">
        <v>867</v>
      </c>
      <c r="P52" s="1291" t="s">
        <v>868</v>
      </c>
      <c r="Q52" s="1296" t="s">
        <v>869</v>
      </c>
    </row>
    <row r="53" spans="1:17" s="824" customFormat="1" ht="16.5" hidden="1" customHeight="1" thickBot="1">
      <c r="A53" s="845"/>
      <c r="B53" s="846"/>
      <c r="C53" s="867" t="str">
        <f>$C$24</f>
        <v>Process</v>
      </c>
      <c r="D53" s="351" t="s">
        <v>658</v>
      </c>
      <c r="E53" s="955" t="str">
        <f>IF(ISBLANK(D53),$L$13,IF(D53=10,$L$14,$L$15))</f>
        <v>Enter text</v>
      </c>
      <c r="F53" s="1201"/>
      <c r="G53" s="1189"/>
      <c r="H53" s="1184"/>
      <c r="I53" s="1184"/>
      <c r="J53" s="1190"/>
      <c r="M53" s="1293" t="s">
        <v>808</v>
      </c>
      <c r="N53" s="1314" t="s">
        <v>870</v>
      </c>
      <c r="O53" s="1316"/>
      <c r="P53" s="1291"/>
      <c r="Q53" s="1292"/>
    </row>
    <row r="54" spans="1:17" s="824" customFormat="1" ht="30.75" hidden="1" customHeight="1" thickBot="1">
      <c r="A54" s="862" t="s">
        <v>141</v>
      </c>
      <c r="B54" s="863"/>
      <c r="C54" s="864" t="str">
        <f>VLOOKUP(pos(C54),'Language-Sprachen'!$A$200:$G$461,'Language-Sprachen'!$A$3,0)</f>
        <v>Is a performance test carried out under series conditions for the series release?</v>
      </c>
      <c r="D54" s="1427"/>
      <c r="E54" s="1428"/>
      <c r="F54" s="1197"/>
      <c r="G54" s="1189"/>
      <c r="H54" s="1184"/>
      <c r="I54" s="1184"/>
      <c r="J54" s="1190"/>
      <c r="M54" s="1283" t="s">
        <v>808</v>
      </c>
      <c r="N54" s="1284"/>
      <c r="O54" s="1285"/>
      <c r="P54" s="1286"/>
      <c r="Q54" s="1317"/>
    </row>
    <row r="55" spans="1:17" s="824" customFormat="1" ht="16.5" hidden="1" customHeight="1" thickBot="1">
      <c r="A55" s="868"/>
      <c r="B55" s="869"/>
      <c r="C55" s="870" t="str">
        <f>$C$24</f>
        <v>Process</v>
      </c>
      <c r="D55" s="352" t="s">
        <v>658</v>
      </c>
      <c r="E55" s="955" t="str">
        <f>IF(ISBLANK(D55),$L$13,IF(D55=10,$L$14,$L$15))</f>
        <v>Enter text</v>
      </c>
      <c r="F55" s="1201"/>
      <c r="G55" s="1189"/>
      <c r="H55" s="1184"/>
      <c r="I55" s="1184"/>
      <c r="J55" s="1190"/>
      <c r="M55" s="1293" t="s">
        <v>808</v>
      </c>
      <c r="N55" s="1314" t="s">
        <v>871</v>
      </c>
      <c r="O55" s="1315" t="s">
        <v>872</v>
      </c>
      <c r="P55" s="1291" t="s">
        <v>873</v>
      </c>
      <c r="Q55" s="1296" t="s">
        <v>874</v>
      </c>
    </row>
    <row r="56" spans="1:17" s="824" customFormat="1" ht="30.75" hidden="1" customHeight="1" thickBot="1">
      <c r="A56" s="1050" t="s">
        <v>142</v>
      </c>
      <c r="B56" s="1051"/>
      <c r="C56" s="864" t="str">
        <f>VLOOKUP(pos(C56),'Language-Sprachen'!$A$200:$G$461,'Language-Sprachen'!$A$3,0)</f>
        <v>Are the processes established for securing customer care / customer satisfaction / customer service as well as the field failure analysis?</v>
      </c>
      <c r="D56" s="1427"/>
      <c r="E56" s="1428"/>
      <c r="F56" s="1197"/>
      <c r="G56" s="1189"/>
      <c r="H56" s="1184"/>
      <c r="I56" s="1184"/>
      <c r="J56" s="1190"/>
      <c r="M56" s="1283" t="s">
        <v>808</v>
      </c>
      <c r="N56" s="1284"/>
      <c r="O56" s="1285"/>
      <c r="P56" s="1286"/>
      <c r="Q56" s="1317"/>
    </row>
    <row r="57" spans="1:17" s="824" customFormat="1" ht="16.5" hidden="1" customHeight="1" thickBot="1">
      <c r="A57" s="1052"/>
      <c r="B57" s="1053"/>
      <c r="C57" s="870" t="str">
        <f>$C$24</f>
        <v>Process</v>
      </c>
      <c r="D57" s="735" t="s">
        <v>658</v>
      </c>
      <c r="E57" s="953" t="str">
        <f>IF(ISBLANK(D57),$L$13,IF(D57=10,$L$14,$L$15))</f>
        <v>Enter text</v>
      </c>
      <c r="F57" s="1201"/>
      <c r="G57" s="1189"/>
      <c r="H57" s="1184"/>
      <c r="I57" s="1184"/>
      <c r="J57" s="1190"/>
      <c r="M57" s="1293" t="s">
        <v>808</v>
      </c>
      <c r="N57" s="1314" t="s">
        <v>875</v>
      </c>
      <c r="O57" s="1295" t="s">
        <v>876</v>
      </c>
      <c r="P57" s="1291" t="s">
        <v>877</v>
      </c>
      <c r="Q57" s="1296" t="s">
        <v>878</v>
      </c>
    </row>
    <row r="58" spans="1:17" s="824" customFormat="1" ht="30.75" hidden="1" customHeight="1" thickBot="1">
      <c r="A58" s="1024" t="s">
        <v>433</v>
      </c>
      <c r="B58" s="883" t="s">
        <v>7</v>
      </c>
      <c r="C58" s="864" t="str">
        <f>VLOOKUP(pos(C58),'Language-Sprachen'!$A$200:$G$461,'Language-Sprachen'!$A$3,0)</f>
        <v>Is there a controlled method for the product handover from development to serial production?</v>
      </c>
      <c r="D58" s="1427"/>
      <c r="E58" s="1428"/>
      <c r="F58" s="1197"/>
      <c r="G58" s="1189"/>
      <c r="H58" s="1184"/>
      <c r="I58" s="1184"/>
      <c r="J58" s="1190"/>
      <c r="M58" s="1283" t="s">
        <v>808</v>
      </c>
      <c r="N58" s="1284"/>
      <c r="O58" s="1285"/>
      <c r="P58" s="1286"/>
      <c r="Q58" s="1317"/>
    </row>
    <row r="59" spans="1:17" s="824" customFormat="1" ht="15.75" hidden="1" customHeight="1">
      <c r="A59" s="889"/>
      <c r="B59" s="890"/>
      <c r="C59" s="867" t="str">
        <f>$C$23</f>
        <v>Product</v>
      </c>
      <c r="D59" s="736" t="s">
        <v>658</v>
      </c>
      <c r="E59" s="956" t="str">
        <f>IF(ISBLANK(D59),$L$13,IF(D59=10,$L$14,$L$15))</f>
        <v>Enter text</v>
      </c>
      <c r="F59" s="1201"/>
      <c r="G59" s="1189"/>
      <c r="H59" s="1184"/>
      <c r="I59" s="1184"/>
      <c r="J59" s="1190"/>
      <c r="M59" s="1293" t="s">
        <v>808</v>
      </c>
      <c r="N59" s="1314" t="s">
        <v>879</v>
      </c>
      <c r="O59" s="1315" t="s">
        <v>880</v>
      </c>
      <c r="P59" s="1291" t="s">
        <v>881</v>
      </c>
      <c r="Q59" s="1296" t="s">
        <v>882</v>
      </c>
    </row>
    <row r="60" spans="1:17" s="824" customFormat="1" ht="16.5" hidden="1" customHeight="1" thickBot="1">
      <c r="A60" s="886"/>
      <c r="B60" s="887"/>
      <c r="C60" s="870" t="str">
        <f>$C$24</f>
        <v>Process</v>
      </c>
      <c r="D60" s="735" t="s">
        <v>658</v>
      </c>
      <c r="E60" s="953" t="str">
        <f>IF(ISBLANK(D60),$L$13,IF(D60=10,$L$14,$L$15))</f>
        <v>Enter text</v>
      </c>
      <c r="F60" s="1201"/>
      <c r="G60" s="1189"/>
      <c r="H60" s="1184"/>
      <c r="I60" s="1184"/>
      <c r="J60" s="1190"/>
      <c r="M60" s="1293" t="s">
        <v>808</v>
      </c>
      <c r="N60" s="1318"/>
      <c r="O60" s="1316"/>
      <c r="P60" s="1291"/>
      <c r="Q60" s="1292"/>
    </row>
    <row r="61" spans="1:17" s="858" customFormat="1" ht="51.75" hidden="1" thickBot="1">
      <c r="A61" s="891" t="s">
        <v>99</v>
      </c>
      <c r="B61" s="892" t="str">
        <f>elm</f>
        <v>n.e.</v>
      </c>
      <c r="C61" s="893" t="str">
        <f>VLOOKUP(pos(C61),'Language-Sprachen'!$A$200:$G$461,'Language-Sprachen'!$A$3,0)</f>
        <v xml:space="preserve">Supplier Management </v>
      </c>
      <c r="D61" s="843" t="str">
        <f>D12</f>
        <v>General</v>
      </c>
      <c r="E61" s="894" t="str">
        <f>L2&amp;" "&amp;'Evaluation-Bewertung'!U29&amp;"
"&amp;L3&amp;" "&amp;'Evaluation-Bewertung'!T29&amp;" /  7"</f>
        <v>Questions to be answered: 5
Questions answered: 0 /  7</v>
      </c>
      <c r="F61" s="1197"/>
      <c r="G61" s="1189"/>
      <c r="H61" s="1184"/>
      <c r="I61" s="1184"/>
      <c r="J61" s="1190"/>
      <c r="M61" s="1283" t="s">
        <v>808</v>
      </c>
      <c r="N61" s="1284"/>
      <c r="O61" s="1285"/>
      <c r="P61" s="1286"/>
      <c r="Q61" s="1317"/>
    </row>
    <row r="62" spans="1:17" s="824" customFormat="1" ht="15.75" hidden="1" customHeight="1">
      <c r="A62" s="895" t="s">
        <v>63</v>
      </c>
      <c r="B62" s="853"/>
      <c r="C62" s="896" t="str">
        <f>VLOOKUP(pos(C62),'Language-Sprachen'!$A$200:$G$461,'Language-Sprachen'!$A$3,0)</f>
        <v xml:space="preserve">Are only approved and quality capable suppliers selected? </v>
      </c>
      <c r="D62" s="349" t="s">
        <v>658</v>
      </c>
      <c r="E62" s="956" t="str">
        <f t="shared" ref="E62:E68" si="1">IF(ISBLANK(D62),$L$13,IF(D62=10,$L$14,$L$15))</f>
        <v>Enter text</v>
      </c>
      <c r="F62" s="1201"/>
      <c r="G62" s="1189"/>
      <c r="H62" s="1184"/>
      <c r="I62" s="1184"/>
      <c r="J62" s="1190"/>
      <c r="M62" s="1293" t="s">
        <v>808</v>
      </c>
      <c r="N62" s="1319" t="s">
        <v>883</v>
      </c>
      <c r="O62" s="1315" t="s">
        <v>884</v>
      </c>
      <c r="P62" s="1291" t="s">
        <v>885</v>
      </c>
      <c r="Q62" s="1292">
        <v>2050</v>
      </c>
    </row>
    <row r="63" spans="1:17" s="824" customFormat="1" ht="15.75" hidden="1" customHeight="1">
      <c r="A63" s="897" t="s">
        <v>111</v>
      </c>
      <c r="B63" s="898"/>
      <c r="C63" s="849" t="str">
        <f>VLOOKUP(pos(C63),'Language-Sprachen'!$A$200:$G$461,'Language-Sprachen'!$A$3,0)</f>
        <v xml:space="preserve">Are the customer's requirements taken into account in the supply chain? </v>
      </c>
      <c r="D63" s="355" t="s">
        <v>658</v>
      </c>
      <c r="E63" s="952" t="str">
        <f t="shared" si="1"/>
        <v>Enter text</v>
      </c>
      <c r="F63" s="1201"/>
      <c r="G63" s="1189"/>
      <c r="H63" s="1184"/>
      <c r="I63" s="1184"/>
      <c r="J63" s="1190"/>
      <c r="M63" s="1293" t="s">
        <v>808</v>
      </c>
      <c r="N63" s="1319" t="s">
        <v>886</v>
      </c>
      <c r="O63" s="1315" t="s">
        <v>887</v>
      </c>
      <c r="P63" s="1291" t="s">
        <v>888</v>
      </c>
      <c r="Q63" s="1292">
        <v>1100</v>
      </c>
    </row>
    <row r="64" spans="1:17" s="824" customFormat="1" ht="30.75" hidden="1" customHeight="1" thickBot="1">
      <c r="A64" s="899" t="s">
        <v>112</v>
      </c>
      <c r="B64" s="900"/>
      <c r="C64" s="901" t="str">
        <f>VLOOKUP(pos(C64),'Language-Sprachen'!$A$200:$G$461,'Language-Sprachen'!$A$3,0)</f>
        <v xml:space="preserve">Have target agreements for delivery performance been agreed with suppliers and implemented? </v>
      </c>
      <c r="D64" s="356" t="s">
        <v>658</v>
      </c>
      <c r="E64" s="952" t="str">
        <f t="shared" si="1"/>
        <v>Enter text</v>
      </c>
      <c r="F64" s="1201"/>
      <c r="G64" s="1189"/>
      <c r="H64" s="1184"/>
      <c r="I64" s="1184"/>
      <c r="J64" s="1190"/>
      <c r="M64" s="1293" t="s">
        <v>808</v>
      </c>
      <c r="N64" s="1319" t="s">
        <v>889</v>
      </c>
      <c r="O64" s="1315" t="s">
        <v>890</v>
      </c>
      <c r="P64" s="1291"/>
      <c r="Q64" s="1292">
        <v>3075</v>
      </c>
    </row>
    <row r="65" spans="1:17" s="824" customFormat="1" ht="30" hidden="1" customHeight="1">
      <c r="A65" s="850" t="s">
        <v>113</v>
      </c>
      <c r="B65" s="902" t="s">
        <v>7</v>
      </c>
      <c r="C65" s="849" t="str">
        <f>VLOOKUP(pos(C65),'Language-Sprachen'!$A$200:$G$461,'Language-Sprachen'!$A$3,0)</f>
        <v xml:space="preserve">Are the necessary approvals/releases available for the outsourced products and services? </v>
      </c>
      <c r="D65" s="394" t="s">
        <v>658</v>
      </c>
      <c r="E65" s="956" t="str">
        <f t="shared" si="1"/>
        <v>Enter text</v>
      </c>
      <c r="F65" s="1201"/>
      <c r="G65" s="1189"/>
      <c r="H65" s="1184"/>
      <c r="I65" s="1184"/>
      <c r="J65" s="1190"/>
      <c r="M65" s="1293" t="s">
        <v>808</v>
      </c>
      <c r="N65" s="1319" t="s">
        <v>891</v>
      </c>
      <c r="O65" s="1315" t="s">
        <v>892</v>
      </c>
      <c r="P65" s="1291" t="s">
        <v>881</v>
      </c>
      <c r="Q65" s="1292">
        <v>3075</v>
      </c>
    </row>
    <row r="66" spans="1:17" s="824" customFormat="1" ht="15.75" hidden="1" customHeight="1">
      <c r="A66" s="850" t="s">
        <v>114</v>
      </c>
      <c r="B66" s="902" t="s">
        <v>7</v>
      </c>
      <c r="C66" s="901" t="str">
        <f>VLOOKUP(pos(C66),'Language-Sprachen'!$A$200:$G$461,'Language-Sprachen'!$A$3,0)</f>
        <v xml:space="preserve">Is the quality of the outsourced products and services ensured? </v>
      </c>
      <c r="D66" s="399" t="s">
        <v>658</v>
      </c>
      <c r="E66" s="952" t="str">
        <f t="shared" si="1"/>
        <v>Enter text</v>
      </c>
      <c r="F66" s="1201"/>
      <c r="G66" s="1189"/>
      <c r="H66" s="1184"/>
      <c r="I66" s="1184"/>
      <c r="J66" s="1190"/>
      <c r="M66" s="1293" t="s">
        <v>808</v>
      </c>
      <c r="N66" s="1319" t="s">
        <v>893</v>
      </c>
      <c r="O66" s="1315" t="s">
        <v>894</v>
      </c>
      <c r="P66" s="1291" t="s">
        <v>895</v>
      </c>
      <c r="Q66" s="1292">
        <v>3075</v>
      </c>
    </row>
    <row r="67" spans="1:17" s="824" customFormat="1" ht="15.75" hidden="1" customHeight="1">
      <c r="A67" s="897" t="s">
        <v>115</v>
      </c>
      <c r="B67" s="898"/>
      <c r="C67" s="849" t="str">
        <f>VLOOKUP(pos(C67),'Language-Sprachen'!$A$200:$G$461,'Language-Sprachen'!$A$3,0)</f>
        <v xml:space="preserve">Are incoming goods stored appropriately? </v>
      </c>
      <c r="D67" s="358" t="s">
        <v>658</v>
      </c>
      <c r="E67" s="952" t="str">
        <f t="shared" si="1"/>
        <v>Enter text</v>
      </c>
      <c r="F67" s="1201"/>
      <c r="G67" s="1189"/>
      <c r="H67" s="1184"/>
      <c r="I67" s="1184"/>
      <c r="J67" s="1190"/>
      <c r="M67" s="1293" t="s">
        <v>808</v>
      </c>
      <c r="N67" s="1319" t="s">
        <v>896</v>
      </c>
      <c r="O67" s="1315" t="s">
        <v>897</v>
      </c>
      <c r="P67" s="1291"/>
      <c r="Q67" s="1292">
        <v>3160</v>
      </c>
    </row>
    <row r="68" spans="1:17" s="824" customFormat="1" ht="16.5" hidden="1" customHeight="1" thickBot="1">
      <c r="A68" s="899" t="s">
        <v>116</v>
      </c>
      <c r="B68" s="900"/>
      <c r="C68" s="854" t="str">
        <f>VLOOKUP(pos(C68),'Language-Sprachen'!$A$200:$G$461,'Language-Sprachen'!$A$3,0)</f>
        <v xml:space="preserve">Are personnel qualified for the various tasks and are responsibilities defined? </v>
      </c>
      <c r="D68" s="356" t="s">
        <v>658</v>
      </c>
      <c r="E68" s="952" t="str">
        <f t="shared" si="1"/>
        <v>Enter text</v>
      </c>
      <c r="F68" s="1201"/>
      <c r="G68" s="1191"/>
      <c r="H68" s="1192"/>
      <c r="I68" s="1192"/>
      <c r="J68" s="1193"/>
      <c r="M68" s="1293" t="s">
        <v>808</v>
      </c>
      <c r="N68" s="1319" t="s">
        <v>898</v>
      </c>
      <c r="O68" s="1315" t="s">
        <v>899</v>
      </c>
      <c r="P68" s="1291"/>
      <c r="Q68" s="1292">
        <v>3170</v>
      </c>
    </row>
    <row r="69" spans="1:17" s="858" customFormat="1" ht="77.25" customHeight="1" thickBot="1">
      <c r="A69" s="891" t="s">
        <v>100</v>
      </c>
      <c r="B69" s="892">
        <f>IF(MAX('Evaluation-Bewertung'!AJ36:AJ40)&lt;17,$D$382,SUMIF('Evaluation-Bewertung'!AJ36:AJ40,"&gt;16",'Evaluation-Bewertung'!AS36:AT40)/COUNTIF('Evaluation-Bewertung'!AJ36:AJ40,"&gt;16"))</f>
        <v>0.97</v>
      </c>
      <c r="C69" s="893" t="str">
        <f>VLOOKUP(pos(C69),'Language-Sprachen'!$A$200:$G$461,'Language-Sprachen'!$A$3,0)</f>
        <v xml:space="preserve">Process analysis /
production </v>
      </c>
      <c r="D69" s="843" t="str">
        <f>D12</f>
        <v>General</v>
      </c>
      <c r="E69" s="903" t="str">
        <f>IF('Input Form - EingabeMaske'!D36&gt;0,"PS1: "&amp;IF('Evaluation-Bewertung'!AJ36&lt;'Evaluation-Bewertung'!AK36,$D$382,TEXT('Evaluation-Bewertung'!_e1,"0%"))&amp;" ("&amp;'Evaluation-Bewertung'!AJ36&amp;"/26), ","")&amp;IF('Input Form - EingabeMaske'!D36&gt;1,"PS2: "&amp;IF('Evaluation-Bewertung'!AJ38&lt;'Evaluation-Bewertung'!AK38,$D$382,TEXT('Evaluation-Bewertung'!_e2,"0%"))&amp;" ("&amp;'Evaluation-Bewertung'!AJ38&amp;"/26), ","")&amp;IF('Input Form - EingabeMaske'!D36&gt;2,"PS3: "&amp;IF('Evaluation-Bewertung'!AJ40&lt;'Evaluation-Bewertung'!AK40,$D$382,TEXT('Evaluation-Bewertung'!_e3,"0%"))&amp;" ("&amp;'Evaluation-Bewertung'!AJ40&amp;"/26), ","")</f>
        <v xml:space="preserve">PS1: 97% (21/26), </v>
      </c>
      <c r="F69" s="1198"/>
      <c r="G69" s="961"/>
      <c r="H69" s="1228"/>
      <c r="I69" s="1228"/>
      <c r="J69" s="1229"/>
      <c r="L69" s="904" t="str">
        <f>VLOOKUP(pos(L69),'Language-Sprachen'!$A$200:$G$461,'Language-Sprachen'!$A$3,0)</f>
        <v>Please fill in the number of process steps in the input area (D36) as needed. 17 from 26 questions must be answered for each process step.</v>
      </c>
      <c r="M69" s="1302" t="s">
        <v>900</v>
      </c>
      <c r="N69" s="1320"/>
      <c r="O69" s="1303"/>
      <c r="P69" s="1304"/>
      <c r="Q69" s="1305"/>
    </row>
    <row r="70" spans="1:17" s="824" customFormat="1" ht="39.75" customHeight="1" thickBot="1">
      <c r="A70" s="905" t="s">
        <v>64</v>
      </c>
      <c r="B70" s="906">
        <f>'Evaluation-Bewertung'!_es1</f>
        <v>1</v>
      </c>
      <c r="C70" s="907" t="str">
        <f>VLOOKUP(pos(C70),'Language-Sprachen'!$A$200:$G$461,'Language-Sprachen'!$A$3,0)</f>
        <v xml:space="preserve">What goes into the process ? Process input </v>
      </c>
      <c r="D70" s="1431"/>
      <c r="E70" s="1432"/>
      <c r="F70" s="1200"/>
      <c r="G70" s="962"/>
      <c r="H70" s="15"/>
      <c r="I70" s="15"/>
      <c r="J70" s="51"/>
      <c r="M70" s="1306" t="s">
        <v>900</v>
      </c>
      <c r="N70" s="1321"/>
      <c r="O70" s="1307"/>
      <c r="P70" s="1308"/>
      <c r="Q70" s="1309"/>
    </row>
    <row r="71" spans="1:17" s="824" customFormat="1" ht="31.5" customHeight="1" thickBot="1">
      <c r="A71" s="908" t="s">
        <v>117</v>
      </c>
      <c r="B71" s="909"/>
      <c r="C71" s="910" t="str">
        <f>VLOOKUP(pos(C71),'Language-Sprachen'!$A$200:$G$461,'Language-Sprachen'!$A$3,0)</f>
        <v xml:space="preserve">Has the project been transferred from development to serial production and is a reliable start guaranteed? </v>
      </c>
      <c r="D71" s="910"/>
      <c r="E71" s="910"/>
      <c r="F71" s="1199"/>
      <c r="G71" s="962"/>
      <c r="H71" s="15"/>
      <c r="I71" s="15"/>
      <c r="J71" s="51"/>
      <c r="K71" s="908" t="s">
        <v>117</v>
      </c>
      <c r="M71" s="1310" t="s">
        <v>900</v>
      </c>
      <c r="N71" s="1322"/>
      <c r="O71" s="1311"/>
      <c r="P71" s="1312"/>
      <c r="Q71" s="1313"/>
    </row>
    <row r="72" spans="1:17" s="824" customFormat="1" ht="51" customHeight="1" thickBot="1">
      <c r="A72" s="911" t="s">
        <v>197</v>
      </c>
      <c r="B72" s="909"/>
      <c r="C72" s="912" t="str">
        <f>PrSchr1</f>
        <v>Stage 1: Moldshop Process</v>
      </c>
      <c r="D72" s="359">
        <v>10</v>
      </c>
      <c r="E72" s="1345" t="str">
        <f t="shared" ref="E72:E81" si="2">IF(ISBLANK(D72),$L$13,IF(D72=10,$L$14,$L$15))</f>
        <v>No weak points identified</v>
      </c>
      <c r="F72" s="1201"/>
      <c r="G72" s="1185" t="str">
        <f>IF('Input Form - EingabeMaske'!$C$54="x","OK","")</f>
        <v>OK</v>
      </c>
      <c r="H72" s="969" t="str">
        <f>IF('Input Form - EingabeMaske'!$D$54="x","OK","")</f>
        <v/>
      </c>
      <c r="I72" s="969" t="str">
        <f>IF('Input Form - EingabeMaske'!$E$54="x","OK","")</f>
        <v/>
      </c>
      <c r="J72" s="45" t="str">
        <f>IF('Input Form - EingabeMaske'!$F$54="x","OK","")</f>
        <v/>
      </c>
      <c r="M72" s="1400" t="s">
        <v>900</v>
      </c>
      <c r="N72" s="1403" t="s">
        <v>901</v>
      </c>
      <c r="O72" s="1421" t="s">
        <v>902</v>
      </c>
      <c r="P72" s="1415" t="s">
        <v>881</v>
      </c>
      <c r="Q72" s="1418" t="s">
        <v>882</v>
      </c>
    </row>
    <row r="73" spans="1:17" s="824" customFormat="1" ht="51" hidden="1" customHeight="1">
      <c r="A73" s="911" t="s">
        <v>198</v>
      </c>
      <c r="B73" s="909"/>
      <c r="C73" s="912" t="str">
        <f>PrSchr2</f>
        <v>Stage 2:</v>
      </c>
      <c r="D73" s="359">
        <v>10</v>
      </c>
      <c r="E73" s="952" t="str">
        <f t="shared" si="2"/>
        <v>No weak points identified</v>
      </c>
      <c r="F73" s="1201"/>
      <c r="G73" s="1185" t="str">
        <f>IF('Input Form - EingabeMaske'!$C$55="x","OK","")</f>
        <v>OK</v>
      </c>
      <c r="H73" s="969" t="str">
        <f>IF('Input Form - EingabeMaske'!$D$55="x","OK","")</f>
        <v/>
      </c>
      <c r="I73" s="969" t="str">
        <f>IF('Input Form - EingabeMaske'!$E$55="x","OK","")</f>
        <v/>
      </c>
      <c r="J73" s="45" t="str">
        <f>IF('Input Form - EingabeMaske'!$F$55="x","OK","")</f>
        <v/>
      </c>
      <c r="M73" s="1401"/>
      <c r="N73" s="1404"/>
      <c r="O73" s="1422"/>
      <c r="P73" s="1416"/>
      <c r="Q73" s="1419"/>
    </row>
    <row r="74" spans="1:17" s="824" customFormat="1" ht="51" hidden="1" customHeight="1">
      <c r="A74" s="911" t="s">
        <v>199</v>
      </c>
      <c r="B74" s="909"/>
      <c r="C74" s="912" t="str">
        <f>PrSchr3</f>
        <v>Stage 3</v>
      </c>
      <c r="D74" s="359" t="s">
        <v>514</v>
      </c>
      <c r="E74" s="952" t="str">
        <f t="shared" si="2"/>
        <v>Enter text</v>
      </c>
      <c r="F74" s="1201"/>
      <c r="G74" s="1185" t="str">
        <f>IF('Input Form - EingabeMaske'!$C$56="x","OK","")</f>
        <v>OK</v>
      </c>
      <c r="H74" s="969" t="str">
        <f>IF('Input Form - EingabeMaske'!$D$56="x","OK","")</f>
        <v/>
      </c>
      <c r="I74" s="969" t="str">
        <f>IF('Input Form - EingabeMaske'!$E$56="x","OK","")</f>
        <v/>
      </c>
      <c r="J74" s="45" t="str">
        <f>IF('Input Form - EingabeMaske'!$F$56="x","OK","")</f>
        <v/>
      </c>
      <c r="M74" s="1401"/>
      <c r="N74" s="1404"/>
      <c r="O74" s="1422"/>
      <c r="P74" s="1416"/>
      <c r="Q74" s="1419"/>
    </row>
    <row r="75" spans="1:17" s="824" customFormat="1" ht="51" hidden="1" customHeight="1">
      <c r="A75" s="911" t="s">
        <v>767</v>
      </c>
      <c r="B75" s="909"/>
      <c r="C75" s="847" t="str">
        <f>PrSchr4</f>
        <v>Stage 4</v>
      </c>
      <c r="D75" s="359" t="s">
        <v>514</v>
      </c>
      <c r="E75" s="952" t="str">
        <f t="shared" si="2"/>
        <v>Enter text</v>
      </c>
      <c r="F75" s="1201"/>
      <c r="G75" s="1185" t="str">
        <f>IF('Input Form - EingabeMaske'!$C$57="x","OK","")</f>
        <v>OK</v>
      </c>
      <c r="H75" s="969" t="str">
        <f>IF('Input Form - EingabeMaske'!$D$57="x","OK","")</f>
        <v/>
      </c>
      <c r="I75" s="969" t="str">
        <f>IF('Input Form - EingabeMaske'!$E$57="x","OK","")</f>
        <v/>
      </c>
      <c r="J75" s="45" t="str">
        <f>IF('Input Form - EingabeMaske'!$F$57="x","OK","")</f>
        <v/>
      </c>
      <c r="M75" s="1401"/>
      <c r="N75" s="1404"/>
      <c r="O75" s="1422"/>
      <c r="P75" s="1416"/>
      <c r="Q75" s="1419"/>
    </row>
    <row r="76" spans="1:17" s="824" customFormat="1" ht="51" hidden="1" customHeight="1">
      <c r="A76" s="911" t="s">
        <v>768</v>
      </c>
      <c r="B76" s="909"/>
      <c r="C76" s="847" t="str">
        <f>PrSchr5</f>
        <v>Stage 5</v>
      </c>
      <c r="D76" s="359" t="s">
        <v>514</v>
      </c>
      <c r="E76" s="952" t="str">
        <f t="shared" si="2"/>
        <v>Enter text</v>
      </c>
      <c r="F76" s="1201"/>
      <c r="G76" s="1185" t="str">
        <f>IF('Input Form - EingabeMaske'!$C$58="x","OK","")</f>
        <v>OK</v>
      </c>
      <c r="H76" s="969" t="str">
        <f>IF('Input Form - EingabeMaske'!$D$58="x","OK","")</f>
        <v/>
      </c>
      <c r="I76" s="969" t="str">
        <f>IF('Input Form - EingabeMaske'!$E$58="x","OK","")</f>
        <v/>
      </c>
      <c r="J76" s="45" t="str">
        <f>IF('Input Form - EingabeMaske'!$F$58="x","OK","")</f>
        <v/>
      </c>
      <c r="M76" s="1401"/>
      <c r="N76" s="1404"/>
      <c r="O76" s="1423"/>
      <c r="P76" s="1416"/>
      <c r="Q76" s="1419"/>
    </row>
    <row r="77" spans="1:17" s="824" customFormat="1" ht="15.75" hidden="1" customHeight="1">
      <c r="A77" s="911" t="s">
        <v>769</v>
      </c>
      <c r="B77" s="909"/>
      <c r="C77" s="847" t="str">
        <f>PrSchr6</f>
        <v>Stage 6</v>
      </c>
      <c r="D77" s="359" t="s">
        <v>514</v>
      </c>
      <c r="E77" s="952" t="str">
        <f t="shared" si="2"/>
        <v>Enter text</v>
      </c>
      <c r="F77" s="1201"/>
      <c r="G77" s="1185" t="str">
        <f>IF('Input Form - EingabeMaske'!$C$59="x","OK","")</f>
        <v/>
      </c>
      <c r="H77" s="969" t="str">
        <f>IF('Input Form - EingabeMaske'!$D$59="x","OK","")</f>
        <v/>
      </c>
      <c r="I77" s="969" t="str">
        <f>IF('Input Form - EingabeMaske'!$E$59="x","OK","")</f>
        <v/>
      </c>
      <c r="J77" s="45" t="str">
        <f>IF('Input Form - EingabeMaske'!$F$59="x","OK","")</f>
        <v/>
      </c>
      <c r="M77" s="1401"/>
      <c r="N77" s="1404"/>
      <c r="O77" s="1334"/>
      <c r="P77" s="1416"/>
      <c r="Q77" s="1419"/>
    </row>
    <row r="78" spans="1:17" s="824" customFormat="1" ht="15.75" hidden="1" customHeight="1">
      <c r="A78" s="911" t="s">
        <v>770</v>
      </c>
      <c r="B78" s="909"/>
      <c r="C78" s="847" t="str">
        <f>PrSchr7</f>
        <v>Stage 7</v>
      </c>
      <c r="D78" s="359" t="s">
        <v>514</v>
      </c>
      <c r="E78" s="952" t="str">
        <f t="shared" si="2"/>
        <v>Enter text</v>
      </c>
      <c r="F78" s="1201"/>
      <c r="G78" s="1185" t="str">
        <f>IF('Input Form - EingabeMaske'!$C$60="x","OK","")</f>
        <v/>
      </c>
      <c r="H78" s="969" t="str">
        <f>IF('Input Form - EingabeMaske'!$D$60="x","OK","")</f>
        <v/>
      </c>
      <c r="I78" s="969" t="str">
        <f>IF('Input Form - EingabeMaske'!$E$60="x","OK","")</f>
        <v/>
      </c>
      <c r="J78" s="45" t="str">
        <f>IF('Input Form - EingabeMaske'!$F$60="x","OK","")</f>
        <v/>
      </c>
      <c r="M78" s="1401"/>
      <c r="N78" s="1404"/>
      <c r="O78" s="1334"/>
      <c r="P78" s="1416"/>
      <c r="Q78" s="1419"/>
    </row>
    <row r="79" spans="1:17" s="824" customFormat="1" ht="15.75" hidden="1" customHeight="1">
      <c r="A79" s="911" t="s">
        <v>771</v>
      </c>
      <c r="B79" s="909"/>
      <c r="C79" s="847" t="str">
        <f>PrSchr8</f>
        <v>Stage 8</v>
      </c>
      <c r="D79" s="359" t="s">
        <v>514</v>
      </c>
      <c r="E79" s="952" t="str">
        <f t="shared" si="2"/>
        <v>Enter text</v>
      </c>
      <c r="F79" s="1201"/>
      <c r="G79" s="1185" t="str">
        <f>IF('Input Form - EingabeMaske'!$C$61="x","OK","")</f>
        <v/>
      </c>
      <c r="H79" s="969" t="str">
        <f>IF('Input Form - EingabeMaske'!$D$61="x","OK","")</f>
        <v/>
      </c>
      <c r="I79" s="969" t="str">
        <f>IF('Input Form - EingabeMaske'!$E$61="x","OK","")</f>
        <v/>
      </c>
      <c r="J79" s="45" t="str">
        <f>IF('Input Form - EingabeMaske'!$F$61="x","OK","")</f>
        <v/>
      </c>
      <c r="M79" s="1401"/>
      <c r="N79" s="1404"/>
      <c r="O79" s="1334"/>
      <c r="P79" s="1416"/>
      <c r="Q79" s="1419"/>
    </row>
    <row r="80" spans="1:17" s="824" customFormat="1" ht="15.75" hidden="1" customHeight="1">
      <c r="A80" s="911" t="s">
        <v>772</v>
      </c>
      <c r="B80" s="909"/>
      <c r="C80" s="847" t="str">
        <f>PrSchr9</f>
        <v>Stage 9</v>
      </c>
      <c r="D80" s="359" t="s">
        <v>514</v>
      </c>
      <c r="E80" s="952" t="str">
        <f t="shared" si="2"/>
        <v>Enter text</v>
      </c>
      <c r="F80" s="1201"/>
      <c r="G80" s="1185" t="str">
        <f>IF('Input Form - EingabeMaske'!$C$62="x","OK","")</f>
        <v/>
      </c>
      <c r="H80" s="969" t="str">
        <f>IF('Input Form - EingabeMaske'!$D$62="x","OK","")</f>
        <v/>
      </c>
      <c r="I80" s="969" t="str">
        <f>IF('Input Form - EingabeMaske'!$E$62="x","OK","")</f>
        <v/>
      </c>
      <c r="J80" s="45" t="str">
        <f>IF('Input Form - EingabeMaske'!$F$62="x","OK","")</f>
        <v/>
      </c>
      <c r="M80" s="1401"/>
      <c r="N80" s="1404"/>
      <c r="O80" s="1334"/>
      <c r="P80" s="1416"/>
      <c r="Q80" s="1419"/>
    </row>
    <row r="81" spans="1:17" s="824" customFormat="1" ht="16.5" hidden="1" customHeight="1" thickBot="1">
      <c r="A81" s="911" t="s">
        <v>773</v>
      </c>
      <c r="B81" s="909"/>
      <c r="C81" s="847" t="str">
        <f>PrSchr10</f>
        <v>Stage 10</v>
      </c>
      <c r="D81" s="359" t="s">
        <v>514</v>
      </c>
      <c r="E81" s="952" t="str">
        <f t="shared" si="2"/>
        <v>Enter text</v>
      </c>
      <c r="F81" s="1201"/>
      <c r="G81" s="1185" t="str">
        <f>IF('Input Form - EingabeMaske'!$C$63="x","OK","")</f>
        <v/>
      </c>
      <c r="H81" s="969" t="str">
        <f>IF('Input Form - EingabeMaske'!$D$63="x","OK","")</f>
        <v/>
      </c>
      <c r="I81" s="969" t="str">
        <f>IF('Input Form - EingabeMaske'!$E$63="x","OK","")</f>
        <v/>
      </c>
      <c r="J81" s="45" t="str">
        <f>IF('Input Form - EingabeMaske'!$F$63="x","OK","")</f>
        <v/>
      </c>
      <c r="M81" s="1402"/>
      <c r="N81" s="1405"/>
      <c r="O81" s="1335"/>
      <c r="P81" s="1417"/>
      <c r="Q81" s="1420"/>
    </row>
    <row r="82" spans="1:17" s="824" customFormat="1" ht="54" customHeight="1" thickBot="1">
      <c r="A82" s="913" t="s">
        <v>48</v>
      </c>
      <c r="B82" s="914"/>
      <c r="C82" s="864" t="str">
        <f>VLOOKUP(pos(C82),'Language-Sprachen'!$A$200:$G$461,'Language-Sprachen'!$A$3,0)</f>
        <v>Are the necessary quantities / production batch sizes of incoming materials available at the agreed upon time and at the correct storage location / work-station?</v>
      </c>
      <c r="D82" s="864"/>
      <c r="E82" s="864"/>
      <c r="F82" s="1197"/>
      <c r="G82" s="962"/>
      <c r="H82" s="15"/>
      <c r="I82" s="15"/>
      <c r="J82" s="51"/>
      <c r="K82" s="913" t="s">
        <v>48</v>
      </c>
      <c r="M82" s="1283" t="s">
        <v>900</v>
      </c>
      <c r="N82" s="1324"/>
      <c r="O82" s="1336"/>
      <c r="P82" s="1286"/>
      <c r="Q82" s="1317"/>
    </row>
    <row r="83" spans="1:17" s="824" customFormat="1" ht="39.950000000000003" customHeight="1" thickBot="1">
      <c r="A83" s="915" t="s">
        <v>197</v>
      </c>
      <c r="B83" s="916"/>
      <c r="C83" s="847" t="str">
        <f>PrSchr1</f>
        <v>Stage 1: Moldshop Process</v>
      </c>
      <c r="D83" s="359">
        <v>10</v>
      </c>
      <c r="E83" s="952" t="s">
        <v>1015</v>
      </c>
      <c r="F83" s="1201"/>
      <c r="G83" s="1185" t="str">
        <f>IF('Input Form - EingabeMaske'!$C$54="x","OK","")</f>
        <v>OK</v>
      </c>
      <c r="H83" s="969" t="str">
        <f>IF('Input Form - EingabeMaske'!$D$54="x","OK","")</f>
        <v/>
      </c>
      <c r="I83" s="969" t="str">
        <f>IF('Input Form - EingabeMaske'!$E$54="x","OK","")</f>
        <v/>
      </c>
      <c r="J83" s="45" t="str">
        <f>IF('Input Form - EingabeMaske'!$F$54="x","OK","")</f>
        <v/>
      </c>
      <c r="M83" s="1400" t="s">
        <v>900</v>
      </c>
      <c r="N83" s="1403" t="s">
        <v>903</v>
      </c>
      <c r="O83" s="1421" t="s">
        <v>904</v>
      </c>
      <c r="P83" s="1415"/>
      <c r="Q83" s="1418" t="s">
        <v>905</v>
      </c>
    </row>
    <row r="84" spans="1:17" s="824" customFormat="1" ht="39.950000000000003" hidden="1" customHeight="1">
      <c r="A84" s="915" t="s">
        <v>198</v>
      </c>
      <c r="B84" s="916"/>
      <c r="C84" s="847" t="str">
        <f>PrSchr2</f>
        <v>Stage 2:</v>
      </c>
      <c r="D84" s="359">
        <v>10</v>
      </c>
      <c r="E84" s="952" t="s">
        <v>990</v>
      </c>
      <c r="F84" s="1201"/>
      <c r="G84" s="1185" t="str">
        <f>IF('Input Form - EingabeMaske'!$C$55="x","OK","")</f>
        <v>OK</v>
      </c>
      <c r="H84" s="969" t="str">
        <f>IF('Input Form - EingabeMaske'!$D$55="x","OK","")</f>
        <v/>
      </c>
      <c r="I84" s="969" t="str">
        <f>IF('Input Form - EingabeMaske'!$E$55="x","OK","")</f>
        <v/>
      </c>
      <c r="J84" s="45" t="str">
        <f>IF('Input Form - EingabeMaske'!$F$55="x","OK","")</f>
        <v/>
      </c>
      <c r="M84" s="1401" t="s">
        <v>900</v>
      </c>
      <c r="N84" s="1404"/>
      <c r="O84" s="1422"/>
      <c r="P84" s="1416"/>
      <c r="Q84" s="1419"/>
    </row>
    <row r="85" spans="1:17" s="824" customFormat="1" ht="39.950000000000003" hidden="1" customHeight="1">
      <c r="A85" s="915" t="s">
        <v>199</v>
      </c>
      <c r="B85" s="916"/>
      <c r="C85" s="847" t="str">
        <f>PrSchr3</f>
        <v>Stage 3</v>
      </c>
      <c r="D85" s="359" t="s">
        <v>514</v>
      </c>
      <c r="E85" s="954" t="str">
        <f t="shared" ref="E85:E92" si="3">IF(ISBLANK(D85),$L$13,IF(D85=10,$L$14,$L$15))</f>
        <v>Enter text</v>
      </c>
      <c r="F85" s="1201"/>
      <c r="G85" s="1185" t="str">
        <f>IF('Input Form - EingabeMaske'!$C$56="x","OK","")</f>
        <v>OK</v>
      </c>
      <c r="H85" s="969" t="str">
        <f>IF('Input Form - EingabeMaske'!$D$56="x","OK","")</f>
        <v/>
      </c>
      <c r="I85" s="969" t="str">
        <f>IF('Input Form - EingabeMaske'!$E$56="x","OK","")</f>
        <v/>
      </c>
      <c r="J85" s="45" t="str">
        <f>IF('Input Form - EingabeMaske'!$F$56="x","OK","")</f>
        <v/>
      </c>
      <c r="M85" s="1401" t="s">
        <v>900</v>
      </c>
      <c r="N85" s="1404"/>
      <c r="O85" s="1422"/>
      <c r="P85" s="1416"/>
      <c r="Q85" s="1419"/>
    </row>
    <row r="86" spans="1:17" s="824" customFormat="1" ht="39.950000000000003" hidden="1" customHeight="1">
      <c r="A86" s="915" t="s">
        <v>767</v>
      </c>
      <c r="B86" s="1252"/>
      <c r="C86" s="847" t="str">
        <f>PrSchr4</f>
        <v>Stage 4</v>
      </c>
      <c r="D86" s="359" t="s">
        <v>514</v>
      </c>
      <c r="E86" s="954" t="str">
        <f t="shared" si="3"/>
        <v>Enter text</v>
      </c>
      <c r="F86" s="1201"/>
      <c r="G86" s="1185" t="str">
        <f>IF('Input Form - EingabeMaske'!$C$57="x","OK","")</f>
        <v>OK</v>
      </c>
      <c r="H86" s="969" t="str">
        <f>IF('Input Form - EingabeMaske'!$D$57="x","OK","")</f>
        <v/>
      </c>
      <c r="I86" s="969" t="str">
        <f>IF('Input Form - EingabeMaske'!$E$57="x","OK","")</f>
        <v/>
      </c>
      <c r="J86" s="45" t="str">
        <f>IF('Input Form - EingabeMaske'!$F$57="x","OK","")</f>
        <v/>
      </c>
      <c r="M86" s="1401" t="s">
        <v>900</v>
      </c>
      <c r="N86" s="1404"/>
      <c r="O86" s="1422"/>
      <c r="P86" s="1416"/>
      <c r="Q86" s="1419"/>
    </row>
    <row r="87" spans="1:17" s="824" customFormat="1" ht="39.950000000000003" hidden="1" customHeight="1">
      <c r="A87" s="915" t="s">
        <v>768</v>
      </c>
      <c r="B87" s="1252"/>
      <c r="C87" s="847" t="str">
        <f>PrSchr5</f>
        <v>Stage 5</v>
      </c>
      <c r="D87" s="359" t="s">
        <v>514</v>
      </c>
      <c r="E87" s="954" t="str">
        <f t="shared" si="3"/>
        <v>Enter text</v>
      </c>
      <c r="F87" s="1201"/>
      <c r="G87" s="1185" t="str">
        <f>IF('Input Form - EingabeMaske'!$C$58="x","OK","")</f>
        <v>OK</v>
      </c>
      <c r="H87" s="969" t="str">
        <f>IF('Input Form - EingabeMaske'!$D$58="x","OK","")</f>
        <v/>
      </c>
      <c r="I87" s="969" t="str">
        <f>IF('Input Form - EingabeMaske'!$E$58="x","OK","")</f>
        <v/>
      </c>
      <c r="J87" s="45" t="str">
        <f>IF('Input Form - EingabeMaske'!$F$58="x","OK","")</f>
        <v/>
      </c>
      <c r="M87" s="1401" t="s">
        <v>900</v>
      </c>
      <c r="N87" s="1404"/>
      <c r="O87" s="1423"/>
      <c r="P87" s="1416"/>
      <c r="Q87" s="1419"/>
    </row>
    <row r="88" spans="1:17" s="824" customFormat="1" ht="15.75" hidden="1" customHeight="1">
      <c r="A88" s="915" t="s">
        <v>769</v>
      </c>
      <c r="B88" s="1252"/>
      <c r="C88" s="847" t="str">
        <f>PrSchr6</f>
        <v>Stage 6</v>
      </c>
      <c r="D88" s="359" t="s">
        <v>514</v>
      </c>
      <c r="E88" s="952" t="str">
        <f t="shared" si="3"/>
        <v>Enter text</v>
      </c>
      <c r="F88" s="1201"/>
      <c r="G88" s="1185" t="str">
        <f>IF('Input Form - EingabeMaske'!$C$59="x","OK","")</f>
        <v/>
      </c>
      <c r="H88" s="969" t="str">
        <f>IF('Input Form - EingabeMaske'!$D$59="x","OK","")</f>
        <v/>
      </c>
      <c r="I88" s="969" t="str">
        <f>IF('Input Form - EingabeMaske'!$E$59="x","OK","")</f>
        <v/>
      </c>
      <c r="J88" s="45" t="str">
        <f>IF('Input Form - EingabeMaske'!$F$59="x","OK","")</f>
        <v/>
      </c>
      <c r="M88" s="1401" t="s">
        <v>900</v>
      </c>
      <c r="N88" s="1404"/>
      <c r="O88" s="1334"/>
      <c r="P88" s="1416"/>
      <c r="Q88" s="1419"/>
    </row>
    <row r="89" spans="1:17" s="824" customFormat="1" ht="15.75" hidden="1" customHeight="1">
      <c r="A89" s="915" t="s">
        <v>770</v>
      </c>
      <c r="B89" s="1252"/>
      <c r="C89" s="847" t="str">
        <f>PrSchr7</f>
        <v>Stage 7</v>
      </c>
      <c r="D89" s="359" t="s">
        <v>514</v>
      </c>
      <c r="E89" s="952" t="str">
        <f t="shared" si="3"/>
        <v>Enter text</v>
      </c>
      <c r="F89" s="1201"/>
      <c r="G89" s="1185" t="str">
        <f>IF('Input Form - EingabeMaske'!$C$60="x","OK","")</f>
        <v/>
      </c>
      <c r="H89" s="969" t="str">
        <f>IF('Input Form - EingabeMaske'!$D$60="x","OK","")</f>
        <v/>
      </c>
      <c r="I89" s="969" t="str">
        <f>IF('Input Form - EingabeMaske'!$E$60="x","OK","")</f>
        <v/>
      </c>
      <c r="J89" s="45" t="str">
        <f>IF('Input Form - EingabeMaske'!$F$60="x","OK","")</f>
        <v/>
      </c>
      <c r="M89" s="1401" t="s">
        <v>900</v>
      </c>
      <c r="N89" s="1404"/>
      <c r="O89" s="1334"/>
      <c r="P89" s="1416"/>
      <c r="Q89" s="1419"/>
    </row>
    <row r="90" spans="1:17" s="824" customFormat="1" ht="15.75" hidden="1" customHeight="1">
      <c r="A90" s="915" t="s">
        <v>771</v>
      </c>
      <c r="B90" s="1252"/>
      <c r="C90" s="847" t="str">
        <f>PrSchr8</f>
        <v>Stage 8</v>
      </c>
      <c r="D90" s="359" t="s">
        <v>514</v>
      </c>
      <c r="E90" s="952" t="str">
        <f t="shared" si="3"/>
        <v>Enter text</v>
      </c>
      <c r="F90" s="1201"/>
      <c r="G90" s="1185" t="str">
        <f>IF('Input Form - EingabeMaske'!$C$61="x","OK","")</f>
        <v/>
      </c>
      <c r="H90" s="969" t="str">
        <f>IF('Input Form - EingabeMaske'!$D$61="x","OK","")</f>
        <v/>
      </c>
      <c r="I90" s="969" t="str">
        <f>IF('Input Form - EingabeMaske'!$E$61="x","OK","")</f>
        <v/>
      </c>
      <c r="J90" s="45" t="str">
        <f>IF('Input Form - EingabeMaske'!$F$61="x","OK","")</f>
        <v/>
      </c>
      <c r="M90" s="1401" t="s">
        <v>900</v>
      </c>
      <c r="N90" s="1404"/>
      <c r="O90" s="1334"/>
      <c r="P90" s="1416"/>
      <c r="Q90" s="1419"/>
    </row>
    <row r="91" spans="1:17" s="824" customFormat="1" ht="15.75" hidden="1" customHeight="1">
      <c r="A91" s="915" t="s">
        <v>772</v>
      </c>
      <c r="B91" s="1252"/>
      <c r="C91" s="847" t="str">
        <f>PrSchr9</f>
        <v>Stage 9</v>
      </c>
      <c r="D91" s="359" t="s">
        <v>514</v>
      </c>
      <c r="E91" s="952" t="str">
        <f t="shared" si="3"/>
        <v>Enter text</v>
      </c>
      <c r="F91" s="1201"/>
      <c r="G91" s="1185" t="str">
        <f>IF('Input Form - EingabeMaske'!$C$62="x","OK","")</f>
        <v/>
      </c>
      <c r="H91" s="969" t="str">
        <f>IF('Input Form - EingabeMaske'!$D$62="x","OK","")</f>
        <v/>
      </c>
      <c r="I91" s="969" t="str">
        <f>IF('Input Form - EingabeMaske'!$E$62="x","OK","")</f>
        <v/>
      </c>
      <c r="J91" s="45" t="str">
        <f>IF('Input Form - EingabeMaske'!$F$62="x","OK","")</f>
        <v/>
      </c>
      <c r="M91" s="1401" t="s">
        <v>900</v>
      </c>
      <c r="N91" s="1404"/>
      <c r="O91" s="1334"/>
      <c r="P91" s="1416"/>
      <c r="Q91" s="1419"/>
    </row>
    <row r="92" spans="1:17" s="824" customFormat="1" ht="16.5" hidden="1" customHeight="1" thickBot="1">
      <c r="A92" s="915" t="s">
        <v>773</v>
      </c>
      <c r="B92" s="1252"/>
      <c r="C92" s="847" t="str">
        <f>PrSchr10</f>
        <v>Stage 10</v>
      </c>
      <c r="D92" s="359" t="s">
        <v>514</v>
      </c>
      <c r="E92" s="953" t="str">
        <f t="shared" si="3"/>
        <v>Enter text</v>
      </c>
      <c r="F92" s="1201"/>
      <c r="G92" s="1185" t="str">
        <f>IF('Input Form - EingabeMaske'!$C$63="x","OK","")</f>
        <v/>
      </c>
      <c r="H92" s="969" t="str">
        <f>IF('Input Form - EingabeMaske'!$D$63="x","OK","")</f>
        <v/>
      </c>
      <c r="I92" s="969" t="str">
        <f>IF('Input Form - EingabeMaske'!$E$63="x","OK","")</f>
        <v/>
      </c>
      <c r="J92" s="45" t="str">
        <f>IF('Input Form - EingabeMaske'!$F$63="x","OK","")</f>
        <v/>
      </c>
      <c r="M92" s="1402" t="s">
        <v>900</v>
      </c>
      <c r="N92" s="1405"/>
      <c r="O92" s="1335"/>
      <c r="P92" s="1417"/>
      <c r="Q92" s="1420"/>
    </row>
    <row r="93" spans="1:17" s="824" customFormat="1" ht="63.75" customHeight="1" thickBot="1">
      <c r="A93" s="913" t="s">
        <v>34</v>
      </c>
      <c r="B93" s="914"/>
      <c r="C93" s="864" t="str">
        <f>VLOOKUP(pos(C93),'Language-Sprachen'!$A$200:$G$461,'Language-Sprachen'!$A$3,0)</f>
        <v xml:space="preserve">Are incoming materials stored appropriately and are transport facilities / packing arrangements suitable for the special characteristics of the incoming materials ? </v>
      </c>
      <c r="D93" s="864"/>
      <c r="E93" s="864"/>
      <c r="F93" s="1197"/>
      <c r="G93" s="962"/>
      <c r="H93" s="15"/>
      <c r="I93" s="15"/>
      <c r="J93" s="51"/>
      <c r="K93" s="913" t="s">
        <v>34</v>
      </c>
      <c r="M93" s="1283" t="s">
        <v>900</v>
      </c>
      <c r="N93" s="1324"/>
      <c r="O93" s="1336"/>
      <c r="P93" s="1286"/>
      <c r="Q93" s="1317"/>
    </row>
    <row r="94" spans="1:17" s="824" customFormat="1" ht="39.950000000000003" customHeight="1" thickBot="1">
      <c r="A94" s="915" t="s">
        <v>197</v>
      </c>
      <c r="B94" s="916"/>
      <c r="C94" s="847" t="str">
        <f>PrSchr1</f>
        <v>Stage 1: Moldshop Process</v>
      </c>
      <c r="D94" s="359">
        <v>10</v>
      </c>
      <c r="E94" s="952" t="s">
        <v>1016</v>
      </c>
      <c r="F94" s="1201"/>
      <c r="G94" s="1185" t="str">
        <f>IF('Input Form - EingabeMaske'!$C$54="x","OK","")</f>
        <v>OK</v>
      </c>
      <c r="H94" s="969" t="str">
        <f>IF('Input Form - EingabeMaske'!$D$54="x","OK","")</f>
        <v/>
      </c>
      <c r="I94" s="969" t="str">
        <f>IF('Input Form - EingabeMaske'!$E$54="x","OK","")</f>
        <v/>
      </c>
      <c r="J94" s="45" t="str">
        <f>IF('Input Form - EingabeMaske'!$F$54="x","OK","")</f>
        <v/>
      </c>
      <c r="M94" s="1400" t="s">
        <v>900</v>
      </c>
      <c r="N94" s="1403" t="s">
        <v>906</v>
      </c>
      <c r="O94" s="1421" t="s">
        <v>907</v>
      </c>
      <c r="P94" s="1415"/>
      <c r="Q94" s="1418">
        <v>3160</v>
      </c>
    </row>
    <row r="95" spans="1:17" s="824" customFormat="1" ht="39.950000000000003" hidden="1" customHeight="1">
      <c r="A95" s="915" t="s">
        <v>198</v>
      </c>
      <c r="B95" s="916"/>
      <c r="C95" s="847" t="str">
        <f>PrSchr2</f>
        <v>Stage 2:</v>
      </c>
      <c r="D95" s="359">
        <v>10</v>
      </c>
      <c r="E95" s="952" t="s">
        <v>991</v>
      </c>
      <c r="F95" s="1201"/>
      <c r="G95" s="1185" t="str">
        <f>IF('Input Form - EingabeMaske'!$C$55="x","OK","")</f>
        <v>OK</v>
      </c>
      <c r="H95" s="969" t="str">
        <f>IF('Input Form - EingabeMaske'!$D$55="x","OK","")</f>
        <v/>
      </c>
      <c r="I95" s="969" t="str">
        <f>IF('Input Form - EingabeMaske'!$E$55="x","OK","")</f>
        <v/>
      </c>
      <c r="J95" s="45" t="str">
        <f>IF('Input Form - EingabeMaske'!$F$55="x","OK","")</f>
        <v/>
      </c>
      <c r="M95" s="1401" t="s">
        <v>900</v>
      </c>
      <c r="N95" s="1404"/>
      <c r="O95" s="1422"/>
      <c r="P95" s="1416"/>
      <c r="Q95" s="1419"/>
    </row>
    <row r="96" spans="1:17" s="824" customFormat="1" ht="39.950000000000003" hidden="1" customHeight="1">
      <c r="A96" s="915" t="s">
        <v>199</v>
      </c>
      <c r="B96" s="916"/>
      <c r="C96" s="847" t="str">
        <f>PrSchr3</f>
        <v>Stage 3</v>
      </c>
      <c r="D96" s="359" t="s">
        <v>514</v>
      </c>
      <c r="E96" s="954" t="str">
        <f t="shared" ref="E96:E103" si="4">IF(ISBLANK(D96),$L$13,IF(D96=10,$L$14,$L$15))</f>
        <v>Enter text</v>
      </c>
      <c r="F96" s="1201"/>
      <c r="G96" s="1185" t="str">
        <f>IF('Input Form - EingabeMaske'!$C$56="x","OK","")</f>
        <v>OK</v>
      </c>
      <c r="H96" s="969" t="str">
        <f>IF('Input Form - EingabeMaske'!$D$56="x","OK","")</f>
        <v/>
      </c>
      <c r="I96" s="969" t="str">
        <f>IF('Input Form - EingabeMaske'!$E$56="x","OK","")</f>
        <v/>
      </c>
      <c r="J96" s="45" t="str">
        <f>IF('Input Form - EingabeMaske'!$F$56="x","OK","")</f>
        <v/>
      </c>
      <c r="M96" s="1401" t="s">
        <v>900</v>
      </c>
      <c r="N96" s="1404"/>
      <c r="O96" s="1422"/>
      <c r="P96" s="1416"/>
      <c r="Q96" s="1419"/>
    </row>
    <row r="97" spans="1:17" s="824" customFormat="1" ht="39.950000000000003" hidden="1" customHeight="1">
      <c r="A97" s="915" t="s">
        <v>767</v>
      </c>
      <c r="B97" s="1252"/>
      <c r="C97" s="847" t="str">
        <f>PrSchr4</f>
        <v>Stage 4</v>
      </c>
      <c r="D97" s="359" t="s">
        <v>514</v>
      </c>
      <c r="E97" s="954" t="str">
        <f t="shared" si="4"/>
        <v>Enter text</v>
      </c>
      <c r="F97" s="1201"/>
      <c r="G97" s="1185" t="str">
        <f>IF('Input Form - EingabeMaske'!$C$57="x","OK","")</f>
        <v>OK</v>
      </c>
      <c r="H97" s="969" t="str">
        <f>IF('Input Form - EingabeMaske'!$D$57="x","OK","")</f>
        <v/>
      </c>
      <c r="I97" s="969" t="str">
        <f>IF('Input Form - EingabeMaske'!$E$57="x","OK","")</f>
        <v/>
      </c>
      <c r="J97" s="45" t="str">
        <f>IF('Input Form - EingabeMaske'!$F$57="x","OK","")</f>
        <v/>
      </c>
      <c r="M97" s="1401" t="s">
        <v>900</v>
      </c>
      <c r="N97" s="1404"/>
      <c r="O97" s="1422"/>
      <c r="P97" s="1416"/>
      <c r="Q97" s="1419"/>
    </row>
    <row r="98" spans="1:17" s="824" customFormat="1" ht="39.950000000000003" hidden="1" customHeight="1">
      <c r="A98" s="915" t="s">
        <v>768</v>
      </c>
      <c r="B98" s="1252"/>
      <c r="C98" s="847" t="str">
        <f>PrSchr5</f>
        <v>Stage 5</v>
      </c>
      <c r="D98" s="359" t="s">
        <v>514</v>
      </c>
      <c r="E98" s="954" t="str">
        <f t="shared" si="4"/>
        <v>Enter text</v>
      </c>
      <c r="F98" s="1201"/>
      <c r="G98" s="1185" t="str">
        <f>IF('Input Form - EingabeMaske'!$C$58="x","OK","")</f>
        <v>OK</v>
      </c>
      <c r="H98" s="969" t="str">
        <f>IF('Input Form - EingabeMaske'!$D$58="x","OK","")</f>
        <v/>
      </c>
      <c r="I98" s="969" t="str">
        <f>IF('Input Form - EingabeMaske'!$E$58="x","OK","")</f>
        <v/>
      </c>
      <c r="J98" s="45" t="str">
        <f>IF('Input Form - EingabeMaske'!$F$58="x","OK","")</f>
        <v/>
      </c>
      <c r="M98" s="1401" t="s">
        <v>900</v>
      </c>
      <c r="N98" s="1404"/>
      <c r="O98" s="1423"/>
      <c r="P98" s="1416"/>
      <c r="Q98" s="1419"/>
    </row>
    <row r="99" spans="1:17" s="824" customFormat="1" ht="15.75" hidden="1" customHeight="1">
      <c r="A99" s="915" t="s">
        <v>769</v>
      </c>
      <c r="B99" s="1252"/>
      <c r="C99" s="847" t="str">
        <f>PrSchr6</f>
        <v>Stage 6</v>
      </c>
      <c r="D99" s="359" t="s">
        <v>514</v>
      </c>
      <c r="E99" s="952" t="str">
        <f t="shared" si="4"/>
        <v>Enter text</v>
      </c>
      <c r="F99" s="1201"/>
      <c r="G99" s="1185" t="str">
        <f>IF('Input Form - EingabeMaske'!$C$59="x","OK","")</f>
        <v/>
      </c>
      <c r="H99" s="969" t="str">
        <f>IF('Input Form - EingabeMaske'!$D$59="x","OK","")</f>
        <v/>
      </c>
      <c r="I99" s="969" t="str">
        <f>IF('Input Form - EingabeMaske'!$E$59="x","OK","")</f>
        <v/>
      </c>
      <c r="J99" s="45" t="str">
        <f>IF('Input Form - EingabeMaske'!$F$59="x","OK","")</f>
        <v/>
      </c>
      <c r="M99" s="1401" t="s">
        <v>900</v>
      </c>
      <c r="N99" s="1404"/>
      <c r="O99" s="1316"/>
      <c r="P99" s="1416"/>
      <c r="Q99" s="1419"/>
    </row>
    <row r="100" spans="1:17" s="824" customFormat="1" ht="15.75" hidden="1" customHeight="1">
      <c r="A100" s="915" t="s">
        <v>770</v>
      </c>
      <c r="B100" s="1252"/>
      <c r="C100" s="847" t="str">
        <f>PrSchr7</f>
        <v>Stage 7</v>
      </c>
      <c r="D100" s="359" t="s">
        <v>514</v>
      </c>
      <c r="E100" s="952" t="str">
        <f t="shared" si="4"/>
        <v>Enter text</v>
      </c>
      <c r="F100" s="1201"/>
      <c r="G100" s="1185" t="str">
        <f>IF('Input Form - EingabeMaske'!$C$60="x","OK","")</f>
        <v/>
      </c>
      <c r="H100" s="969" t="str">
        <f>IF('Input Form - EingabeMaske'!$D$60="x","OK","")</f>
        <v/>
      </c>
      <c r="I100" s="969" t="str">
        <f>IF('Input Form - EingabeMaske'!$E$60="x","OK","")</f>
        <v/>
      </c>
      <c r="J100" s="45" t="str">
        <f>IF('Input Form - EingabeMaske'!$F$60="x","OK","")</f>
        <v/>
      </c>
      <c r="M100" s="1401" t="s">
        <v>900</v>
      </c>
      <c r="N100" s="1404"/>
      <c r="O100" s="1316"/>
      <c r="P100" s="1416"/>
      <c r="Q100" s="1419"/>
    </row>
    <row r="101" spans="1:17" s="824" customFormat="1" ht="15.75" hidden="1" customHeight="1">
      <c r="A101" s="915" t="s">
        <v>771</v>
      </c>
      <c r="B101" s="1252"/>
      <c r="C101" s="847" t="str">
        <f>PrSchr8</f>
        <v>Stage 8</v>
      </c>
      <c r="D101" s="359" t="s">
        <v>514</v>
      </c>
      <c r="E101" s="952" t="str">
        <f t="shared" si="4"/>
        <v>Enter text</v>
      </c>
      <c r="F101" s="1201"/>
      <c r="G101" s="1185" t="str">
        <f>IF('Input Form - EingabeMaske'!$C$61="x","OK","")</f>
        <v/>
      </c>
      <c r="H101" s="969" t="str">
        <f>IF('Input Form - EingabeMaske'!$D$61="x","OK","")</f>
        <v/>
      </c>
      <c r="I101" s="969" t="str">
        <f>IF('Input Form - EingabeMaske'!$E$61="x","OK","")</f>
        <v/>
      </c>
      <c r="J101" s="45" t="str">
        <f>IF('Input Form - EingabeMaske'!$F$61="x","OK","")</f>
        <v/>
      </c>
      <c r="M101" s="1401" t="s">
        <v>900</v>
      </c>
      <c r="N101" s="1404"/>
      <c r="O101" s="1316"/>
      <c r="P101" s="1416"/>
      <c r="Q101" s="1419"/>
    </row>
    <row r="102" spans="1:17" s="824" customFormat="1" ht="15.75" hidden="1" customHeight="1">
      <c r="A102" s="915" t="s">
        <v>772</v>
      </c>
      <c r="B102" s="1252"/>
      <c r="C102" s="847" t="str">
        <f>PrSchr9</f>
        <v>Stage 9</v>
      </c>
      <c r="D102" s="359" t="s">
        <v>514</v>
      </c>
      <c r="E102" s="952" t="str">
        <f t="shared" si="4"/>
        <v>Enter text</v>
      </c>
      <c r="F102" s="1201"/>
      <c r="G102" s="1185" t="str">
        <f>IF('Input Form - EingabeMaske'!$C$62="x","OK","")</f>
        <v/>
      </c>
      <c r="H102" s="969" t="str">
        <f>IF('Input Form - EingabeMaske'!$D$62="x","OK","")</f>
        <v/>
      </c>
      <c r="I102" s="969" t="str">
        <f>IF('Input Form - EingabeMaske'!$E$62="x","OK","")</f>
        <v/>
      </c>
      <c r="J102" s="45" t="str">
        <f>IF('Input Form - EingabeMaske'!$F$62="x","OK","")</f>
        <v/>
      </c>
      <c r="M102" s="1401" t="s">
        <v>900</v>
      </c>
      <c r="N102" s="1404"/>
      <c r="O102" s="1316"/>
      <c r="P102" s="1416"/>
      <c r="Q102" s="1419"/>
    </row>
    <row r="103" spans="1:17" s="824" customFormat="1" ht="34.5" hidden="1" customHeight="1" thickBot="1">
      <c r="A103" s="915" t="s">
        <v>773</v>
      </c>
      <c r="B103" s="1252"/>
      <c r="C103" s="847" t="str">
        <f>PrSchr10</f>
        <v>Stage 10</v>
      </c>
      <c r="D103" s="359" t="s">
        <v>514</v>
      </c>
      <c r="E103" s="953" t="str">
        <f t="shared" si="4"/>
        <v>Enter text</v>
      </c>
      <c r="F103" s="1201"/>
      <c r="G103" s="1185" t="str">
        <f>IF('Input Form - EingabeMaske'!$C$63="x","OK","")</f>
        <v/>
      </c>
      <c r="H103" s="969" t="str">
        <f>IF('Input Form - EingabeMaske'!$D$63="x","OK","")</f>
        <v/>
      </c>
      <c r="I103" s="969" t="str">
        <f>IF('Input Form - EingabeMaske'!$E$63="x","OK","")</f>
        <v/>
      </c>
      <c r="J103" s="45" t="str">
        <f>IF('Input Form - EingabeMaske'!$F$63="x","OK","")</f>
        <v/>
      </c>
      <c r="M103" s="1402" t="s">
        <v>900</v>
      </c>
      <c r="N103" s="1405"/>
      <c r="O103" s="1323"/>
      <c r="P103" s="1417"/>
      <c r="Q103" s="1420"/>
    </row>
    <row r="104" spans="1:17" s="824" customFormat="1" ht="49.5" customHeight="1" thickBot="1">
      <c r="A104" s="913" t="s">
        <v>35</v>
      </c>
      <c r="B104" s="914"/>
      <c r="C104" s="864" t="str">
        <f>VLOOKUP(pos(C104),'Language-Sprachen'!$A$200:$G$461,'Language-Sprachen'!$A$3,0)</f>
        <v xml:space="preserve">Are the necessary identifications / records / approvals available and allocated appropriately to the incoming materials ? </v>
      </c>
      <c r="D104" s="864"/>
      <c r="E104" s="864"/>
      <c r="F104" s="1197"/>
      <c r="G104" s="962"/>
      <c r="H104" s="15"/>
      <c r="I104" s="15"/>
      <c r="J104" s="51"/>
      <c r="K104" s="913" t="s">
        <v>35</v>
      </c>
      <c r="M104" s="1283" t="s">
        <v>900</v>
      </c>
      <c r="N104" s="1324"/>
      <c r="O104" s="1285"/>
      <c r="P104" s="1286"/>
      <c r="Q104" s="1317"/>
    </row>
    <row r="105" spans="1:17" s="824" customFormat="1" ht="39.950000000000003" customHeight="1" thickBot="1">
      <c r="A105" s="915" t="s">
        <v>197</v>
      </c>
      <c r="B105" s="916"/>
      <c r="C105" s="847" t="str">
        <f>PrSchr1</f>
        <v>Stage 1: Moldshop Process</v>
      </c>
      <c r="D105" s="359">
        <v>10</v>
      </c>
      <c r="E105" s="1345" t="str">
        <f t="shared" ref="E105:E114" si="5">IF(ISBLANK(D105),$L$13,IF(D105=10,$L$14,$L$15))</f>
        <v>No weak points identified</v>
      </c>
      <c r="F105" s="1201"/>
      <c r="G105" s="1185" t="str">
        <f>IF('Input Form - EingabeMaske'!$C$54="x","OK","")</f>
        <v>OK</v>
      </c>
      <c r="H105" s="969" t="str">
        <f>IF('Input Form - EingabeMaske'!$D$54="x","OK","")</f>
        <v/>
      </c>
      <c r="I105" s="969" t="str">
        <f>IF('Input Form - EingabeMaske'!$E$54="x","OK","")</f>
        <v/>
      </c>
      <c r="J105" s="45" t="str">
        <f>IF('Input Form - EingabeMaske'!$F$54="x","OK","")</f>
        <v/>
      </c>
      <c r="M105" s="1400" t="s">
        <v>900</v>
      </c>
      <c r="N105" s="1403" t="s">
        <v>908</v>
      </c>
      <c r="O105" s="1421" t="s">
        <v>909</v>
      </c>
      <c r="P105" s="1415" t="s">
        <v>910</v>
      </c>
      <c r="Q105" s="1418">
        <v>3160</v>
      </c>
    </row>
    <row r="106" spans="1:17" s="824" customFormat="1" ht="39.950000000000003" hidden="1" customHeight="1">
      <c r="A106" s="915" t="s">
        <v>198</v>
      </c>
      <c r="B106" s="916"/>
      <c r="C106" s="847" t="str">
        <f>PrSchr2</f>
        <v>Stage 2:</v>
      </c>
      <c r="D106" s="359">
        <v>10</v>
      </c>
      <c r="E106" s="952" t="s">
        <v>992</v>
      </c>
      <c r="F106" s="1201"/>
      <c r="G106" s="1185" t="str">
        <f>IF('Input Form - EingabeMaske'!$C$55="x","OK","")</f>
        <v>OK</v>
      </c>
      <c r="H106" s="969" t="str">
        <f>IF('Input Form - EingabeMaske'!$D$55="x","OK","")</f>
        <v/>
      </c>
      <c r="I106" s="969" t="str">
        <f>IF('Input Form - EingabeMaske'!$E$55="x","OK","")</f>
        <v/>
      </c>
      <c r="J106" s="45" t="str">
        <f>IF('Input Form - EingabeMaske'!$F$55="x","OK","")</f>
        <v/>
      </c>
      <c r="M106" s="1401" t="s">
        <v>900</v>
      </c>
      <c r="N106" s="1404"/>
      <c r="O106" s="1422"/>
      <c r="P106" s="1416"/>
      <c r="Q106" s="1419"/>
    </row>
    <row r="107" spans="1:17" s="824" customFormat="1" ht="39.950000000000003" hidden="1" customHeight="1">
      <c r="A107" s="915" t="s">
        <v>199</v>
      </c>
      <c r="B107" s="916"/>
      <c r="C107" s="847" t="str">
        <f>PrSchr3</f>
        <v>Stage 3</v>
      </c>
      <c r="D107" s="359" t="s">
        <v>514</v>
      </c>
      <c r="E107" s="952" t="str">
        <f t="shared" si="5"/>
        <v>Enter text</v>
      </c>
      <c r="F107" s="1201"/>
      <c r="G107" s="1185" t="str">
        <f>IF('Input Form - EingabeMaske'!$C$56="x","OK","")</f>
        <v>OK</v>
      </c>
      <c r="H107" s="969" t="str">
        <f>IF('Input Form - EingabeMaske'!$D$56="x","OK","")</f>
        <v/>
      </c>
      <c r="I107" s="969" t="str">
        <f>IF('Input Form - EingabeMaske'!$E$56="x","OK","")</f>
        <v/>
      </c>
      <c r="J107" s="45" t="str">
        <f>IF('Input Form - EingabeMaske'!$F$56="x","OK","")</f>
        <v/>
      </c>
      <c r="M107" s="1401" t="s">
        <v>900</v>
      </c>
      <c r="N107" s="1404"/>
      <c r="O107" s="1422"/>
      <c r="P107" s="1416"/>
      <c r="Q107" s="1419"/>
    </row>
    <row r="108" spans="1:17" s="824" customFormat="1" ht="39.950000000000003" hidden="1" customHeight="1">
      <c r="A108" s="915" t="s">
        <v>767</v>
      </c>
      <c r="B108" s="1252"/>
      <c r="C108" s="847" t="str">
        <f>PrSchr4</f>
        <v>Stage 4</v>
      </c>
      <c r="D108" s="359" t="s">
        <v>514</v>
      </c>
      <c r="E108" s="954" t="str">
        <f t="shared" si="5"/>
        <v>Enter text</v>
      </c>
      <c r="F108" s="1201"/>
      <c r="G108" s="1185" t="str">
        <f>IF('Input Form - EingabeMaske'!$C$57="x","OK","")</f>
        <v>OK</v>
      </c>
      <c r="H108" s="969" t="str">
        <f>IF('Input Form - EingabeMaske'!$D$57="x","OK","")</f>
        <v/>
      </c>
      <c r="I108" s="969" t="str">
        <f>IF('Input Form - EingabeMaske'!$E$57="x","OK","")</f>
        <v/>
      </c>
      <c r="J108" s="45" t="str">
        <f>IF('Input Form - EingabeMaske'!$F$57="x","OK","")</f>
        <v/>
      </c>
      <c r="M108" s="1401" t="s">
        <v>900</v>
      </c>
      <c r="N108" s="1404"/>
      <c r="O108" s="1422"/>
      <c r="P108" s="1416"/>
      <c r="Q108" s="1419"/>
    </row>
    <row r="109" spans="1:17" s="824" customFormat="1" ht="99" hidden="1" customHeight="1">
      <c r="A109" s="915" t="s">
        <v>768</v>
      </c>
      <c r="B109" s="1252"/>
      <c r="C109" s="847" t="str">
        <f>PrSchr5</f>
        <v>Stage 5</v>
      </c>
      <c r="D109" s="359" t="s">
        <v>514</v>
      </c>
      <c r="E109" s="954" t="str">
        <f t="shared" si="5"/>
        <v>Enter text</v>
      </c>
      <c r="F109" s="1201"/>
      <c r="G109" s="1185" t="str">
        <f>IF('Input Form - EingabeMaske'!$C$58="x","OK","")</f>
        <v>OK</v>
      </c>
      <c r="H109" s="969" t="str">
        <f>IF('Input Form - EingabeMaske'!$D$58="x","OK","")</f>
        <v/>
      </c>
      <c r="I109" s="969" t="str">
        <f>IF('Input Form - EingabeMaske'!$E$58="x","OK","")</f>
        <v/>
      </c>
      <c r="J109" s="45" t="str">
        <f>IF('Input Form - EingabeMaske'!$F$58="x","OK","")</f>
        <v/>
      </c>
      <c r="M109" s="1401" t="s">
        <v>900</v>
      </c>
      <c r="N109" s="1404"/>
      <c r="O109" s="1423"/>
      <c r="P109" s="1416"/>
      <c r="Q109" s="1419"/>
    </row>
    <row r="110" spans="1:17" s="824" customFormat="1" ht="39.950000000000003" hidden="1" customHeight="1">
      <c r="A110" s="915" t="s">
        <v>769</v>
      </c>
      <c r="B110" s="1252"/>
      <c r="C110" s="847" t="str">
        <f>PrSchr6</f>
        <v>Stage 6</v>
      </c>
      <c r="D110" s="359" t="s">
        <v>514</v>
      </c>
      <c r="E110" s="952" t="str">
        <f t="shared" si="5"/>
        <v>Enter text</v>
      </c>
      <c r="F110" s="1201"/>
      <c r="G110" s="1185" t="str">
        <f>IF('Input Form - EingabeMaske'!$C$59="x","OK","")</f>
        <v/>
      </c>
      <c r="H110" s="969" t="str">
        <f>IF('Input Form - EingabeMaske'!$D$59="x","OK","")</f>
        <v/>
      </c>
      <c r="I110" s="969" t="str">
        <f>IF('Input Form - EingabeMaske'!$E$59="x","OK","")</f>
        <v/>
      </c>
      <c r="J110" s="45" t="str">
        <f>IF('Input Form - EingabeMaske'!$F$59="x","OK","")</f>
        <v/>
      </c>
      <c r="M110" s="1401" t="s">
        <v>900</v>
      </c>
      <c r="N110" s="1404"/>
      <c r="O110" s="1316"/>
      <c r="P110" s="1416"/>
      <c r="Q110" s="1419"/>
    </row>
    <row r="111" spans="1:17" s="824" customFormat="1" ht="39.950000000000003" hidden="1" customHeight="1">
      <c r="A111" s="915" t="s">
        <v>770</v>
      </c>
      <c r="B111" s="1252"/>
      <c r="C111" s="847" t="str">
        <f>PrSchr7</f>
        <v>Stage 7</v>
      </c>
      <c r="D111" s="359" t="s">
        <v>514</v>
      </c>
      <c r="E111" s="952" t="str">
        <f t="shared" si="5"/>
        <v>Enter text</v>
      </c>
      <c r="F111" s="1201"/>
      <c r="G111" s="1185" t="str">
        <f>IF('Input Form - EingabeMaske'!$C$60="x","OK","")</f>
        <v/>
      </c>
      <c r="H111" s="969" t="str">
        <f>IF('Input Form - EingabeMaske'!$D$60="x","OK","")</f>
        <v/>
      </c>
      <c r="I111" s="969" t="str">
        <f>IF('Input Form - EingabeMaske'!$E$60="x","OK","")</f>
        <v/>
      </c>
      <c r="J111" s="45" t="str">
        <f>IF('Input Form - EingabeMaske'!$F$60="x","OK","")</f>
        <v/>
      </c>
      <c r="M111" s="1401" t="s">
        <v>900</v>
      </c>
      <c r="N111" s="1404"/>
      <c r="O111" s="1316"/>
      <c r="P111" s="1416"/>
      <c r="Q111" s="1419"/>
    </row>
    <row r="112" spans="1:17" s="824" customFormat="1" ht="39.950000000000003" hidden="1" customHeight="1">
      <c r="A112" s="915" t="s">
        <v>771</v>
      </c>
      <c r="B112" s="1252"/>
      <c r="C112" s="847" t="str">
        <f>PrSchr8</f>
        <v>Stage 8</v>
      </c>
      <c r="D112" s="359" t="s">
        <v>514</v>
      </c>
      <c r="E112" s="952" t="str">
        <f t="shared" si="5"/>
        <v>Enter text</v>
      </c>
      <c r="F112" s="1201"/>
      <c r="G112" s="1185" t="str">
        <f>IF('Input Form - EingabeMaske'!$C$61="x","OK","")</f>
        <v/>
      </c>
      <c r="H112" s="969" t="str">
        <f>IF('Input Form - EingabeMaske'!$D$61="x","OK","")</f>
        <v/>
      </c>
      <c r="I112" s="969" t="str">
        <f>IF('Input Form - EingabeMaske'!$E$61="x","OK","")</f>
        <v/>
      </c>
      <c r="J112" s="45" t="str">
        <f>IF('Input Form - EingabeMaske'!$F$61="x","OK","")</f>
        <v/>
      </c>
      <c r="M112" s="1401" t="s">
        <v>900</v>
      </c>
      <c r="N112" s="1404"/>
      <c r="O112" s="1316"/>
      <c r="P112" s="1416"/>
      <c r="Q112" s="1419"/>
    </row>
    <row r="113" spans="1:17" s="824" customFormat="1" ht="39.950000000000003" hidden="1" customHeight="1">
      <c r="A113" s="915" t="s">
        <v>772</v>
      </c>
      <c r="B113" s="1252"/>
      <c r="C113" s="847" t="str">
        <f>PrSchr9</f>
        <v>Stage 9</v>
      </c>
      <c r="D113" s="359" t="s">
        <v>514</v>
      </c>
      <c r="E113" s="952" t="str">
        <f t="shared" si="5"/>
        <v>Enter text</v>
      </c>
      <c r="F113" s="1201"/>
      <c r="G113" s="1185" t="str">
        <f>IF('Input Form - EingabeMaske'!$C$62="x","OK","")</f>
        <v/>
      </c>
      <c r="H113" s="969" t="str">
        <f>IF('Input Form - EingabeMaske'!$D$62="x","OK","")</f>
        <v/>
      </c>
      <c r="I113" s="969" t="str">
        <f>IF('Input Form - EingabeMaske'!$E$62="x","OK","")</f>
        <v/>
      </c>
      <c r="J113" s="45" t="str">
        <f>IF('Input Form - EingabeMaske'!$F$62="x","OK","")</f>
        <v/>
      </c>
      <c r="M113" s="1401" t="s">
        <v>900</v>
      </c>
      <c r="N113" s="1404"/>
      <c r="O113" s="1316"/>
      <c r="P113" s="1416"/>
      <c r="Q113" s="1419"/>
    </row>
    <row r="114" spans="1:17" s="824" customFormat="1" ht="20.25" hidden="1" customHeight="1" thickBot="1">
      <c r="A114" s="915" t="s">
        <v>773</v>
      </c>
      <c r="B114" s="1252"/>
      <c r="C114" s="847" t="str">
        <f>PrSchr10</f>
        <v>Stage 10</v>
      </c>
      <c r="D114" s="359" t="s">
        <v>514</v>
      </c>
      <c r="E114" s="953" t="str">
        <f t="shared" si="5"/>
        <v>Enter text</v>
      </c>
      <c r="F114" s="1201"/>
      <c r="G114" s="1185" t="str">
        <f>IF('Input Form - EingabeMaske'!$C$63="x","OK","")</f>
        <v/>
      </c>
      <c r="H114" s="969" t="str">
        <f>IF('Input Form - EingabeMaske'!$D$63="x","OK","")</f>
        <v/>
      </c>
      <c r="I114" s="969" t="str">
        <f>IF('Input Form - EingabeMaske'!$E$63="x","OK","")</f>
        <v/>
      </c>
      <c r="J114" s="45" t="str">
        <f>IF('Input Form - EingabeMaske'!$F$63="x","OK","")</f>
        <v/>
      </c>
      <c r="M114" s="1402" t="s">
        <v>900</v>
      </c>
      <c r="N114" s="1405"/>
      <c r="O114" s="1323"/>
      <c r="P114" s="1417"/>
      <c r="Q114" s="1420"/>
    </row>
    <row r="115" spans="1:17" s="824" customFormat="1" ht="40.5" customHeight="1" thickBot="1">
      <c r="A115" s="917" t="s">
        <v>36</v>
      </c>
      <c r="B115" s="918" t="s">
        <v>7</v>
      </c>
      <c r="C115" s="864" t="str">
        <f>VLOOKUP(pos(C115),'Language-Sprachen'!$A$200:$G$461,'Language-Sprachen'!$A$3,0)</f>
        <v xml:space="preserve">Are changes to the product or process made during the serial production tracked and documented? </v>
      </c>
      <c r="D115" s="864"/>
      <c r="E115" s="864"/>
      <c r="F115" s="1197"/>
      <c r="G115" s="962"/>
      <c r="H115" s="15"/>
      <c r="I115" s="15"/>
      <c r="J115" s="51"/>
      <c r="K115" s="917" t="s">
        <v>36</v>
      </c>
      <c r="M115" s="1283" t="s">
        <v>900</v>
      </c>
      <c r="N115" s="1324"/>
      <c r="O115" s="1285"/>
      <c r="P115" s="1286"/>
      <c r="Q115" s="1317"/>
    </row>
    <row r="116" spans="1:17" s="824" customFormat="1" ht="39.950000000000003" customHeight="1" thickBot="1">
      <c r="A116" s="919" t="s">
        <v>197</v>
      </c>
      <c r="B116" s="920"/>
      <c r="C116" s="847" t="str">
        <f>PrSchr1</f>
        <v>Stage 1: Moldshop Process</v>
      </c>
      <c r="D116" s="359" t="s">
        <v>514</v>
      </c>
      <c r="E116" s="1345" t="str">
        <f t="shared" ref="E116:E125" si="6">IF(ISBLANK(D116),$L$13,IF(D116=10,$L$14,$L$15))</f>
        <v>Enter text</v>
      </c>
      <c r="F116" s="1201"/>
      <c r="G116" s="1185" t="str">
        <f>IF('Input Form - EingabeMaske'!$C$54="x","OK","")</f>
        <v>OK</v>
      </c>
      <c r="H116" s="969" t="str">
        <f>IF('Input Form - EingabeMaske'!$D$54="x","OK","")</f>
        <v/>
      </c>
      <c r="I116" s="969" t="str">
        <f>IF('Input Form - EingabeMaske'!$E$54="x","OK","")</f>
        <v/>
      </c>
      <c r="J116" s="45" t="str">
        <f>IF('Input Form - EingabeMaske'!$F$54="x","OK","")</f>
        <v/>
      </c>
      <c r="M116" s="1400" t="s">
        <v>900</v>
      </c>
      <c r="N116" s="1424" t="s">
        <v>911</v>
      </c>
      <c r="O116" s="1421" t="s">
        <v>912</v>
      </c>
      <c r="P116" s="1415" t="s">
        <v>3</v>
      </c>
      <c r="Q116" s="1418">
        <v>4150</v>
      </c>
    </row>
    <row r="117" spans="1:17" s="824" customFormat="1" ht="39.950000000000003" hidden="1" customHeight="1">
      <c r="A117" s="919" t="s">
        <v>198</v>
      </c>
      <c r="B117" s="920"/>
      <c r="C117" s="847" t="str">
        <f>PrSchr2</f>
        <v>Stage 2:</v>
      </c>
      <c r="D117" s="359" t="s">
        <v>514</v>
      </c>
      <c r="E117" s="952" t="str">
        <f t="shared" si="6"/>
        <v>Enter text</v>
      </c>
      <c r="F117" s="1201"/>
      <c r="G117" s="1185" t="str">
        <f>IF('Input Form - EingabeMaske'!$C$55="x","OK","")</f>
        <v>OK</v>
      </c>
      <c r="H117" s="969" t="str">
        <f>IF('Input Form - EingabeMaske'!$D$55="x","OK","")</f>
        <v/>
      </c>
      <c r="I117" s="969" t="str">
        <f>IF('Input Form - EingabeMaske'!$E$55="x","OK","")</f>
        <v/>
      </c>
      <c r="J117" s="45" t="str">
        <f>IF('Input Form - EingabeMaske'!$F$55="x","OK","")</f>
        <v/>
      </c>
      <c r="M117" s="1401" t="s">
        <v>900</v>
      </c>
      <c r="N117" s="1425"/>
      <c r="O117" s="1422"/>
      <c r="P117" s="1416"/>
      <c r="Q117" s="1419"/>
    </row>
    <row r="118" spans="1:17" s="824" customFormat="1" ht="39.75" hidden="1" customHeight="1">
      <c r="A118" s="919" t="s">
        <v>199</v>
      </c>
      <c r="B118" s="920"/>
      <c r="C118" s="847" t="str">
        <f>PrSchr3</f>
        <v>Stage 3</v>
      </c>
      <c r="D118" s="359" t="s">
        <v>514</v>
      </c>
      <c r="E118" s="952" t="str">
        <f t="shared" si="6"/>
        <v>Enter text</v>
      </c>
      <c r="F118" s="1201"/>
      <c r="G118" s="1185" t="str">
        <f>IF('Input Form - EingabeMaske'!$C$56="x","OK","")</f>
        <v>OK</v>
      </c>
      <c r="H118" s="969" t="str">
        <f>IF('Input Form - EingabeMaske'!$D$56="x","OK","")</f>
        <v/>
      </c>
      <c r="I118" s="969" t="str">
        <f>IF('Input Form - EingabeMaske'!$E$56="x","OK","")</f>
        <v/>
      </c>
      <c r="J118" s="45" t="str">
        <f>IF('Input Form - EingabeMaske'!$F$56="x","OK","")</f>
        <v/>
      </c>
      <c r="M118" s="1401" t="s">
        <v>900</v>
      </c>
      <c r="N118" s="1425"/>
      <c r="O118" s="1422"/>
      <c r="P118" s="1416"/>
      <c r="Q118" s="1419"/>
    </row>
    <row r="119" spans="1:17" s="824" customFormat="1" ht="39.950000000000003" hidden="1" customHeight="1">
      <c r="A119" s="919" t="s">
        <v>767</v>
      </c>
      <c r="B119" s="885"/>
      <c r="C119" s="847" t="str">
        <f>PrSchr4</f>
        <v>Stage 4</v>
      </c>
      <c r="D119" s="359" t="s">
        <v>514</v>
      </c>
      <c r="E119" s="954" t="str">
        <f t="shared" si="6"/>
        <v>Enter text</v>
      </c>
      <c r="F119" s="1201"/>
      <c r="G119" s="1185" t="str">
        <f>IF('Input Form - EingabeMaske'!$C$57="x","OK","")</f>
        <v>OK</v>
      </c>
      <c r="H119" s="969" t="str">
        <f>IF('Input Form - EingabeMaske'!$D$57="x","OK","")</f>
        <v/>
      </c>
      <c r="I119" s="969" t="str">
        <f>IF('Input Form - EingabeMaske'!$E$57="x","OK","")</f>
        <v/>
      </c>
      <c r="J119" s="45" t="str">
        <f>IF('Input Form - EingabeMaske'!$F$57="x","OK","")</f>
        <v/>
      </c>
      <c r="M119" s="1401" t="s">
        <v>900</v>
      </c>
      <c r="N119" s="1425"/>
      <c r="O119" s="1422"/>
      <c r="P119" s="1416"/>
      <c r="Q119" s="1419"/>
    </row>
    <row r="120" spans="1:17" s="824" customFormat="1" ht="39.75" hidden="1" customHeight="1">
      <c r="A120" s="919" t="s">
        <v>768</v>
      </c>
      <c r="B120" s="885"/>
      <c r="C120" s="847" t="str">
        <f>PrSchr5</f>
        <v>Stage 5</v>
      </c>
      <c r="D120" s="359" t="s">
        <v>514</v>
      </c>
      <c r="E120" s="954" t="str">
        <f t="shared" si="6"/>
        <v>Enter text</v>
      </c>
      <c r="F120" s="1201"/>
      <c r="G120" s="1185" t="str">
        <f>IF('Input Form - EingabeMaske'!$C$58="x","OK","")</f>
        <v>OK</v>
      </c>
      <c r="H120" s="969" t="str">
        <f>IF('Input Form - EingabeMaske'!$D$58="x","OK","")</f>
        <v/>
      </c>
      <c r="I120" s="969" t="str">
        <f>IF('Input Form - EingabeMaske'!$E$58="x","OK","")</f>
        <v/>
      </c>
      <c r="J120" s="45" t="str">
        <f>IF('Input Form - EingabeMaske'!$F$58="x","OK","")</f>
        <v/>
      </c>
      <c r="M120" s="1401" t="s">
        <v>900</v>
      </c>
      <c r="N120" s="1425"/>
      <c r="O120" s="1423"/>
      <c r="P120" s="1416"/>
      <c r="Q120" s="1419"/>
    </row>
    <row r="121" spans="1:17" s="824" customFormat="1" ht="15.75" hidden="1" customHeight="1">
      <c r="A121" s="919" t="s">
        <v>769</v>
      </c>
      <c r="B121" s="885"/>
      <c r="C121" s="847" t="str">
        <f>PrSchr6</f>
        <v>Stage 6</v>
      </c>
      <c r="D121" s="359" t="s">
        <v>514</v>
      </c>
      <c r="E121" s="954" t="str">
        <f t="shared" si="6"/>
        <v>Enter text</v>
      </c>
      <c r="F121" s="1201"/>
      <c r="G121" s="1185" t="str">
        <f>IF('Input Form - EingabeMaske'!$C$59="x","OK","")</f>
        <v/>
      </c>
      <c r="H121" s="969" t="str">
        <f>IF('Input Form - EingabeMaske'!$D$59="x","OK","")</f>
        <v/>
      </c>
      <c r="I121" s="969" t="str">
        <f>IF('Input Form - EingabeMaske'!$E$59="x","OK","")</f>
        <v/>
      </c>
      <c r="J121" s="45" t="str">
        <f>IF('Input Form - EingabeMaske'!$F$59="x","OK","")</f>
        <v/>
      </c>
      <c r="M121" s="1401" t="s">
        <v>900</v>
      </c>
      <c r="N121" s="1425"/>
      <c r="O121" s="1316"/>
      <c r="P121" s="1416"/>
      <c r="Q121" s="1419"/>
    </row>
    <row r="122" spans="1:17" s="824" customFormat="1" ht="15.75" hidden="1" customHeight="1">
      <c r="A122" s="919" t="s">
        <v>770</v>
      </c>
      <c r="B122" s="885"/>
      <c r="C122" s="847" t="str">
        <f>PrSchr7</f>
        <v>Stage 7</v>
      </c>
      <c r="D122" s="359" t="s">
        <v>514</v>
      </c>
      <c r="E122" s="954" t="str">
        <f t="shared" si="6"/>
        <v>Enter text</v>
      </c>
      <c r="F122" s="1201"/>
      <c r="G122" s="1185" t="str">
        <f>IF('Input Form - EingabeMaske'!$C$60="x","OK","")</f>
        <v/>
      </c>
      <c r="H122" s="969" t="str">
        <f>IF('Input Form - EingabeMaske'!$D$60="x","OK","")</f>
        <v/>
      </c>
      <c r="I122" s="969" t="str">
        <f>IF('Input Form - EingabeMaske'!$E$60="x","OK","")</f>
        <v/>
      </c>
      <c r="J122" s="45" t="str">
        <f>IF('Input Form - EingabeMaske'!$F$60="x","OK","")</f>
        <v/>
      </c>
      <c r="M122" s="1401" t="s">
        <v>900</v>
      </c>
      <c r="N122" s="1425"/>
      <c r="O122" s="1316"/>
      <c r="P122" s="1416"/>
      <c r="Q122" s="1419"/>
    </row>
    <row r="123" spans="1:17" s="824" customFormat="1" ht="15.75" hidden="1" customHeight="1">
      <c r="A123" s="919" t="s">
        <v>771</v>
      </c>
      <c r="B123" s="885"/>
      <c r="C123" s="847" t="str">
        <f>PrSchr8</f>
        <v>Stage 8</v>
      </c>
      <c r="D123" s="359" t="s">
        <v>514</v>
      </c>
      <c r="E123" s="954" t="str">
        <f t="shared" si="6"/>
        <v>Enter text</v>
      </c>
      <c r="F123" s="1201"/>
      <c r="G123" s="1185" t="str">
        <f>IF('Input Form - EingabeMaske'!$C$61="x","OK","")</f>
        <v/>
      </c>
      <c r="H123" s="969" t="str">
        <f>IF('Input Form - EingabeMaske'!$D$61="x","OK","")</f>
        <v/>
      </c>
      <c r="I123" s="969" t="str">
        <f>IF('Input Form - EingabeMaske'!$E$61="x","OK","")</f>
        <v/>
      </c>
      <c r="J123" s="45" t="str">
        <f>IF('Input Form - EingabeMaske'!$F$61="x","OK","")</f>
        <v/>
      </c>
      <c r="M123" s="1401" t="s">
        <v>900</v>
      </c>
      <c r="N123" s="1425"/>
      <c r="O123" s="1316"/>
      <c r="P123" s="1416"/>
      <c r="Q123" s="1419"/>
    </row>
    <row r="124" spans="1:17" s="824" customFormat="1" ht="15.75" hidden="1" customHeight="1">
      <c r="A124" s="919" t="s">
        <v>772</v>
      </c>
      <c r="B124" s="885"/>
      <c r="C124" s="847" t="str">
        <f>PrSchr9</f>
        <v>Stage 9</v>
      </c>
      <c r="D124" s="359" t="s">
        <v>514</v>
      </c>
      <c r="E124" s="954" t="str">
        <f t="shared" si="6"/>
        <v>Enter text</v>
      </c>
      <c r="F124" s="1201"/>
      <c r="G124" s="1185" t="str">
        <f>IF('Input Form - EingabeMaske'!$C$62="x","OK","")</f>
        <v/>
      </c>
      <c r="H124" s="969" t="str">
        <f>IF('Input Form - EingabeMaske'!$D$62="x","OK","")</f>
        <v/>
      </c>
      <c r="I124" s="969" t="str">
        <f>IF('Input Form - EingabeMaske'!$E$62="x","OK","")</f>
        <v/>
      </c>
      <c r="J124" s="45" t="str">
        <f>IF('Input Form - EingabeMaske'!$F$62="x","OK","")</f>
        <v/>
      </c>
      <c r="M124" s="1401" t="s">
        <v>900</v>
      </c>
      <c r="N124" s="1425"/>
      <c r="O124" s="1316"/>
      <c r="P124" s="1416"/>
      <c r="Q124" s="1419"/>
    </row>
    <row r="125" spans="1:17" s="824" customFormat="1" ht="0.75" hidden="1" customHeight="1" thickBot="1">
      <c r="A125" s="919" t="s">
        <v>773</v>
      </c>
      <c r="B125" s="887"/>
      <c r="C125" s="847" t="str">
        <f>PrSchr10</f>
        <v>Stage 10</v>
      </c>
      <c r="D125" s="359" t="s">
        <v>514</v>
      </c>
      <c r="E125" s="955" t="str">
        <f t="shared" si="6"/>
        <v>Enter text</v>
      </c>
      <c r="F125" s="1201"/>
      <c r="G125" s="1185" t="str">
        <f>IF('Input Form - EingabeMaske'!$C$63="x","OK","")</f>
        <v/>
      </c>
      <c r="H125" s="969" t="str">
        <f>IF('Input Form - EingabeMaske'!$D$63="x","OK","")</f>
        <v/>
      </c>
      <c r="I125" s="969" t="str">
        <f>IF('Input Form - EingabeMaske'!$E$63="x","OK","")</f>
        <v/>
      </c>
      <c r="J125" s="45" t="str">
        <f>IF('Input Form - EingabeMaske'!$F$63="x","OK","")</f>
        <v/>
      </c>
      <c r="M125" s="1402" t="s">
        <v>900</v>
      </c>
      <c r="N125" s="1426"/>
      <c r="O125" s="1323"/>
      <c r="P125" s="1417"/>
      <c r="Q125" s="1420"/>
    </row>
    <row r="126" spans="1:17" s="824" customFormat="1" ht="41.25" customHeight="1" thickBot="1">
      <c r="A126" s="905" t="s">
        <v>118</v>
      </c>
      <c r="B126" s="921" t="str">
        <f>'Evaluation-Bewertung'!_es2</f>
        <v>n.e.</v>
      </c>
      <c r="C126" s="907" t="str">
        <f>VLOOKUP(pos(C126),'Language-Sprachen'!$A$200:$G$461,'Language-Sprachen'!$A$3,0)</f>
        <v>Are all production processes controlled? Process management</v>
      </c>
      <c r="D126" s="1431"/>
      <c r="E126" s="1432"/>
      <c r="F126" s="1198"/>
      <c r="G126" s="1185"/>
      <c r="H126" s="15"/>
      <c r="I126" s="15"/>
      <c r="J126" s="51"/>
      <c r="M126" s="1302" t="s">
        <v>900</v>
      </c>
      <c r="N126" s="1320"/>
      <c r="O126" s="1303"/>
      <c r="P126" s="1304"/>
      <c r="Q126" s="1305"/>
    </row>
    <row r="127" spans="1:17" s="824" customFormat="1" ht="36" customHeight="1" thickBot="1">
      <c r="A127" s="922" t="s">
        <v>119</v>
      </c>
      <c r="B127" s="923"/>
      <c r="C127" s="924" t="str">
        <f>VLOOKUP(pos(C127),'Language-Sprachen'!$A$200:$G$461,'Language-Sprachen'!$A$3,0)</f>
        <v xml:space="preserve">Are the specifications of the control plan complete and have they been effectively implemented? </v>
      </c>
      <c r="D127" s="924"/>
      <c r="E127" s="924"/>
      <c r="F127" s="1199"/>
      <c r="G127" s="1185"/>
      <c r="H127" s="15"/>
      <c r="I127" s="15"/>
      <c r="J127" s="51"/>
      <c r="K127" s="922" t="s">
        <v>119</v>
      </c>
      <c r="M127" s="1310" t="s">
        <v>900</v>
      </c>
      <c r="N127" s="1322"/>
      <c r="O127" s="1311"/>
      <c r="P127" s="1312"/>
      <c r="Q127" s="1313"/>
    </row>
    <row r="128" spans="1:17" s="824" customFormat="1" ht="55.5" customHeight="1" thickBot="1">
      <c r="A128" s="911" t="s">
        <v>197</v>
      </c>
      <c r="B128" s="925"/>
      <c r="C128" s="912" t="str">
        <f>PrSchr1</f>
        <v>Stage 1: Moldshop Process</v>
      </c>
      <c r="D128" s="359" t="s">
        <v>514</v>
      </c>
      <c r="E128" s="1345" t="str">
        <f t="shared" ref="E128:E137" si="7">IF(ISBLANK(D128),$L$13,IF(D128=10,$L$14,$L$15))</f>
        <v>Enter text</v>
      </c>
      <c r="F128" s="1201"/>
      <c r="G128" s="1185" t="str">
        <f>IF('Input Form - EingabeMaske'!$C$54="x","OK","")</f>
        <v>OK</v>
      </c>
      <c r="H128" s="969" t="str">
        <f>IF('Input Form - EingabeMaske'!$D$54="x","OK","")</f>
        <v/>
      </c>
      <c r="I128" s="969" t="str">
        <f>IF('Input Form - EingabeMaske'!$E$54="x","OK","")</f>
        <v/>
      </c>
      <c r="J128" s="45" t="str">
        <f>IF('Input Form - EingabeMaske'!$F$54="x","OK","")</f>
        <v/>
      </c>
      <c r="M128" s="1400" t="s">
        <v>900</v>
      </c>
      <c r="N128" s="1403" t="s">
        <v>913</v>
      </c>
      <c r="O128" s="1421" t="s">
        <v>914</v>
      </c>
      <c r="P128" s="1415" t="s">
        <v>118</v>
      </c>
      <c r="Q128" s="1418">
        <v>4008</v>
      </c>
    </row>
    <row r="129" spans="1:17" s="824" customFormat="1" ht="55.5" hidden="1" customHeight="1">
      <c r="A129" s="911" t="s">
        <v>198</v>
      </c>
      <c r="B129" s="925"/>
      <c r="C129" s="912" t="str">
        <f>PrSchr2</f>
        <v>Stage 2:</v>
      </c>
      <c r="D129" s="359" t="s">
        <v>514</v>
      </c>
      <c r="E129" s="952" t="str">
        <f t="shared" si="7"/>
        <v>Enter text</v>
      </c>
      <c r="F129" s="1201"/>
      <c r="G129" s="1185" t="str">
        <f>IF('Input Form - EingabeMaske'!$C$55="x","OK","")</f>
        <v>OK</v>
      </c>
      <c r="H129" s="969" t="str">
        <f>IF('Input Form - EingabeMaske'!$D$55="x","OK","")</f>
        <v/>
      </c>
      <c r="I129" s="969" t="str">
        <f>IF('Input Form - EingabeMaske'!$E$55="x","OK","")</f>
        <v/>
      </c>
      <c r="J129" s="45" t="str">
        <f>IF('Input Form - EingabeMaske'!$F$55="x","OK","")</f>
        <v/>
      </c>
      <c r="M129" s="1401" t="s">
        <v>900</v>
      </c>
      <c r="N129" s="1404"/>
      <c r="O129" s="1422"/>
      <c r="P129" s="1416"/>
      <c r="Q129" s="1419"/>
    </row>
    <row r="130" spans="1:17" s="824" customFormat="1" ht="75.75" hidden="1" customHeight="1">
      <c r="A130" s="911" t="s">
        <v>199</v>
      </c>
      <c r="B130" s="925"/>
      <c r="C130" s="912" t="str">
        <f>PrSchr3</f>
        <v>Stage 3</v>
      </c>
      <c r="D130" s="359" t="s">
        <v>514</v>
      </c>
      <c r="E130" s="952" t="str">
        <f t="shared" si="7"/>
        <v>Enter text</v>
      </c>
      <c r="F130" s="1201"/>
      <c r="G130" s="1185" t="str">
        <f>IF('Input Form - EingabeMaske'!$C$56="x","OK","")</f>
        <v>OK</v>
      </c>
      <c r="H130" s="969" t="str">
        <f>IF('Input Form - EingabeMaske'!$D$56="x","OK","")</f>
        <v/>
      </c>
      <c r="I130" s="969" t="str">
        <f>IF('Input Form - EingabeMaske'!$E$56="x","OK","")</f>
        <v/>
      </c>
      <c r="J130" s="45" t="str">
        <f>IF('Input Form - EingabeMaske'!$F$56="x","OK","")</f>
        <v/>
      </c>
      <c r="M130" s="1401" t="s">
        <v>900</v>
      </c>
      <c r="N130" s="1404"/>
      <c r="O130" s="1422"/>
      <c r="P130" s="1416"/>
      <c r="Q130" s="1419"/>
    </row>
    <row r="131" spans="1:17" s="824" customFormat="1" ht="55.5" hidden="1" customHeight="1">
      <c r="A131" s="911" t="s">
        <v>767</v>
      </c>
      <c r="B131" s="925"/>
      <c r="C131" s="847" t="str">
        <f>PrSchr4</f>
        <v>Stage 4</v>
      </c>
      <c r="D131" s="359" t="s">
        <v>514</v>
      </c>
      <c r="E131" s="954" t="str">
        <f t="shared" si="7"/>
        <v>Enter text</v>
      </c>
      <c r="F131" s="1201"/>
      <c r="G131" s="1185" t="str">
        <f>IF('Input Form - EingabeMaske'!$C$57="x","OK","")</f>
        <v>OK</v>
      </c>
      <c r="H131" s="969" t="str">
        <f>IF('Input Form - EingabeMaske'!$D$57="x","OK","")</f>
        <v/>
      </c>
      <c r="I131" s="969" t="str">
        <f>IF('Input Form - EingabeMaske'!$E$57="x","OK","")</f>
        <v/>
      </c>
      <c r="J131" s="45" t="str">
        <f>IF('Input Form - EingabeMaske'!$F$57="x","OK","")</f>
        <v/>
      </c>
      <c r="M131" s="1401" t="s">
        <v>900</v>
      </c>
      <c r="N131" s="1404"/>
      <c r="O131" s="1422"/>
      <c r="P131" s="1416"/>
      <c r="Q131" s="1419"/>
    </row>
    <row r="132" spans="1:17" s="824" customFormat="1" ht="55.5" hidden="1" customHeight="1">
      <c r="A132" s="911" t="s">
        <v>768</v>
      </c>
      <c r="B132" s="925"/>
      <c r="C132" s="847" t="str">
        <f>PrSchr5</f>
        <v>Stage 5</v>
      </c>
      <c r="D132" s="359" t="s">
        <v>514</v>
      </c>
      <c r="E132" s="952" t="str">
        <f t="shared" si="7"/>
        <v>Enter text</v>
      </c>
      <c r="F132" s="1201"/>
      <c r="G132" s="1185" t="str">
        <f>IF('Input Form - EingabeMaske'!$C$58="x","OK","")</f>
        <v>OK</v>
      </c>
      <c r="H132" s="969" t="str">
        <f>IF('Input Form - EingabeMaske'!$D$58="x","OK","")</f>
        <v/>
      </c>
      <c r="I132" s="969" t="str">
        <f>IF('Input Form - EingabeMaske'!$E$58="x","OK","")</f>
        <v/>
      </c>
      <c r="J132" s="45" t="str">
        <f>IF('Input Form - EingabeMaske'!$F$58="x","OK","")</f>
        <v/>
      </c>
      <c r="M132" s="1401" t="s">
        <v>900</v>
      </c>
      <c r="N132" s="1404"/>
      <c r="O132" s="1423"/>
      <c r="P132" s="1416"/>
      <c r="Q132" s="1419"/>
    </row>
    <row r="133" spans="1:17" s="824" customFormat="1" ht="15.75" hidden="1" customHeight="1">
      <c r="A133" s="911" t="s">
        <v>769</v>
      </c>
      <c r="B133" s="925"/>
      <c r="C133" s="847" t="str">
        <f>PrSchr6</f>
        <v>Stage 6</v>
      </c>
      <c r="D133" s="359" t="s">
        <v>514</v>
      </c>
      <c r="E133" s="952" t="str">
        <f t="shared" si="7"/>
        <v>Enter text</v>
      </c>
      <c r="F133" s="1201"/>
      <c r="G133" s="1185" t="str">
        <f>IF('Input Form - EingabeMaske'!$C$59="x","OK","")</f>
        <v/>
      </c>
      <c r="H133" s="969" t="str">
        <f>IF('Input Form - EingabeMaske'!$D$59="x","OK","")</f>
        <v/>
      </c>
      <c r="I133" s="969" t="str">
        <f>IF('Input Form - EingabeMaske'!$E$59="x","OK","")</f>
        <v/>
      </c>
      <c r="J133" s="45" t="str">
        <f>IF('Input Form - EingabeMaske'!$F$59="x","OK","")</f>
        <v/>
      </c>
      <c r="M133" s="1401" t="s">
        <v>900</v>
      </c>
      <c r="N133" s="1404"/>
      <c r="O133" s="1316"/>
      <c r="P133" s="1416"/>
      <c r="Q133" s="1419"/>
    </row>
    <row r="134" spans="1:17" s="824" customFormat="1" ht="15.75" hidden="1" customHeight="1">
      <c r="A134" s="911" t="s">
        <v>770</v>
      </c>
      <c r="B134" s="925"/>
      <c r="C134" s="847" t="str">
        <f>PrSchr7</f>
        <v>Stage 7</v>
      </c>
      <c r="D134" s="359" t="s">
        <v>514</v>
      </c>
      <c r="E134" s="952" t="str">
        <f t="shared" si="7"/>
        <v>Enter text</v>
      </c>
      <c r="F134" s="1201"/>
      <c r="G134" s="1185" t="str">
        <f>IF('Input Form - EingabeMaske'!$C$60="x","OK","")</f>
        <v/>
      </c>
      <c r="H134" s="969" t="str">
        <f>IF('Input Form - EingabeMaske'!$D$60="x","OK","")</f>
        <v/>
      </c>
      <c r="I134" s="969" t="str">
        <f>IF('Input Form - EingabeMaske'!$E$60="x","OK","")</f>
        <v/>
      </c>
      <c r="J134" s="45" t="str">
        <f>IF('Input Form - EingabeMaske'!$F$60="x","OK","")</f>
        <v/>
      </c>
      <c r="M134" s="1401" t="s">
        <v>900</v>
      </c>
      <c r="N134" s="1404"/>
      <c r="O134" s="1316"/>
      <c r="P134" s="1416"/>
      <c r="Q134" s="1419"/>
    </row>
    <row r="135" spans="1:17" s="824" customFormat="1" ht="15.75" hidden="1" customHeight="1">
      <c r="A135" s="911" t="s">
        <v>771</v>
      </c>
      <c r="B135" s="925"/>
      <c r="C135" s="847" t="str">
        <f>PrSchr8</f>
        <v>Stage 8</v>
      </c>
      <c r="D135" s="359" t="s">
        <v>514</v>
      </c>
      <c r="E135" s="952" t="str">
        <f t="shared" si="7"/>
        <v>Enter text</v>
      </c>
      <c r="F135" s="1201"/>
      <c r="G135" s="1185" t="str">
        <f>IF('Input Form - EingabeMaske'!$C$61="x","OK","")</f>
        <v/>
      </c>
      <c r="H135" s="969" t="str">
        <f>IF('Input Form - EingabeMaske'!$D$61="x","OK","")</f>
        <v/>
      </c>
      <c r="I135" s="969" t="str">
        <f>IF('Input Form - EingabeMaske'!$E$61="x","OK","")</f>
        <v/>
      </c>
      <c r="J135" s="45" t="str">
        <f>IF('Input Form - EingabeMaske'!$F$61="x","OK","")</f>
        <v/>
      </c>
      <c r="M135" s="1401" t="s">
        <v>900</v>
      </c>
      <c r="N135" s="1404"/>
      <c r="O135" s="1316"/>
      <c r="P135" s="1416"/>
      <c r="Q135" s="1419"/>
    </row>
    <row r="136" spans="1:17" s="824" customFormat="1" ht="15.75" hidden="1" customHeight="1">
      <c r="A136" s="911" t="s">
        <v>772</v>
      </c>
      <c r="B136" s="925"/>
      <c r="C136" s="847" t="str">
        <f>PrSchr9</f>
        <v>Stage 9</v>
      </c>
      <c r="D136" s="359" t="s">
        <v>514</v>
      </c>
      <c r="E136" s="952" t="str">
        <f t="shared" si="7"/>
        <v>Enter text</v>
      </c>
      <c r="F136" s="1201"/>
      <c r="G136" s="1185" t="str">
        <f>IF('Input Form - EingabeMaske'!$C$62="x","OK","")</f>
        <v/>
      </c>
      <c r="H136" s="969" t="str">
        <f>IF('Input Form - EingabeMaske'!$D$62="x","OK","")</f>
        <v/>
      </c>
      <c r="I136" s="969" t="str">
        <f>IF('Input Form - EingabeMaske'!$E$62="x","OK","")</f>
        <v/>
      </c>
      <c r="J136" s="45" t="str">
        <f>IF('Input Form - EingabeMaske'!$F$62="x","OK","")</f>
        <v/>
      </c>
      <c r="M136" s="1401" t="s">
        <v>900</v>
      </c>
      <c r="N136" s="1404"/>
      <c r="O136" s="1316"/>
      <c r="P136" s="1416"/>
      <c r="Q136" s="1419"/>
    </row>
    <row r="137" spans="1:17" s="824" customFormat="1" ht="16.5" hidden="1" customHeight="1" thickBot="1">
      <c r="A137" s="911" t="s">
        <v>773</v>
      </c>
      <c r="B137" s="925"/>
      <c r="C137" s="847" t="str">
        <f>PrSchr10</f>
        <v>Stage 10</v>
      </c>
      <c r="D137" s="359" t="s">
        <v>514</v>
      </c>
      <c r="E137" s="953" t="str">
        <f t="shared" si="7"/>
        <v>Enter text</v>
      </c>
      <c r="F137" s="1201"/>
      <c r="G137" s="1185" t="str">
        <f>IF('Input Form - EingabeMaske'!$C$63="x","OK","")</f>
        <v/>
      </c>
      <c r="H137" s="969" t="str">
        <f>IF('Input Form - EingabeMaske'!$D$63="x","OK","")</f>
        <v/>
      </c>
      <c r="I137" s="969" t="str">
        <f>IF('Input Form - EingabeMaske'!$E$63="x","OK","")</f>
        <v/>
      </c>
      <c r="J137" s="45" t="str">
        <f>IF('Input Form - EingabeMaske'!$F$63="x","OK","")</f>
        <v/>
      </c>
      <c r="M137" s="1402" t="s">
        <v>900</v>
      </c>
      <c r="N137" s="1405"/>
      <c r="O137" s="1323"/>
      <c r="P137" s="1417"/>
      <c r="Q137" s="1420"/>
    </row>
    <row r="138" spans="1:17" s="824" customFormat="1" ht="22.5" customHeight="1" thickBot="1">
      <c r="A138" s="922" t="s">
        <v>0</v>
      </c>
      <c r="B138" s="1047"/>
      <c r="C138" s="864" t="str">
        <f>VLOOKUP(pos(C138),'Language-Sprachen'!$A$200:$G$461,'Language-Sprachen'!$A$3,0)</f>
        <v>Does a repeat release for the restart of production take place?</v>
      </c>
      <c r="D138" s="864"/>
      <c r="E138" s="864"/>
      <c r="F138" s="1197"/>
      <c r="G138" s="1185"/>
      <c r="H138" s="15"/>
      <c r="I138" s="15"/>
      <c r="J138" s="51"/>
      <c r="K138" s="922" t="s">
        <v>0</v>
      </c>
      <c r="M138" s="1283" t="s">
        <v>900</v>
      </c>
      <c r="N138" s="1324"/>
      <c r="O138" s="1285"/>
      <c r="P138" s="1286"/>
      <c r="Q138" s="1317"/>
    </row>
    <row r="139" spans="1:17" s="824" customFormat="1" ht="45" customHeight="1" thickBot="1">
      <c r="A139" s="911" t="s">
        <v>197</v>
      </c>
      <c r="B139" s="1048"/>
      <c r="C139" s="847" t="str">
        <f>PrSchr1</f>
        <v>Stage 1: Moldshop Process</v>
      </c>
      <c r="D139" s="359" t="s">
        <v>514</v>
      </c>
      <c r="E139" s="1345" t="str">
        <f t="shared" ref="E139:E148" si="8">IF(ISBLANK(D139),$L$13,IF(D139=10,$L$14,$L$15))</f>
        <v>Enter text</v>
      </c>
      <c r="F139" s="1201"/>
      <c r="G139" s="1185" t="str">
        <f>IF('Input Form - EingabeMaske'!$C$54="x","OK","")</f>
        <v>OK</v>
      </c>
      <c r="H139" s="969" t="str">
        <f>IF('Input Form - EingabeMaske'!$D$54="x","OK","")</f>
        <v/>
      </c>
      <c r="I139" s="969" t="str">
        <f>IF('Input Form - EingabeMaske'!$E$54="x","OK","")</f>
        <v/>
      </c>
      <c r="J139" s="45" t="str">
        <f>IF('Input Form - EingabeMaske'!$F$54="x","OK","")</f>
        <v/>
      </c>
      <c r="M139" s="1400" t="s">
        <v>900</v>
      </c>
      <c r="N139" s="1403" t="s">
        <v>915</v>
      </c>
      <c r="O139" s="1421" t="s">
        <v>916</v>
      </c>
      <c r="P139" s="1415" t="s">
        <v>917</v>
      </c>
      <c r="Q139" s="1418">
        <v>4007</v>
      </c>
    </row>
    <row r="140" spans="1:17" s="824" customFormat="1" ht="45" hidden="1" customHeight="1">
      <c r="A140" s="911" t="s">
        <v>198</v>
      </c>
      <c r="B140" s="1048"/>
      <c r="C140" s="847" t="str">
        <f>PrSchr2</f>
        <v>Stage 2:</v>
      </c>
      <c r="D140" s="359" t="s">
        <v>514</v>
      </c>
      <c r="E140" s="952" t="str">
        <f t="shared" si="8"/>
        <v>Enter text</v>
      </c>
      <c r="F140" s="1201"/>
      <c r="G140" s="1185" t="str">
        <f>IF('Input Form - EingabeMaske'!$C$55="x","OK","")</f>
        <v>OK</v>
      </c>
      <c r="H140" s="969" t="str">
        <f>IF('Input Form - EingabeMaske'!$D$55="x","OK","")</f>
        <v/>
      </c>
      <c r="I140" s="969" t="str">
        <f>IF('Input Form - EingabeMaske'!$E$55="x","OK","")</f>
        <v/>
      </c>
      <c r="J140" s="45" t="str">
        <f>IF('Input Form - EingabeMaske'!$F$55="x","OK","")</f>
        <v/>
      </c>
      <c r="M140" s="1401" t="s">
        <v>900</v>
      </c>
      <c r="N140" s="1404"/>
      <c r="O140" s="1422"/>
      <c r="P140" s="1416"/>
      <c r="Q140" s="1419"/>
    </row>
    <row r="141" spans="1:17" s="824" customFormat="1" ht="45" hidden="1" customHeight="1">
      <c r="A141" s="911" t="s">
        <v>199</v>
      </c>
      <c r="B141" s="1048"/>
      <c r="C141" s="847" t="str">
        <f>PrSchr3</f>
        <v>Stage 3</v>
      </c>
      <c r="D141" s="359" t="s">
        <v>514</v>
      </c>
      <c r="E141" s="952" t="str">
        <f t="shared" si="8"/>
        <v>Enter text</v>
      </c>
      <c r="F141" s="1201"/>
      <c r="G141" s="1185" t="str">
        <f>IF('Input Form - EingabeMaske'!$C$56="x","OK","")</f>
        <v>OK</v>
      </c>
      <c r="H141" s="969" t="str">
        <f>IF('Input Form - EingabeMaske'!$D$56="x","OK","")</f>
        <v/>
      </c>
      <c r="I141" s="969" t="str">
        <f>IF('Input Form - EingabeMaske'!$E$56="x","OK","")</f>
        <v/>
      </c>
      <c r="J141" s="45" t="str">
        <f>IF('Input Form - EingabeMaske'!$F$56="x","OK","")</f>
        <v/>
      </c>
      <c r="M141" s="1401" t="s">
        <v>900</v>
      </c>
      <c r="N141" s="1404"/>
      <c r="O141" s="1422"/>
      <c r="P141" s="1416"/>
      <c r="Q141" s="1419"/>
    </row>
    <row r="142" spans="1:17" s="824" customFormat="1" ht="45" hidden="1" customHeight="1">
      <c r="A142" s="911" t="s">
        <v>767</v>
      </c>
      <c r="B142" s="909"/>
      <c r="C142" s="847" t="str">
        <f>PrSchr4</f>
        <v>Stage 4</v>
      </c>
      <c r="D142" s="359" t="s">
        <v>514</v>
      </c>
      <c r="E142" s="954" t="str">
        <f t="shared" si="8"/>
        <v>Enter text</v>
      </c>
      <c r="F142" s="1201"/>
      <c r="G142" s="1185" t="str">
        <f>IF('Input Form - EingabeMaske'!$C$57="x","OK","")</f>
        <v>OK</v>
      </c>
      <c r="H142" s="969" t="str">
        <f>IF('Input Form - EingabeMaske'!$D$57="x","OK","")</f>
        <v/>
      </c>
      <c r="I142" s="969" t="str">
        <f>IF('Input Form - EingabeMaske'!$E$57="x","OK","")</f>
        <v/>
      </c>
      <c r="J142" s="45" t="str">
        <f>IF('Input Form - EingabeMaske'!$F$57="x","OK","")</f>
        <v/>
      </c>
      <c r="M142" s="1401" t="s">
        <v>900</v>
      </c>
      <c r="N142" s="1404"/>
      <c r="O142" s="1422"/>
      <c r="P142" s="1416"/>
      <c r="Q142" s="1419"/>
    </row>
    <row r="143" spans="1:17" s="824" customFormat="1" ht="45" hidden="1" customHeight="1">
      <c r="A143" s="911" t="s">
        <v>768</v>
      </c>
      <c r="B143" s="909"/>
      <c r="C143" s="847" t="str">
        <f>PrSchr5</f>
        <v>Stage 5</v>
      </c>
      <c r="D143" s="359" t="s">
        <v>514</v>
      </c>
      <c r="E143" s="952" t="str">
        <f t="shared" si="8"/>
        <v>Enter text</v>
      </c>
      <c r="F143" s="1201"/>
      <c r="G143" s="1185" t="str">
        <f>IF('Input Form - EingabeMaske'!$C$58="x","OK","")</f>
        <v>OK</v>
      </c>
      <c r="H143" s="969" t="str">
        <f>IF('Input Form - EingabeMaske'!$D$58="x","OK","")</f>
        <v/>
      </c>
      <c r="I143" s="969" t="str">
        <f>IF('Input Form - EingabeMaske'!$E$58="x","OK","")</f>
        <v/>
      </c>
      <c r="J143" s="45" t="str">
        <f>IF('Input Form - EingabeMaske'!$F$58="x","OK","")</f>
        <v/>
      </c>
      <c r="M143" s="1401" t="s">
        <v>900</v>
      </c>
      <c r="N143" s="1404"/>
      <c r="O143" s="1423"/>
      <c r="P143" s="1416"/>
      <c r="Q143" s="1419"/>
    </row>
    <row r="144" spans="1:17" s="824" customFormat="1" ht="15.75" hidden="1" customHeight="1">
      <c r="A144" s="911" t="s">
        <v>769</v>
      </c>
      <c r="B144" s="909"/>
      <c r="C144" s="847" t="str">
        <f>PrSchr6</f>
        <v>Stage 6</v>
      </c>
      <c r="D144" s="359" t="s">
        <v>514</v>
      </c>
      <c r="E144" s="952" t="str">
        <f t="shared" si="8"/>
        <v>Enter text</v>
      </c>
      <c r="F144" s="1201"/>
      <c r="G144" s="1185" t="str">
        <f>IF('Input Form - EingabeMaske'!$C$59="x","OK","")</f>
        <v/>
      </c>
      <c r="H144" s="969" t="str">
        <f>IF('Input Form - EingabeMaske'!$D$59="x","OK","")</f>
        <v/>
      </c>
      <c r="I144" s="969" t="str">
        <f>IF('Input Form - EingabeMaske'!$E$59="x","OK","")</f>
        <v/>
      </c>
      <c r="J144" s="45" t="str">
        <f>IF('Input Form - EingabeMaske'!$F$59="x","OK","")</f>
        <v/>
      </c>
      <c r="M144" s="1401" t="s">
        <v>900</v>
      </c>
      <c r="N144" s="1404"/>
      <c r="O144" s="1316"/>
      <c r="P144" s="1416"/>
      <c r="Q144" s="1419"/>
    </row>
    <row r="145" spans="1:17" s="824" customFormat="1" ht="15.75" hidden="1" customHeight="1">
      <c r="A145" s="911" t="s">
        <v>770</v>
      </c>
      <c r="B145" s="909"/>
      <c r="C145" s="847" t="str">
        <f>PrSchr7</f>
        <v>Stage 7</v>
      </c>
      <c r="D145" s="359" t="s">
        <v>514</v>
      </c>
      <c r="E145" s="952" t="str">
        <f t="shared" si="8"/>
        <v>Enter text</v>
      </c>
      <c r="F145" s="1201"/>
      <c r="G145" s="1185" t="str">
        <f>IF('Input Form - EingabeMaske'!$C$60="x","OK","")</f>
        <v/>
      </c>
      <c r="H145" s="969" t="str">
        <f>IF('Input Form - EingabeMaske'!$D$60="x","OK","")</f>
        <v/>
      </c>
      <c r="I145" s="969" t="str">
        <f>IF('Input Form - EingabeMaske'!$E$60="x","OK","")</f>
        <v/>
      </c>
      <c r="J145" s="45" t="str">
        <f>IF('Input Form - EingabeMaske'!$F$60="x","OK","")</f>
        <v/>
      </c>
      <c r="M145" s="1401" t="s">
        <v>900</v>
      </c>
      <c r="N145" s="1404"/>
      <c r="O145" s="1316"/>
      <c r="P145" s="1416"/>
      <c r="Q145" s="1419"/>
    </row>
    <row r="146" spans="1:17" s="824" customFormat="1" ht="15.75" hidden="1" customHeight="1">
      <c r="A146" s="911" t="s">
        <v>771</v>
      </c>
      <c r="B146" s="909"/>
      <c r="C146" s="847" t="str">
        <f>PrSchr8</f>
        <v>Stage 8</v>
      </c>
      <c r="D146" s="359" t="s">
        <v>514</v>
      </c>
      <c r="E146" s="952" t="str">
        <f t="shared" si="8"/>
        <v>Enter text</v>
      </c>
      <c r="F146" s="1201"/>
      <c r="G146" s="1185" t="str">
        <f>IF('Input Form - EingabeMaske'!$C$61="x","OK","")</f>
        <v/>
      </c>
      <c r="H146" s="969" t="str">
        <f>IF('Input Form - EingabeMaske'!$D$61="x","OK","")</f>
        <v/>
      </c>
      <c r="I146" s="969" t="str">
        <f>IF('Input Form - EingabeMaske'!$E$61="x","OK","")</f>
        <v/>
      </c>
      <c r="J146" s="45" t="str">
        <f>IF('Input Form - EingabeMaske'!$F$61="x","OK","")</f>
        <v/>
      </c>
      <c r="M146" s="1401" t="s">
        <v>900</v>
      </c>
      <c r="N146" s="1404"/>
      <c r="O146" s="1316"/>
      <c r="P146" s="1416"/>
      <c r="Q146" s="1419"/>
    </row>
    <row r="147" spans="1:17" s="824" customFormat="1" ht="15.75" hidden="1" customHeight="1">
      <c r="A147" s="911" t="s">
        <v>772</v>
      </c>
      <c r="B147" s="909"/>
      <c r="C147" s="847" t="str">
        <f>PrSchr9</f>
        <v>Stage 9</v>
      </c>
      <c r="D147" s="359" t="s">
        <v>514</v>
      </c>
      <c r="E147" s="952" t="str">
        <f t="shared" si="8"/>
        <v>Enter text</v>
      </c>
      <c r="F147" s="1201"/>
      <c r="G147" s="1185" t="str">
        <f>IF('Input Form - EingabeMaske'!$C$62="x","OK","")</f>
        <v/>
      </c>
      <c r="H147" s="969" t="str">
        <f>IF('Input Form - EingabeMaske'!$D$62="x","OK","")</f>
        <v/>
      </c>
      <c r="I147" s="969" t="str">
        <f>IF('Input Form - EingabeMaske'!$E$62="x","OK","")</f>
        <v/>
      </c>
      <c r="J147" s="45" t="str">
        <f>IF('Input Form - EingabeMaske'!$F$62="x","OK","")</f>
        <v/>
      </c>
      <c r="M147" s="1401" t="s">
        <v>900</v>
      </c>
      <c r="N147" s="1404"/>
      <c r="O147" s="1316"/>
      <c r="P147" s="1416"/>
      <c r="Q147" s="1419"/>
    </row>
    <row r="148" spans="1:17" s="824" customFormat="1" ht="16.5" hidden="1" customHeight="1" thickBot="1">
      <c r="A148" s="911" t="s">
        <v>773</v>
      </c>
      <c r="B148" s="909"/>
      <c r="C148" s="847" t="str">
        <f>PrSchr10</f>
        <v>Stage 10</v>
      </c>
      <c r="D148" s="359" t="s">
        <v>514</v>
      </c>
      <c r="E148" s="953" t="str">
        <f t="shared" si="8"/>
        <v>Enter text</v>
      </c>
      <c r="F148" s="1201"/>
      <c r="G148" s="1185" t="str">
        <f>IF('Input Form - EingabeMaske'!$C$63="x","OK","")</f>
        <v/>
      </c>
      <c r="H148" s="969" t="str">
        <f>IF('Input Form - EingabeMaske'!$D$63="x","OK","")</f>
        <v/>
      </c>
      <c r="I148" s="969" t="str">
        <f>IF('Input Form - EingabeMaske'!$E$63="x","OK","")</f>
        <v/>
      </c>
      <c r="J148" s="45" t="str">
        <f>IF('Input Form - EingabeMaske'!$F$63="x","OK","")</f>
        <v/>
      </c>
      <c r="M148" s="1402" t="s">
        <v>900</v>
      </c>
      <c r="N148" s="1405"/>
      <c r="O148" s="1323"/>
      <c r="P148" s="1417"/>
      <c r="Q148" s="1420"/>
    </row>
    <row r="149" spans="1:17" s="824" customFormat="1" ht="33" customHeight="1" thickBot="1">
      <c r="A149" s="927" t="s">
        <v>1</v>
      </c>
      <c r="B149" s="928" t="s">
        <v>7</v>
      </c>
      <c r="C149" s="924" t="str">
        <f>VLOOKUP(pos(C149),'Language-Sprachen'!$A$200:$G$461,'Language-Sprachen'!$A$3,0)</f>
        <v>Are special characteristics managed in the production?</v>
      </c>
      <c r="D149" s="924"/>
      <c r="E149" s="924"/>
      <c r="F149" s="1197"/>
      <c r="G149" s="962"/>
      <c r="H149" s="15"/>
      <c r="I149" s="15"/>
      <c r="J149" s="51"/>
      <c r="K149" s="927" t="s">
        <v>1</v>
      </c>
      <c r="M149" s="1283" t="s">
        <v>900</v>
      </c>
      <c r="N149" s="1324"/>
      <c r="O149" s="1285"/>
      <c r="P149" s="1286"/>
      <c r="Q149" s="1317"/>
    </row>
    <row r="150" spans="1:17" s="824" customFormat="1" ht="49.5" customHeight="1" thickBot="1">
      <c r="A150" s="929" t="s">
        <v>197</v>
      </c>
      <c r="B150" s="930"/>
      <c r="C150" s="912" t="str">
        <f>PrSchr1</f>
        <v>Stage 1: Moldshop Process</v>
      </c>
      <c r="D150" s="359" t="s">
        <v>514</v>
      </c>
      <c r="E150" s="1345" t="str">
        <f t="shared" ref="E150:E159" si="9">IF(ISBLANK(D150),$L$13,IF(D150=10,$L$14,$L$15))</f>
        <v>Enter text</v>
      </c>
      <c r="F150" s="1201"/>
      <c r="G150" s="1185" t="str">
        <f>IF('Input Form - EingabeMaske'!$C$54="x","OK","")</f>
        <v>OK</v>
      </c>
      <c r="H150" s="969" t="str">
        <f>IF('Input Form - EingabeMaske'!$D$54="x","OK","")</f>
        <v/>
      </c>
      <c r="I150" s="969" t="str">
        <f>IF('Input Form - EingabeMaske'!$E$54="x","OK","")</f>
        <v/>
      </c>
      <c r="J150" s="45" t="str">
        <f>IF('Input Form - EingabeMaske'!$F$54="x","OK","")</f>
        <v/>
      </c>
      <c r="M150" s="1400" t="s">
        <v>900</v>
      </c>
      <c r="N150" s="1403" t="s">
        <v>918</v>
      </c>
      <c r="O150" s="1421" t="s">
        <v>919</v>
      </c>
      <c r="P150" s="1415" t="s">
        <v>920</v>
      </c>
      <c r="Q150" s="1418" t="s">
        <v>921</v>
      </c>
    </row>
    <row r="151" spans="1:17" s="824" customFormat="1" ht="49.5" hidden="1" customHeight="1">
      <c r="A151" s="929" t="s">
        <v>198</v>
      </c>
      <c r="B151" s="930"/>
      <c r="C151" s="912" t="str">
        <f>PrSchr2</f>
        <v>Stage 2:</v>
      </c>
      <c r="D151" s="359">
        <v>10</v>
      </c>
      <c r="E151" s="952" t="str">
        <f t="shared" si="9"/>
        <v>No weak points identified</v>
      </c>
      <c r="F151" s="1201"/>
      <c r="G151" s="1185" t="str">
        <f>IF('Input Form - EingabeMaske'!$C$55="x","OK","")</f>
        <v>OK</v>
      </c>
      <c r="H151" s="969" t="str">
        <f>IF('Input Form - EingabeMaske'!$D$55="x","OK","")</f>
        <v/>
      </c>
      <c r="I151" s="969" t="str">
        <f>IF('Input Form - EingabeMaske'!$E$55="x","OK","")</f>
        <v/>
      </c>
      <c r="J151" s="45" t="str">
        <f>IF('Input Form - EingabeMaske'!$F$55="x","OK","")</f>
        <v/>
      </c>
      <c r="M151" s="1401" t="s">
        <v>900</v>
      </c>
      <c r="N151" s="1404"/>
      <c r="O151" s="1422"/>
      <c r="P151" s="1416"/>
      <c r="Q151" s="1419"/>
    </row>
    <row r="152" spans="1:17" s="824" customFormat="1" ht="49.5" hidden="1" customHeight="1">
      <c r="A152" s="929" t="s">
        <v>199</v>
      </c>
      <c r="B152" s="930"/>
      <c r="C152" s="912" t="str">
        <f>PrSchr3</f>
        <v>Stage 3</v>
      </c>
      <c r="D152" s="359" t="s">
        <v>514</v>
      </c>
      <c r="E152" s="952" t="str">
        <f t="shared" si="9"/>
        <v>Enter text</v>
      </c>
      <c r="F152" s="1201"/>
      <c r="G152" s="1185" t="str">
        <f>IF('Input Form - EingabeMaske'!$C$56="x","OK","")</f>
        <v>OK</v>
      </c>
      <c r="H152" s="969" t="str">
        <f>IF('Input Form - EingabeMaske'!$D$56="x","OK","")</f>
        <v/>
      </c>
      <c r="I152" s="969" t="str">
        <f>IF('Input Form - EingabeMaske'!$E$56="x","OK","")</f>
        <v/>
      </c>
      <c r="J152" s="45" t="str">
        <f>IF('Input Form - EingabeMaske'!$F$56="x","OK","")</f>
        <v/>
      </c>
      <c r="M152" s="1401" t="s">
        <v>900</v>
      </c>
      <c r="N152" s="1404"/>
      <c r="O152" s="1422"/>
      <c r="P152" s="1416"/>
      <c r="Q152" s="1419"/>
    </row>
    <row r="153" spans="1:17" s="824" customFormat="1" ht="49.5" hidden="1" customHeight="1">
      <c r="A153" s="929" t="s">
        <v>767</v>
      </c>
      <c r="B153" s="930"/>
      <c r="C153" s="847" t="str">
        <f>PrSchr4</f>
        <v>Stage 4</v>
      </c>
      <c r="D153" s="359" t="s">
        <v>514</v>
      </c>
      <c r="E153" s="954" t="str">
        <f t="shared" si="9"/>
        <v>Enter text</v>
      </c>
      <c r="F153" s="1201"/>
      <c r="G153" s="1185" t="str">
        <f>IF('Input Form - EingabeMaske'!$C$57="x","OK","")</f>
        <v>OK</v>
      </c>
      <c r="H153" s="969" t="str">
        <f>IF('Input Form - EingabeMaske'!$D$57="x","OK","")</f>
        <v/>
      </c>
      <c r="I153" s="969" t="str">
        <f>IF('Input Form - EingabeMaske'!$E$57="x","OK","")</f>
        <v/>
      </c>
      <c r="J153" s="45" t="str">
        <f>IF('Input Form - EingabeMaske'!$F$57="x","OK","")</f>
        <v/>
      </c>
      <c r="M153" s="1401" t="s">
        <v>900</v>
      </c>
      <c r="N153" s="1404"/>
      <c r="O153" s="1422"/>
      <c r="P153" s="1416"/>
      <c r="Q153" s="1419"/>
    </row>
    <row r="154" spans="1:17" s="824" customFormat="1" ht="49.5" hidden="1" customHeight="1">
      <c r="A154" s="929" t="s">
        <v>768</v>
      </c>
      <c r="B154" s="930"/>
      <c r="C154" s="847" t="str">
        <f>PrSchr5</f>
        <v>Stage 5</v>
      </c>
      <c r="D154" s="359" t="s">
        <v>514</v>
      </c>
      <c r="E154" s="952" t="str">
        <f t="shared" si="9"/>
        <v>Enter text</v>
      </c>
      <c r="F154" s="1201"/>
      <c r="G154" s="1185" t="str">
        <f>IF('Input Form - EingabeMaske'!$C$58="x","OK","")</f>
        <v>OK</v>
      </c>
      <c r="H154" s="969" t="str">
        <f>IF('Input Form - EingabeMaske'!$D$58="x","OK","")</f>
        <v/>
      </c>
      <c r="I154" s="969" t="str">
        <f>IF('Input Form - EingabeMaske'!$E$58="x","OK","")</f>
        <v/>
      </c>
      <c r="J154" s="45" t="str">
        <f>IF('Input Form - EingabeMaske'!$F$58="x","OK","")</f>
        <v/>
      </c>
      <c r="M154" s="1401" t="s">
        <v>900</v>
      </c>
      <c r="N154" s="1404"/>
      <c r="O154" s="1423"/>
      <c r="P154" s="1416"/>
      <c r="Q154" s="1419"/>
    </row>
    <row r="155" spans="1:17" s="824" customFormat="1" ht="15.75" hidden="1" customHeight="1">
      <c r="A155" s="929" t="s">
        <v>769</v>
      </c>
      <c r="B155" s="930"/>
      <c r="C155" s="847" t="str">
        <f>PrSchr6</f>
        <v>Stage 6</v>
      </c>
      <c r="D155" s="359" t="s">
        <v>514</v>
      </c>
      <c r="E155" s="952" t="str">
        <f t="shared" si="9"/>
        <v>Enter text</v>
      </c>
      <c r="F155" s="1201"/>
      <c r="G155" s="1185" t="str">
        <f>IF('Input Form - EingabeMaske'!$C$59="x","OK","")</f>
        <v/>
      </c>
      <c r="H155" s="969" t="str">
        <f>IF('Input Form - EingabeMaske'!$D$59="x","OK","")</f>
        <v/>
      </c>
      <c r="I155" s="969" t="str">
        <f>IF('Input Form - EingabeMaske'!$E$59="x","OK","")</f>
        <v/>
      </c>
      <c r="J155" s="45" t="str">
        <f>IF('Input Form - EingabeMaske'!$F$59="x","OK","")</f>
        <v/>
      </c>
      <c r="M155" s="1401" t="s">
        <v>900</v>
      </c>
      <c r="N155" s="1404"/>
      <c r="O155" s="1316"/>
      <c r="P155" s="1416"/>
      <c r="Q155" s="1419"/>
    </row>
    <row r="156" spans="1:17" s="824" customFormat="1" ht="15.75" hidden="1" customHeight="1">
      <c r="A156" s="929" t="s">
        <v>770</v>
      </c>
      <c r="B156" s="930"/>
      <c r="C156" s="847" t="str">
        <f>PrSchr7</f>
        <v>Stage 7</v>
      </c>
      <c r="D156" s="359" t="s">
        <v>514</v>
      </c>
      <c r="E156" s="952" t="str">
        <f t="shared" si="9"/>
        <v>Enter text</v>
      </c>
      <c r="F156" s="1201"/>
      <c r="G156" s="1185" t="str">
        <f>IF('Input Form - EingabeMaske'!$C$60="x","OK","")</f>
        <v/>
      </c>
      <c r="H156" s="969" t="str">
        <f>IF('Input Form - EingabeMaske'!$D$60="x","OK","")</f>
        <v/>
      </c>
      <c r="I156" s="969" t="str">
        <f>IF('Input Form - EingabeMaske'!$E$60="x","OK","")</f>
        <v/>
      </c>
      <c r="J156" s="45" t="str">
        <f>IF('Input Form - EingabeMaske'!$F$60="x","OK","")</f>
        <v/>
      </c>
      <c r="M156" s="1401" t="s">
        <v>900</v>
      </c>
      <c r="N156" s="1404"/>
      <c r="O156" s="1316"/>
      <c r="P156" s="1416"/>
      <c r="Q156" s="1419"/>
    </row>
    <row r="157" spans="1:17" s="824" customFormat="1" ht="15.75" hidden="1" customHeight="1">
      <c r="A157" s="929" t="s">
        <v>771</v>
      </c>
      <c r="B157" s="930"/>
      <c r="C157" s="847" t="str">
        <f>PrSchr8</f>
        <v>Stage 8</v>
      </c>
      <c r="D157" s="359" t="s">
        <v>514</v>
      </c>
      <c r="E157" s="952" t="str">
        <f t="shared" si="9"/>
        <v>Enter text</v>
      </c>
      <c r="F157" s="1201"/>
      <c r="G157" s="1185" t="str">
        <f>IF('Input Form - EingabeMaske'!$C$61="x","OK","")</f>
        <v/>
      </c>
      <c r="H157" s="969" t="str">
        <f>IF('Input Form - EingabeMaske'!$D$61="x","OK","")</f>
        <v/>
      </c>
      <c r="I157" s="969" t="str">
        <f>IF('Input Form - EingabeMaske'!$E$61="x","OK","")</f>
        <v/>
      </c>
      <c r="J157" s="45" t="str">
        <f>IF('Input Form - EingabeMaske'!$F$61="x","OK","")</f>
        <v/>
      </c>
      <c r="M157" s="1401" t="s">
        <v>900</v>
      </c>
      <c r="N157" s="1404"/>
      <c r="O157" s="1316"/>
      <c r="P157" s="1416"/>
      <c r="Q157" s="1419"/>
    </row>
    <row r="158" spans="1:17" s="824" customFormat="1" ht="15.75" hidden="1" customHeight="1">
      <c r="A158" s="929" t="s">
        <v>772</v>
      </c>
      <c r="B158" s="930"/>
      <c r="C158" s="847" t="str">
        <f>PrSchr9</f>
        <v>Stage 9</v>
      </c>
      <c r="D158" s="359" t="s">
        <v>514</v>
      </c>
      <c r="E158" s="952" t="str">
        <f t="shared" si="9"/>
        <v>Enter text</v>
      </c>
      <c r="F158" s="1201"/>
      <c r="G158" s="1185" t="str">
        <f>IF('Input Form - EingabeMaske'!$C$62="x","OK","")</f>
        <v/>
      </c>
      <c r="H158" s="969" t="str">
        <f>IF('Input Form - EingabeMaske'!$D$62="x","OK","")</f>
        <v/>
      </c>
      <c r="I158" s="969" t="str">
        <f>IF('Input Form - EingabeMaske'!$E$62="x","OK","")</f>
        <v/>
      </c>
      <c r="J158" s="45" t="str">
        <f>IF('Input Form - EingabeMaske'!$F$62="x","OK","")</f>
        <v/>
      </c>
      <c r="M158" s="1401" t="s">
        <v>900</v>
      </c>
      <c r="N158" s="1404"/>
      <c r="O158" s="1316"/>
      <c r="P158" s="1416"/>
      <c r="Q158" s="1419"/>
    </row>
    <row r="159" spans="1:17" s="824" customFormat="1" ht="16.5" hidden="1" customHeight="1" thickBot="1">
      <c r="A159" s="929" t="s">
        <v>773</v>
      </c>
      <c r="B159" s="930"/>
      <c r="C159" s="847" t="str">
        <f>PrSchr10</f>
        <v>Stage 10</v>
      </c>
      <c r="D159" s="359" t="s">
        <v>514</v>
      </c>
      <c r="E159" s="953" t="str">
        <f t="shared" si="9"/>
        <v>Enter text</v>
      </c>
      <c r="F159" s="1201"/>
      <c r="G159" s="1185" t="str">
        <f>IF('Input Form - EingabeMaske'!$C$63="x","OK","")</f>
        <v/>
      </c>
      <c r="H159" s="969" t="str">
        <f>IF('Input Form - EingabeMaske'!$D$63="x","OK","")</f>
        <v/>
      </c>
      <c r="I159" s="969" t="str">
        <f>IF('Input Form - EingabeMaske'!$E$63="x","OK","")</f>
        <v/>
      </c>
      <c r="J159" s="45" t="str">
        <f>IF('Input Form - EingabeMaske'!$F$63="x","OK","")</f>
        <v/>
      </c>
      <c r="M159" s="1402" t="s">
        <v>900</v>
      </c>
      <c r="N159" s="1405"/>
      <c r="O159" s="1323"/>
      <c r="P159" s="1417"/>
      <c r="Q159" s="1420"/>
    </row>
    <row r="160" spans="1:17" s="824" customFormat="1" ht="33" customHeight="1" thickBot="1">
      <c r="A160" s="927" t="s">
        <v>2</v>
      </c>
      <c r="B160" s="931" t="s">
        <v>7</v>
      </c>
      <c r="C160" s="924" t="str">
        <f>VLOOKUP(pos(C160),'Language-Sprachen'!$A$200:$G$461,'Language-Sprachen'!$A$3,0)</f>
        <v>Are non-released and/or defective parts managed?</v>
      </c>
      <c r="D160" s="924"/>
      <c r="E160" s="924"/>
      <c r="F160" s="1197"/>
      <c r="G160" s="962"/>
      <c r="H160" s="15"/>
      <c r="I160" s="15"/>
      <c r="J160" s="51"/>
      <c r="K160" s="927" t="s">
        <v>2</v>
      </c>
      <c r="M160" s="1283" t="s">
        <v>900</v>
      </c>
      <c r="N160" s="1324"/>
      <c r="O160" s="1285"/>
      <c r="P160" s="1286"/>
      <c r="Q160" s="1317"/>
    </row>
    <row r="161" spans="1:17" s="824" customFormat="1" ht="49.5" customHeight="1" thickBot="1">
      <c r="A161" s="929" t="s">
        <v>197</v>
      </c>
      <c r="B161" s="930"/>
      <c r="C161" s="912" t="str">
        <f>PrSchr1</f>
        <v>Stage 1: Moldshop Process</v>
      </c>
      <c r="D161" s="359">
        <v>10</v>
      </c>
      <c r="E161" s="952" t="s">
        <v>1017</v>
      </c>
      <c r="F161" s="1201"/>
      <c r="G161" s="1185" t="str">
        <f>IF('Input Form - EingabeMaske'!$C$54="x","OK","")</f>
        <v>OK</v>
      </c>
      <c r="H161" s="969" t="str">
        <f>IF('Input Form - EingabeMaske'!$D$54="x","OK","")</f>
        <v/>
      </c>
      <c r="I161" s="969" t="str">
        <f>IF('Input Form - EingabeMaske'!$E$54="x","OK","")</f>
        <v/>
      </c>
      <c r="J161" s="45" t="str">
        <f>IF('Input Form - EingabeMaske'!$F$54="x","OK","")</f>
        <v/>
      </c>
      <c r="M161" s="1400" t="s">
        <v>900</v>
      </c>
      <c r="N161" s="1403" t="s">
        <v>922</v>
      </c>
      <c r="O161" s="1421" t="s">
        <v>923</v>
      </c>
      <c r="P161" s="1415" t="s">
        <v>924</v>
      </c>
      <c r="Q161" s="1418">
        <v>2150</v>
      </c>
    </row>
    <row r="162" spans="1:17" s="824" customFormat="1" ht="36.75" hidden="1" customHeight="1">
      <c r="A162" s="929" t="s">
        <v>198</v>
      </c>
      <c r="B162" s="930"/>
      <c r="C162" s="912" t="str">
        <f>PrSchr2</f>
        <v>Stage 2:</v>
      </c>
      <c r="D162" s="359">
        <v>10</v>
      </c>
      <c r="E162" s="952" t="str">
        <f t="shared" ref="E162:E170" si="10">IF(ISBLANK(D162),$L$13,IF(D162=10,$L$14,$L$15))</f>
        <v>No weak points identified</v>
      </c>
      <c r="F162" s="1201"/>
      <c r="G162" s="1185" t="str">
        <f>IF('Input Form - EingabeMaske'!$C$55="x","OK","")</f>
        <v>OK</v>
      </c>
      <c r="H162" s="969" t="str">
        <f>IF('Input Form - EingabeMaske'!$D$55="x","OK","")</f>
        <v/>
      </c>
      <c r="I162" s="969" t="str">
        <f>IF('Input Form - EingabeMaske'!$E$55="x","OK","")</f>
        <v/>
      </c>
      <c r="J162" s="45" t="str">
        <f>IF('Input Form - EingabeMaske'!$F$55="x","OK","")</f>
        <v/>
      </c>
      <c r="M162" s="1401" t="s">
        <v>900</v>
      </c>
      <c r="N162" s="1404"/>
      <c r="O162" s="1422"/>
      <c r="P162" s="1416"/>
      <c r="Q162" s="1419"/>
    </row>
    <row r="163" spans="1:17" s="824" customFormat="1" ht="72" hidden="1" customHeight="1">
      <c r="A163" s="929" t="s">
        <v>199</v>
      </c>
      <c r="B163" s="930"/>
      <c r="C163" s="912" t="str">
        <f>PrSchr3</f>
        <v>Stage 3</v>
      </c>
      <c r="D163" s="359">
        <v>10</v>
      </c>
      <c r="E163" s="952" t="s">
        <v>995</v>
      </c>
      <c r="F163" s="1201"/>
      <c r="G163" s="1185" t="str">
        <f>IF('Input Form - EingabeMaske'!$C$56="x","OK","")</f>
        <v>OK</v>
      </c>
      <c r="H163" s="969" t="str">
        <f>IF('Input Form - EingabeMaske'!$D$56="x","OK","")</f>
        <v/>
      </c>
      <c r="I163" s="969" t="str">
        <f>IF('Input Form - EingabeMaske'!$E$56="x","OK","")</f>
        <v/>
      </c>
      <c r="J163" s="45" t="str">
        <f>IF('Input Form - EingabeMaske'!$F$56="x","OK","")</f>
        <v/>
      </c>
      <c r="M163" s="1401" t="s">
        <v>900</v>
      </c>
      <c r="N163" s="1404"/>
      <c r="O163" s="1422"/>
      <c r="P163" s="1416"/>
      <c r="Q163" s="1419"/>
    </row>
    <row r="164" spans="1:17" s="824" customFormat="1" ht="39.950000000000003" hidden="1" customHeight="1">
      <c r="A164" s="929" t="s">
        <v>767</v>
      </c>
      <c r="B164" s="930"/>
      <c r="C164" s="847" t="str">
        <f>PrSchr4</f>
        <v>Stage 4</v>
      </c>
      <c r="D164" s="359">
        <v>10</v>
      </c>
      <c r="E164" s="952" t="s">
        <v>994</v>
      </c>
      <c r="F164" s="1201"/>
      <c r="G164" s="1185" t="str">
        <f>IF('Input Form - EingabeMaske'!$C$57="x","OK","")</f>
        <v>OK</v>
      </c>
      <c r="H164" s="969" t="str">
        <f>IF('Input Form - EingabeMaske'!$D$57="x","OK","")</f>
        <v/>
      </c>
      <c r="I164" s="969" t="str">
        <f>IF('Input Form - EingabeMaske'!$E$57="x","OK","")</f>
        <v/>
      </c>
      <c r="J164" s="45" t="str">
        <f>IF('Input Form - EingabeMaske'!$F$57="x","OK","")</f>
        <v/>
      </c>
      <c r="M164" s="1401" t="s">
        <v>900</v>
      </c>
      <c r="N164" s="1404"/>
      <c r="O164" s="1422"/>
      <c r="P164" s="1416"/>
      <c r="Q164" s="1419"/>
    </row>
    <row r="165" spans="1:17" s="824" customFormat="1" ht="39.950000000000003" hidden="1" customHeight="1">
      <c r="A165" s="929" t="s">
        <v>768</v>
      </c>
      <c r="B165" s="930"/>
      <c r="C165" s="847" t="str">
        <f>PrSchr5</f>
        <v>Stage 5</v>
      </c>
      <c r="D165" s="359">
        <v>10</v>
      </c>
      <c r="E165" s="952" t="str">
        <f t="shared" si="10"/>
        <v>No weak points identified</v>
      </c>
      <c r="F165" s="1201"/>
      <c r="G165" s="1185" t="str">
        <f>IF('Input Form - EingabeMaske'!$C$58="x","OK","")</f>
        <v>OK</v>
      </c>
      <c r="H165" s="969" t="str">
        <f>IF('Input Form - EingabeMaske'!$D$58="x","OK","")</f>
        <v/>
      </c>
      <c r="I165" s="969" t="str">
        <f>IF('Input Form - EingabeMaske'!$E$58="x","OK","")</f>
        <v/>
      </c>
      <c r="J165" s="45" t="str">
        <f>IF('Input Form - EingabeMaske'!$F$58="x","OK","")</f>
        <v/>
      </c>
      <c r="M165" s="1401" t="s">
        <v>900</v>
      </c>
      <c r="N165" s="1404"/>
      <c r="O165" s="1423"/>
      <c r="P165" s="1416"/>
      <c r="Q165" s="1419"/>
    </row>
    <row r="166" spans="1:17" s="824" customFormat="1" ht="15.75" hidden="1" customHeight="1">
      <c r="A166" s="929" t="s">
        <v>769</v>
      </c>
      <c r="B166" s="930"/>
      <c r="C166" s="847" t="str">
        <f>PrSchr6</f>
        <v>Stage 6</v>
      </c>
      <c r="D166" s="359" t="s">
        <v>514</v>
      </c>
      <c r="E166" s="952" t="str">
        <f t="shared" si="10"/>
        <v>Enter text</v>
      </c>
      <c r="F166" s="1201"/>
      <c r="G166" s="1185" t="str">
        <f>IF('Input Form - EingabeMaske'!$C$59="x","OK","")</f>
        <v/>
      </c>
      <c r="H166" s="969" t="str">
        <f>IF('Input Form - EingabeMaske'!$D$59="x","OK","")</f>
        <v/>
      </c>
      <c r="I166" s="969" t="str">
        <f>IF('Input Form - EingabeMaske'!$E$59="x","OK","")</f>
        <v/>
      </c>
      <c r="J166" s="45" t="str">
        <f>IF('Input Form - EingabeMaske'!$F$59="x","OK","")</f>
        <v/>
      </c>
      <c r="M166" s="1401" t="s">
        <v>900</v>
      </c>
      <c r="N166" s="1404"/>
      <c r="O166" s="1316"/>
      <c r="P166" s="1416"/>
      <c r="Q166" s="1419"/>
    </row>
    <row r="167" spans="1:17" s="824" customFormat="1" ht="15.75" hidden="1" customHeight="1">
      <c r="A167" s="929" t="s">
        <v>770</v>
      </c>
      <c r="B167" s="930"/>
      <c r="C167" s="847" t="str">
        <f>PrSchr7</f>
        <v>Stage 7</v>
      </c>
      <c r="D167" s="359" t="s">
        <v>514</v>
      </c>
      <c r="E167" s="952" t="str">
        <f t="shared" si="10"/>
        <v>Enter text</v>
      </c>
      <c r="F167" s="1201"/>
      <c r="G167" s="1185" t="str">
        <f>IF('Input Form - EingabeMaske'!$C$60="x","OK","")</f>
        <v/>
      </c>
      <c r="H167" s="969" t="str">
        <f>IF('Input Form - EingabeMaske'!$D$60="x","OK","")</f>
        <v/>
      </c>
      <c r="I167" s="969" t="str">
        <f>IF('Input Form - EingabeMaske'!$E$60="x","OK","")</f>
        <v/>
      </c>
      <c r="J167" s="45" t="str">
        <f>IF('Input Form - EingabeMaske'!$F$60="x","OK","")</f>
        <v/>
      </c>
      <c r="M167" s="1401" t="s">
        <v>900</v>
      </c>
      <c r="N167" s="1404"/>
      <c r="O167" s="1316"/>
      <c r="P167" s="1416"/>
      <c r="Q167" s="1419"/>
    </row>
    <row r="168" spans="1:17" s="824" customFormat="1" ht="15.75" hidden="1" customHeight="1">
      <c r="A168" s="929" t="s">
        <v>771</v>
      </c>
      <c r="B168" s="930"/>
      <c r="C168" s="847" t="str">
        <f>PrSchr8</f>
        <v>Stage 8</v>
      </c>
      <c r="D168" s="359" t="s">
        <v>514</v>
      </c>
      <c r="E168" s="952" t="str">
        <f t="shared" si="10"/>
        <v>Enter text</v>
      </c>
      <c r="F168" s="1201"/>
      <c r="G168" s="1185" t="str">
        <f>IF('Input Form - EingabeMaske'!$C$61="x","OK","")</f>
        <v/>
      </c>
      <c r="H168" s="969" t="str">
        <f>IF('Input Form - EingabeMaske'!$D$61="x","OK","")</f>
        <v/>
      </c>
      <c r="I168" s="969" t="str">
        <f>IF('Input Form - EingabeMaske'!$E$61="x","OK","")</f>
        <v/>
      </c>
      <c r="J168" s="45" t="str">
        <f>IF('Input Form - EingabeMaske'!$F$61="x","OK","")</f>
        <v/>
      </c>
      <c r="M168" s="1401" t="s">
        <v>900</v>
      </c>
      <c r="N168" s="1404"/>
      <c r="O168" s="1316"/>
      <c r="P168" s="1416"/>
      <c r="Q168" s="1419"/>
    </row>
    <row r="169" spans="1:17" s="824" customFormat="1" ht="15.75" hidden="1" customHeight="1">
      <c r="A169" s="929" t="s">
        <v>772</v>
      </c>
      <c r="B169" s="930"/>
      <c r="C169" s="847" t="str">
        <f>PrSchr9</f>
        <v>Stage 9</v>
      </c>
      <c r="D169" s="359" t="s">
        <v>514</v>
      </c>
      <c r="E169" s="952" t="str">
        <f t="shared" si="10"/>
        <v>Enter text</v>
      </c>
      <c r="F169" s="1201"/>
      <c r="G169" s="1185" t="str">
        <f>IF('Input Form - EingabeMaske'!$C$62="x","OK","")</f>
        <v/>
      </c>
      <c r="H169" s="969" t="str">
        <f>IF('Input Form - EingabeMaske'!$D$62="x","OK","")</f>
        <v/>
      </c>
      <c r="I169" s="969" t="str">
        <f>IF('Input Form - EingabeMaske'!$E$62="x","OK","")</f>
        <v/>
      </c>
      <c r="J169" s="45" t="str">
        <f>IF('Input Form - EingabeMaske'!$F$62="x","OK","")</f>
        <v/>
      </c>
      <c r="M169" s="1401" t="s">
        <v>900</v>
      </c>
      <c r="N169" s="1404"/>
      <c r="O169" s="1316"/>
      <c r="P169" s="1416"/>
      <c r="Q169" s="1419"/>
    </row>
    <row r="170" spans="1:17" s="824" customFormat="1" ht="16.5" hidden="1" customHeight="1" thickBot="1">
      <c r="A170" s="929" t="s">
        <v>773</v>
      </c>
      <c r="B170" s="930"/>
      <c r="C170" s="847" t="str">
        <f>PrSchr10</f>
        <v>Stage 10</v>
      </c>
      <c r="D170" s="359" t="s">
        <v>514</v>
      </c>
      <c r="E170" s="952" t="str">
        <f t="shared" si="10"/>
        <v>Enter text</v>
      </c>
      <c r="F170" s="1201"/>
      <c r="G170" s="1185" t="str">
        <f>IF('Input Form - EingabeMaske'!$C$63="x","OK","")</f>
        <v/>
      </c>
      <c r="H170" s="969" t="str">
        <f>IF('Input Form - EingabeMaske'!$D$63="x","OK","")</f>
        <v/>
      </c>
      <c r="I170" s="969" t="str">
        <f>IF('Input Form - EingabeMaske'!$E$63="x","OK","")</f>
        <v/>
      </c>
      <c r="J170" s="45" t="str">
        <f>IF('Input Form - EingabeMaske'!$F$63="x","OK","")</f>
        <v/>
      </c>
      <c r="M170" s="1402" t="s">
        <v>900</v>
      </c>
      <c r="N170" s="1405"/>
      <c r="O170" s="1323"/>
      <c r="P170" s="1417"/>
      <c r="Q170" s="1420"/>
    </row>
    <row r="171" spans="1:17" s="824" customFormat="1" ht="34.5" customHeight="1" thickBot="1">
      <c r="A171" s="913" t="s">
        <v>37</v>
      </c>
      <c r="B171" s="914"/>
      <c r="C171" s="864" t="str">
        <f>VLOOKUP(pos(C171),'Language-Sprachen'!$A$200:$G$461,'Language-Sprachen'!$A$3,0)</f>
        <v>Is the flow of materials and parts secured against mixing / wrong items?</v>
      </c>
      <c r="D171" s="864"/>
      <c r="E171" s="864"/>
      <c r="F171" s="1197"/>
      <c r="G171" s="962"/>
      <c r="H171" s="15"/>
      <c r="I171" s="15"/>
      <c r="J171" s="51"/>
      <c r="K171" s="913" t="s">
        <v>37</v>
      </c>
      <c r="M171" s="1283" t="s">
        <v>900</v>
      </c>
      <c r="N171" s="1324"/>
      <c r="O171" s="1285"/>
      <c r="P171" s="1286"/>
      <c r="Q171" s="1317"/>
    </row>
    <row r="172" spans="1:17" s="824" customFormat="1" ht="39.950000000000003" customHeight="1" thickBot="1">
      <c r="A172" s="915" t="s">
        <v>197</v>
      </c>
      <c r="B172" s="916"/>
      <c r="C172" s="847" t="str">
        <f>PrSchr1</f>
        <v>Stage 1: Moldshop Process</v>
      </c>
      <c r="D172" s="359">
        <v>10</v>
      </c>
      <c r="E172" s="952" t="s">
        <v>1018</v>
      </c>
      <c r="F172" s="1201"/>
      <c r="G172" s="1185" t="str">
        <f>IF('Input Form - EingabeMaske'!$C$54="x","OK","")</f>
        <v>OK</v>
      </c>
      <c r="H172" s="969" t="str">
        <f>IF('Input Form - EingabeMaske'!$D$54="x","OK","")</f>
        <v/>
      </c>
      <c r="I172" s="969" t="str">
        <f>IF('Input Form - EingabeMaske'!$E$54="x","OK","")</f>
        <v/>
      </c>
      <c r="J172" s="45" t="str">
        <f>IF('Input Form - EingabeMaske'!$F$54="x","OK","")</f>
        <v/>
      </c>
      <c r="M172" s="1400" t="s">
        <v>900</v>
      </c>
      <c r="N172" s="1403" t="s">
        <v>925</v>
      </c>
      <c r="O172" s="1421" t="s">
        <v>926</v>
      </c>
      <c r="P172" s="1415"/>
      <c r="Q172" s="1418" t="s">
        <v>927</v>
      </c>
    </row>
    <row r="173" spans="1:17" s="824" customFormat="1" ht="39.950000000000003" hidden="1" customHeight="1">
      <c r="A173" s="915" t="s">
        <v>198</v>
      </c>
      <c r="B173" s="916"/>
      <c r="C173" s="847" t="str">
        <f>PrSchr2</f>
        <v>Stage 2:</v>
      </c>
      <c r="D173" s="359">
        <v>10</v>
      </c>
      <c r="E173" s="952" t="str">
        <f t="shared" ref="E173:E181" si="11">IF(ISBLANK(D173),$L$13,IF(D173=10,$L$14,$L$15))</f>
        <v>No weak points identified</v>
      </c>
      <c r="F173" s="1201"/>
      <c r="G173" s="1185" t="str">
        <f>IF('Input Form - EingabeMaske'!$C$55="x","OK","")</f>
        <v>OK</v>
      </c>
      <c r="H173" s="969" t="str">
        <f>IF('Input Form - EingabeMaske'!$D$55="x","OK","")</f>
        <v/>
      </c>
      <c r="I173" s="969" t="str">
        <f>IF('Input Form - EingabeMaske'!$E$55="x","OK","")</f>
        <v/>
      </c>
      <c r="J173" s="45" t="str">
        <f>IF('Input Form - EingabeMaske'!$F$55="x","OK","")</f>
        <v/>
      </c>
      <c r="M173" s="1401" t="s">
        <v>900</v>
      </c>
      <c r="N173" s="1404"/>
      <c r="O173" s="1422"/>
      <c r="P173" s="1416"/>
      <c r="Q173" s="1419"/>
    </row>
    <row r="174" spans="1:17" s="824" customFormat="1" ht="68.25" hidden="1" customHeight="1">
      <c r="A174" s="915" t="s">
        <v>199</v>
      </c>
      <c r="B174" s="916"/>
      <c r="C174" s="847" t="str">
        <f>PrSchr3</f>
        <v>Stage 3</v>
      </c>
      <c r="D174" s="359" t="s">
        <v>514</v>
      </c>
      <c r="E174" s="952"/>
      <c r="F174" s="1201"/>
      <c r="G174" s="1185" t="str">
        <f>IF('Input Form - EingabeMaske'!$C$56="x","OK","")</f>
        <v>OK</v>
      </c>
      <c r="H174" s="969" t="str">
        <f>IF('Input Form - EingabeMaske'!$D$56="x","OK","")</f>
        <v/>
      </c>
      <c r="I174" s="969" t="str">
        <f>IF('Input Form - EingabeMaske'!$E$56="x","OK","")</f>
        <v/>
      </c>
      <c r="J174" s="45" t="str">
        <f>IF('Input Form - EingabeMaske'!$F$56="x","OK","")</f>
        <v/>
      </c>
      <c r="M174" s="1401" t="s">
        <v>900</v>
      </c>
      <c r="N174" s="1404"/>
      <c r="O174" s="1422"/>
      <c r="P174" s="1416"/>
      <c r="Q174" s="1419"/>
    </row>
    <row r="175" spans="1:17" s="824" customFormat="1" ht="39.950000000000003" hidden="1" customHeight="1">
      <c r="A175" s="915" t="s">
        <v>767</v>
      </c>
      <c r="B175" s="916"/>
      <c r="C175" s="847" t="str">
        <f>PrSchr4</f>
        <v>Stage 4</v>
      </c>
      <c r="D175" s="359" t="s">
        <v>514</v>
      </c>
      <c r="E175" s="952" t="str">
        <f t="shared" si="11"/>
        <v>Enter text</v>
      </c>
      <c r="F175" s="1201"/>
      <c r="G175" s="1185" t="str">
        <f>IF('Input Form - EingabeMaske'!$C$57="x","OK","")</f>
        <v>OK</v>
      </c>
      <c r="H175" s="969" t="str">
        <f>IF('Input Form - EingabeMaske'!$D$57="x","OK","")</f>
        <v/>
      </c>
      <c r="I175" s="969" t="str">
        <f>IF('Input Form - EingabeMaske'!$E$57="x","OK","")</f>
        <v/>
      </c>
      <c r="J175" s="45" t="str">
        <f>IF('Input Form - EingabeMaske'!$F$57="x","OK","")</f>
        <v/>
      </c>
      <c r="M175" s="1401" t="s">
        <v>900</v>
      </c>
      <c r="N175" s="1404"/>
      <c r="O175" s="1422"/>
      <c r="P175" s="1416"/>
      <c r="Q175" s="1419"/>
    </row>
    <row r="176" spans="1:17" s="824" customFormat="1" ht="39.950000000000003" hidden="1" customHeight="1">
      <c r="A176" s="915" t="s">
        <v>768</v>
      </c>
      <c r="B176" s="916"/>
      <c r="C176" s="847" t="str">
        <f>PrSchr5</f>
        <v>Stage 5</v>
      </c>
      <c r="D176" s="359" t="s">
        <v>514</v>
      </c>
      <c r="E176" s="952" t="str">
        <f t="shared" si="11"/>
        <v>Enter text</v>
      </c>
      <c r="F176" s="1201"/>
      <c r="G176" s="1185" t="str">
        <f>IF('Input Form - EingabeMaske'!$C$58="x","OK","")</f>
        <v>OK</v>
      </c>
      <c r="H176" s="969" t="str">
        <f>IF('Input Form - EingabeMaske'!$D$58="x","OK","")</f>
        <v/>
      </c>
      <c r="I176" s="969" t="str">
        <f>IF('Input Form - EingabeMaske'!$E$58="x","OK","")</f>
        <v/>
      </c>
      <c r="J176" s="45" t="str">
        <f>IF('Input Form - EingabeMaske'!$F$58="x","OK","")</f>
        <v/>
      </c>
      <c r="M176" s="1401" t="s">
        <v>900</v>
      </c>
      <c r="N176" s="1404"/>
      <c r="O176" s="1423"/>
      <c r="P176" s="1416"/>
      <c r="Q176" s="1419"/>
    </row>
    <row r="177" spans="1:17" s="824" customFormat="1" ht="15.75" hidden="1" customHeight="1">
      <c r="A177" s="915" t="s">
        <v>769</v>
      </c>
      <c r="B177" s="916"/>
      <c r="C177" s="847" t="str">
        <f>PrSchr6</f>
        <v>Stage 6</v>
      </c>
      <c r="D177" s="359" t="s">
        <v>514</v>
      </c>
      <c r="E177" s="952" t="str">
        <f t="shared" si="11"/>
        <v>Enter text</v>
      </c>
      <c r="F177" s="1201"/>
      <c r="G177" s="1185" t="str">
        <f>IF('Input Form - EingabeMaske'!$C$59="x","OK","")</f>
        <v/>
      </c>
      <c r="H177" s="969" t="str">
        <f>IF('Input Form - EingabeMaske'!$D$59="x","OK","")</f>
        <v/>
      </c>
      <c r="I177" s="969" t="str">
        <f>IF('Input Form - EingabeMaske'!$E$59="x","OK","")</f>
        <v/>
      </c>
      <c r="J177" s="45" t="str">
        <f>IF('Input Form - EingabeMaske'!$F$59="x","OK","")</f>
        <v/>
      </c>
      <c r="M177" s="1401" t="s">
        <v>900</v>
      </c>
      <c r="N177" s="1404"/>
      <c r="O177" s="1316"/>
      <c r="P177" s="1416"/>
      <c r="Q177" s="1419"/>
    </row>
    <row r="178" spans="1:17" s="824" customFormat="1" ht="15.75" hidden="1" customHeight="1">
      <c r="A178" s="915" t="s">
        <v>770</v>
      </c>
      <c r="B178" s="916"/>
      <c r="C178" s="847" t="str">
        <f>PrSchr7</f>
        <v>Stage 7</v>
      </c>
      <c r="D178" s="359" t="s">
        <v>514</v>
      </c>
      <c r="E178" s="952" t="str">
        <f t="shared" si="11"/>
        <v>Enter text</v>
      </c>
      <c r="F178" s="1201"/>
      <c r="G178" s="1185" t="str">
        <f>IF('Input Form - EingabeMaske'!$C$60="x","OK","")</f>
        <v/>
      </c>
      <c r="H178" s="969" t="str">
        <f>IF('Input Form - EingabeMaske'!$D$60="x","OK","")</f>
        <v/>
      </c>
      <c r="I178" s="969" t="str">
        <f>IF('Input Form - EingabeMaske'!$E$60="x","OK","")</f>
        <v/>
      </c>
      <c r="J178" s="45" t="str">
        <f>IF('Input Form - EingabeMaske'!$F$60="x","OK","")</f>
        <v/>
      </c>
      <c r="M178" s="1401" t="s">
        <v>900</v>
      </c>
      <c r="N178" s="1404"/>
      <c r="O178" s="1316"/>
      <c r="P178" s="1416"/>
      <c r="Q178" s="1419"/>
    </row>
    <row r="179" spans="1:17" s="824" customFormat="1" ht="15.75" hidden="1" customHeight="1">
      <c r="A179" s="915" t="s">
        <v>771</v>
      </c>
      <c r="B179" s="916"/>
      <c r="C179" s="847" t="str">
        <f>PrSchr8</f>
        <v>Stage 8</v>
      </c>
      <c r="D179" s="359" t="s">
        <v>514</v>
      </c>
      <c r="E179" s="952" t="str">
        <f t="shared" si="11"/>
        <v>Enter text</v>
      </c>
      <c r="F179" s="1201"/>
      <c r="G179" s="1185" t="str">
        <f>IF('Input Form - EingabeMaske'!$C$61="x","OK","")</f>
        <v/>
      </c>
      <c r="H179" s="969" t="str">
        <f>IF('Input Form - EingabeMaske'!$D$61="x","OK","")</f>
        <v/>
      </c>
      <c r="I179" s="969" t="str">
        <f>IF('Input Form - EingabeMaske'!$E$61="x","OK","")</f>
        <v/>
      </c>
      <c r="J179" s="45" t="str">
        <f>IF('Input Form - EingabeMaske'!$F$61="x","OK","")</f>
        <v/>
      </c>
      <c r="M179" s="1401" t="s">
        <v>900</v>
      </c>
      <c r="N179" s="1404"/>
      <c r="O179" s="1316"/>
      <c r="P179" s="1416"/>
      <c r="Q179" s="1419"/>
    </row>
    <row r="180" spans="1:17" s="824" customFormat="1" ht="15.75" hidden="1" customHeight="1">
      <c r="A180" s="915" t="s">
        <v>772</v>
      </c>
      <c r="B180" s="916"/>
      <c r="C180" s="847" t="str">
        <f>PrSchr9</f>
        <v>Stage 9</v>
      </c>
      <c r="D180" s="359" t="s">
        <v>514</v>
      </c>
      <c r="E180" s="952" t="str">
        <f t="shared" si="11"/>
        <v>Enter text</v>
      </c>
      <c r="F180" s="1201"/>
      <c r="G180" s="1185" t="str">
        <f>IF('Input Form - EingabeMaske'!$C$62="x","OK","")</f>
        <v/>
      </c>
      <c r="H180" s="969" t="str">
        <f>IF('Input Form - EingabeMaske'!$D$62="x","OK","")</f>
        <v/>
      </c>
      <c r="I180" s="969" t="str">
        <f>IF('Input Form - EingabeMaske'!$E$62="x","OK","")</f>
        <v/>
      </c>
      <c r="J180" s="45" t="str">
        <f>IF('Input Form - EingabeMaske'!$F$62="x","OK","")</f>
        <v/>
      </c>
      <c r="M180" s="1401" t="s">
        <v>900</v>
      </c>
      <c r="N180" s="1404"/>
      <c r="O180" s="1316"/>
      <c r="P180" s="1416"/>
      <c r="Q180" s="1419"/>
    </row>
    <row r="181" spans="1:17" s="824" customFormat="1" ht="16.5" hidden="1" customHeight="1" thickBot="1">
      <c r="A181" s="915" t="s">
        <v>773</v>
      </c>
      <c r="B181" s="916"/>
      <c r="C181" s="847" t="str">
        <f>PrSchr10</f>
        <v>Stage 10</v>
      </c>
      <c r="D181" s="359" t="s">
        <v>514</v>
      </c>
      <c r="E181" s="952" t="str">
        <f t="shared" si="11"/>
        <v>Enter text</v>
      </c>
      <c r="F181" s="1201"/>
      <c r="G181" s="1185" t="str">
        <f>IF('Input Form - EingabeMaske'!$C$63="x","OK","")</f>
        <v/>
      </c>
      <c r="H181" s="969" t="str">
        <f>IF('Input Form - EingabeMaske'!$D$63="x","OK","")</f>
        <v/>
      </c>
      <c r="I181" s="969" t="str">
        <f>IF('Input Form - EingabeMaske'!$E$63="x","OK","")</f>
        <v/>
      </c>
      <c r="J181" s="45" t="str">
        <f>IF('Input Form - EingabeMaske'!$F$63="x","OK","")</f>
        <v/>
      </c>
      <c r="M181" s="1402" t="s">
        <v>900</v>
      </c>
      <c r="N181" s="1405"/>
      <c r="O181" s="1323"/>
      <c r="P181" s="1417"/>
      <c r="Q181" s="1420"/>
    </row>
    <row r="182" spans="1:17" s="824" customFormat="1" ht="39.75" customHeight="1" thickBot="1">
      <c r="A182" s="905" t="s">
        <v>3</v>
      </c>
      <c r="B182" s="906">
        <f>'Evaluation-Bewertung'!_es3</f>
        <v>1</v>
      </c>
      <c r="C182" s="907" t="str">
        <f>VLOOKUP(pos(C182),'Language-Sprachen'!$A$200:$G$461,'Language-Sprachen'!$A$3,0)</f>
        <v>What functions support the process? Personnel resources</v>
      </c>
      <c r="D182" s="1431"/>
      <c r="E182" s="1432"/>
      <c r="F182" s="1198"/>
      <c r="G182" s="962"/>
      <c r="H182" s="15"/>
      <c r="I182" s="15"/>
      <c r="J182" s="51"/>
      <c r="M182" s="1302" t="s">
        <v>900</v>
      </c>
      <c r="N182" s="1320"/>
      <c r="O182" s="1303"/>
      <c r="P182" s="1304"/>
      <c r="Q182" s="1305"/>
    </row>
    <row r="183" spans="1:17" s="824" customFormat="1" ht="23.25" customHeight="1" thickBot="1">
      <c r="A183" s="926" t="s">
        <v>38</v>
      </c>
      <c r="B183" s="918" t="s">
        <v>7</v>
      </c>
      <c r="C183" s="864" t="str">
        <f>VLOOKUP(pos(C183),'Language-Sprachen'!$A$200:$G$461,'Language-Sprachen'!$A$3,0)</f>
        <v>Are the employees able to fulfil their given tasks?</v>
      </c>
      <c r="D183" s="864"/>
      <c r="E183" s="864"/>
      <c r="F183" s="1199"/>
      <c r="G183" s="962"/>
      <c r="H183" s="15"/>
      <c r="I183" s="15"/>
      <c r="J183" s="51"/>
      <c r="K183" s="926" t="s">
        <v>38</v>
      </c>
      <c r="M183" s="1310" t="s">
        <v>900</v>
      </c>
      <c r="N183" s="1322"/>
      <c r="O183" s="1311"/>
      <c r="P183" s="1312"/>
      <c r="Q183" s="1313"/>
    </row>
    <row r="184" spans="1:17" s="824" customFormat="1" ht="39.950000000000003" customHeight="1" thickBot="1">
      <c r="A184" s="919" t="s">
        <v>197</v>
      </c>
      <c r="B184" s="920"/>
      <c r="C184" s="847" t="str">
        <f>PrSchr1</f>
        <v>Stage 1: Moldshop Process</v>
      </c>
      <c r="D184" s="359">
        <v>10</v>
      </c>
      <c r="E184" s="1345" t="str">
        <f t="shared" ref="E184:E193" si="12">IF(ISBLANK(D184),$L$13,IF(D184=10,$L$14,$L$15))</f>
        <v>No weak points identified</v>
      </c>
      <c r="F184" s="1201"/>
      <c r="G184" s="1185" t="str">
        <f>IF('Input Form - EingabeMaske'!$C$54="x","OK","")</f>
        <v>OK</v>
      </c>
      <c r="H184" s="969" t="str">
        <f>IF('Input Form - EingabeMaske'!$D$54="x","OK","")</f>
        <v/>
      </c>
      <c r="I184" s="969" t="str">
        <f>IF('Input Form - EingabeMaske'!$E$54="x","OK","")</f>
        <v/>
      </c>
      <c r="J184" s="45" t="str">
        <f>IF('Input Form - EingabeMaske'!$F$54="x","OK","")</f>
        <v/>
      </c>
      <c r="M184" s="1400" t="s">
        <v>900</v>
      </c>
      <c r="N184" s="1403" t="s">
        <v>928</v>
      </c>
      <c r="O184" s="1421" t="s">
        <v>929</v>
      </c>
      <c r="P184" s="1415" t="s">
        <v>930</v>
      </c>
      <c r="Q184" s="1418">
        <v>3170</v>
      </c>
    </row>
    <row r="185" spans="1:17" s="824" customFormat="1" ht="39.950000000000003" hidden="1" customHeight="1">
      <c r="A185" s="919" t="s">
        <v>198</v>
      </c>
      <c r="B185" s="920"/>
      <c r="C185" s="847" t="str">
        <f>PrSchr2</f>
        <v>Stage 2:</v>
      </c>
      <c r="D185" s="359">
        <v>10</v>
      </c>
      <c r="E185" s="952" t="str">
        <f t="shared" si="12"/>
        <v>No weak points identified</v>
      </c>
      <c r="F185" s="1201"/>
      <c r="G185" s="1185" t="str">
        <f>IF('Input Form - EingabeMaske'!$C$55="x","OK","")</f>
        <v>OK</v>
      </c>
      <c r="H185" s="969" t="str">
        <f>IF('Input Form - EingabeMaske'!$D$55="x","OK","")</f>
        <v/>
      </c>
      <c r="I185" s="969" t="str">
        <f>IF('Input Form - EingabeMaske'!$E$55="x","OK","")</f>
        <v/>
      </c>
      <c r="J185" s="45" t="str">
        <f>IF('Input Form - EingabeMaske'!$F$55="x","OK","")</f>
        <v/>
      </c>
      <c r="M185" s="1401" t="s">
        <v>900</v>
      </c>
      <c r="N185" s="1404"/>
      <c r="O185" s="1422"/>
      <c r="P185" s="1416"/>
      <c r="Q185" s="1419"/>
    </row>
    <row r="186" spans="1:17" s="824" customFormat="1" ht="39.950000000000003" hidden="1" customHeight="1">
      <c r="A186" s="919" t="s">
        <v>199</v>
      </c>
      <c r="B186" s="920"/>
      <c r="C186" s="847" t="str">
        <f>PrSchr3</f>
        <v>Stage 3</v>
      </c>
      <c r="D186" s="359" t="s">
        <v>514</v>
      </c>
      <c r="E186" s="952" t="str">
        <f t="shared" si="12"/>
        <v>Enter text</v>
      </c>
      <c r="F186" s="1201"/>
      <c r="G186" s="1185" t="str">
        <f>IF('Input Form - EingabeMaske'!$C$56="x","OK","")</f>
        <v>OK</v>
      </c>
      <c r="H186" s="969" t="str">
        <f>IF('Input Form - EingabeMaske'!$D$56="x","OK","")</f>
        <v/>
      </c>
      <c r="I186" s="969" t="str">
        <f>IF('Input Form - EingabeMaske'!$E$56="x","OK","")</f>
        <v/>
      </c>
      <c r="J186" s="45" t="str">
        <f>IF('Input Form - EingabeMaske'!$F$56="x","OK","")</f>
        <v/>
      </c>
      <c r="M186" s="1401" t="s">
        <v>900</v>
      </c>
      <c r="N186" s="1404"/>
      <c r="O186" s="1422"/>
      <c r="P186" s="1416"/>
      <c r="Q186" s="1419"/>
    </row>
    <row r="187" spans="1:17" s="824" customFormat="1" ht="39.950000000000003" hidden="1" customHeight="1">
      <c r="A187" s="919" t="s">
        <v>767</v>
      </c>
      <c r="B187" s="1253"/>
      <c r="C187" s="847" t="str">
        <f>PrSchr4</f>
        <v>Stage 4</v>
      </c>
      <c r="D187" s="359" t="s">
        <v>514</v>
      </c>
      <c r="E187" s="952" t="str">
        <f t="shared" si="12"/>
        <v>Enter text</v>
      </c>
      <c r="F187" s="1201"/>
      <c r="G187" s="1185" t="str">
        <f>IF('Input Form - EingabeMaske'!$C$57="x","OK","")</f>
        <v>OK</v>
      </c>
      <c r="H187" s="969" t="str">
        <f>IF('Input Form - EingabeMaske'!$D$57="x","OK","")</f>
        <v/>
      </c>
      <c r="I187" s="969" t="str">
        <f>IF('Input Form - EingabeMaske'!$E$57="x","OK","")</f>
        <v/>
      </c>
      <c r="J187" s="45" t="str">
        <f>IF('Input Form - EingabeMaske'!$F$57="x","OK","")</f>
        <v/>
      </c>
      <c r="M187" s="1401" t="s">
        <v>900</v>
      </c>
      <c r="N187" s="1404"/>
      <c r="O187" s="1422"/>
      <c r="P187" s="1416"/>
      <c r="Q187" s="1419"/>
    </row>
    <row r="188" spans="1:17" s="824" customFormat="1" ht="39.950000000000003" hidden="1" customHeight="1">
      <c r="A188" s="919" t="s">
        <v>768</v>
      </c>
      <c r="B188" s="1253"/>
      <c r="C188" s="847" t="str">
        <f>PrSchr5</f>
        <v>Stage 5</v>
      </c>
      <c r="D188" s="359" t="s">
        <v>514</v>
      </c>
      <c r="E188" s="952" t="str">
        <f t="shared" si="12"/>
        <v>Enter text</v>
      </c>
      <c r="F188" s="1201"/>
      <c r="G188" s="1185" t="str">
        <f>IF('Input Form - EingabeMaske'!$C$58="x","OK","")</f>
        <v>OK</v>
      </c>
      <c r="H188" s="969" t="str">
        <f>IF('Input Form - EingabeMaske'!$D$58="x","OK","")</f>
        <v/>
      </c>
      <c r="I188" s="969" t="str">
        <f>IF('Input Form - EingabeMaske'!$E$58="x","OK","")</f>
        <v/>
      </c>
      <c r="J188" s="45" t="str">
        <f>IF('Input Form - EingabeMaske'!$F$58="x","OK","")</f>
        <v/>
      </c>
      <c r="M188" s="1401" t="s">
        <v>900</v>
      </c>
      <c r="N188" s="1404"/>
      <c r="O188" s="1423"/>
      <c r="P188" s="1416"/>
      <c r="Q188" s="1419"/>
    </row>
    <row r="189" spans="1:17" s="824" customFormat="1" ht="15.75" hidden="1" customHeight="1">
      <c r="A189" s="919" t="s">
        <v>769</v>
      </c>
      <c r="B189" s="1253"/>
      <c r="C189" s="847" t="str">
        <f>PrSchr6</f>
        <v>Stage 6</v>
      </c>
      <c r="D189" s="359" t="s">
        <v>514</v>
      </c>
      <c r="E189" s="952" t="str">
        <f t="shared" si="12"/>
        <v>Enter text</v>
      </c>
      <c r="F189" s="1201"/>
      <c r="G189" s="1185" t="str">
        <f>IF('Input Form - EingabeMaske'!$C$59="x","OK","")</f>
        <v/>
      </c>
      <c r="H189" s="969" t="str">
        <f>IF('Input Form - EingabeMaske'!$D$59="x","OK","")</f>
        <v/>
      </c>
      <c r="I189" s="969" t="str">
        <f>IF('Input Form - EingabeMaske'!$E$59="x","OK","")</f>
        <v/>
      </c>
      <c r="J189" s="45" t="str">
        <f>IF('Input Form - EingabeMaske'!$F$59="x","OK","")</f>
        <v/>
      </c>
      <c r="M189" s="1401" t="s">
        <v>900</v>
      </c>
      <c r="N189" s="1404"/>
      <c r="O189" s="1316"/>
      <c r="P189" s="1416"/>
      <c r="Q189" s="1419"/>
    </row>
    <row r="190" spans="1:17" s="824" customFormat="1" ht="15.75" hidden="1" customHeight="1">
      <c r="A190" s="919" t="s">
        <v>770</v>
      </c>
      <c r="B190" s="1253"/>
      <c r="C190" s="847" t="str">
        <f>PrSchr7</f>
        <v>Stage 7</v>
      </c>
      <c r="D190" s="359" t="s">
        <v>514</v>
      </c>
      <c r="E190" s="952" t="str">
        <f t="shared" si="12"/>
        <v>Enter text</v>
      </c>
      <c r="F190" s="1201"/>
      <c r="G190" s="1185" t="str">
        <f>IF('Input Form - EingabeMaske'!$C$60="x","OK","")</f>
        <v/>
      </c>
      <c r="H190" s="969" t="str">
        <f>IF('Input Form - EingabeMaske'!$D$60="x","OK","")</f>
        <v/>
      </c>
      <c r="I190" s="969" t="str">
        <f>IF('Input Form - EingabeMaske'!$E$60="x","OK","")</f>
        <v/>
      </c>
      <c r="J190" s="45" t="str">
        <f>IF('Input Form - EingabeMaske'!$F$60="x","OK","")</f>
        <v/>
      </c>
      <c r="M190" s="1401" t="s">
        <v>900</v>
      </c>
      <c r="N190" s="1404"/>
      <c r="O190" s="1316"/>
      <c r="P190" s="1416"/>
      <c r="Q190" s="1419"/>
    </row>
    <row r="191" spans="1:17" s="824" customFormat="1" ht="15.75" hidden="1" customHeight="1">
      <c r="A191" s="919" t="s">
        <v>771</v>
      </c>
      <c r="B191" s="1253"/>
      <c r="C191" s="847" t="str">
        <f>PrSchr8</f>
        <v>Stage 8</v>
      </c>
      <c r="D191" s="359" t="s">
        <v>514</v>
      </c>
      <c r="E191" s="952" t="str">
        <f t="shared" si="12"/>
        <v>Enter text</v>
      </c>
      <c r="F191" s="1201"/>
      <c r="G191" s="1185" t="str">
        <f>IF('Input Form - EingabeMaske'!$C$61="x","OK","")</f>
        <v/>
      </c>
      <c r="H191" s="969" t="str">
        <f>IF('Input Form - EingabeMaske'!$D$61="x","OK","")</f>
        <v/>
      </c>
      <c r="I191" s="969" t="str">
        <f>IF('Input Form - EingabeMaske'!$E$61="x","OK","")</f>
        <v/>
      </c>
      <c r="J191" s="45" t="str">
        <f>IF('Input Form - EingabeMaske'!$F$61="x","OK","")</f>
        <v/>
      </c>
      <c r="M191" s="1401" t="s">
        <v>900</v>
      </c>
      <c r="N191" s="1404"/>
      <c r="O191" s="1316"/>
      <c r="P191" s="1416"/>
      <c r="Q191" s="1419"/>
    </row>
    <row r="192" spans="1:17" s="824" customFormat="1" ht="15.75" hidden="1" customHeight="1">
      <c r="A192" s="919" t="s">
        <v>772</v>
      </c>
      <c r="B192" s="1253"/>
      <c r="C192" s="847" t="str">
        <f>PrSchr9</f>
        <v>Stage 9</v>
      </c>
      <c r="D192" s="359" t="s">
        <v>514</v>
      </c>
      <c r="E192" s="952" t="str">
        <f t="shared" si="12"/>
        <v>Enter text</v>
      </c>
      <c r="F192" s="1201"/>
      <c r="G192" s="1185" t="str">
        <f>IF('Input Form - EingabeMaske'!$C$62="x","OK","")</f>
        <v/>
      </c>
      <c r="H192" s="969" t="str">
        <f>IF('Input Form - EingabeMaske'!$D$62="x","OK","")</f>
        <v/>
      </c>
      <c r="I192" s="969" t="str">
        <f>IF('Input Form - EingabeMaske'!$E$62="x","OK","")</f>
        <v/>
      </c>
      <c r="J192" s="45" t="str">
        <f>IF('Input Form - EingabeMaske'!$F$62="x","OK","")</f>
        <v/>
      </c>
      <c r="M192" s="1401" t="s">
        <v>900</v>
      </c>
      <c r="N192" s="1404"/>
      <c r="O192" s="1316"/>
      <c r="P192" s="1416"/>
      <c r="Q192" s="1419"/>
    </row>
    <row r="193" spans="1:17" s="824" customFormat="1" ht="16.5" hidden="1" customHeight="1" thickBot="1">
      <c r="A193" s="919" t="s">
        <v>773</v>
      </c>
      <c r="B193" s="1253"/>
      <c r="C193" s="847" t="str">
        <f>PrSchr10</f>
        <v>Stage 10</v>
      </c>
      <c r="D193" s="359" t="s">
        <v>514</v>
      </c>
      <c r="E193" s="952" t="str">
        <f t="shared" si="12"/>
        <v>Enter text</v>
      </c>
      <c r="F193" s="1201"/>
      <c r="G193" s="1185" t="str">
        <f>IF('Input Form - EingabeMaske'!$C$63="x","OK","")</f>
        <v/>
      </c>
      <c r="H193" s="969" t="str">
        <f>IF('Input Form - EingabeMaske'!$D$63="x","OK","")</f>
        <v/>
      </c>
      <c r="I193" s="969" t="str">
        <f>IF('Input Form - EingabeMaske'!$E$63="x","OK","")</f>
        <v/>
      </c>
      <c r="J193" s="45" t="str">
        <f>IF('Input Form - EingabeMaske'!$F$63="x","OK","")</f>
        <v/>
      </c>
      <c r="M193" s="1402" t="s">
        <v>900</v>
      </c>
      <c r="N193" s="1405"/>
      <c r="O193" s="1323"/>
      <c r="P193" s="1417"/>
      <c r="Q193" s="1420"/>
    </row>
    <row r="194" spans="1:17" s="824" customFormat="1" ht="50.25" customHeight="1" thickBot="1">
      <c r="A194" s="922" t="s">
        <v>4</v>
      </c>
      <c r="B194" s="923"/>
      <c r="C194" s="924" t="str">
        <f>VLOOKUP(pos(C194),'Language-Sprachen'!$A$200:$G$461,'Language-Sprachen'!$A$3,0)</f>
        <v>Do the employees know their responsibilities and authority in the monitoring of the quality of product and process quality?</v>
      </c>
      <c r="D194" s="924"/>
      <c r="E194" s="924"/>
      <c r="F194" s="1197"/>
      <c r="G194" s="962"/>
      <c r="H194" s="15"/>
      <c r="I194" s="15"/>
      <c r="J194" s="51"/>
      <c r="K194" s="922" t="s">
        <v>4</v>
      </c>
      <c r="M194" s="1283" t="s">
        <v>900</v>
      </c>
      <c r="N194" s="1324"/>
      <c r="O194" s="1285"/>
      <c r="P194" s="1286"/>
      <c r="Q194" s="1317"/>
    </row>
    <row r="195" spans="1:17" s="824" customFormat="1" ht="47.25" customHeight="1" thickBot="1">
      <c r="A195" s="911" t="s">
        <v>197</v>
      </c>
      <c r="B195" s="925"/>
      <c r="C195" s="912" t="str">
        <f>PrSchr1</f>
        <v>Stage 1: Moldshop Process</v>
      </c>
      <c r="D195" s="359">
        <v>10</v>
      </c>
      <c r="E195" s="952" t="s">
        <v>1019</v>
      </c>
      <c r="F195" s="1201"/>
      <c r="G195" s="1185" t="str">
        <f>IF('Input Form - EingabeMaske'!$C$54="x","OK","")</f>
        <v>OK</v>
      </c>
      <c r="H195" s="969" t="str">
        <f>IF('Input Form - EingabeMaske'!$D$54="x","OK","")</f>
        <v/>
      </c>
      <c r="I195" s="969" t="str">
        <f>IF('Input Form - EingabeMaske'!$E$54="x","OK","")</f>
        <v/>
      </c>
      <c r="J195" s="45" t="str">
        <f>IF('Input Form - EingabeMaske'!$F$54="x","OK","")</f>
        <v/>
      </c>
      <c r="M195" s="1400" t="s">
        <v>900</v>
      </c>
      <c r="N195" s="1403" t="s">
        <v>931</v>
      </c>
      <c r="O195" s="1421" t="s">
        <v>932</v>
      </c>
      <c r="P195" s="1415" t="s">
        <v>933</v>
      </c>
      <c r="Q195" s="1418">
        <v>3170</v>
      </c>
    </row>
    <row r="196" spans="1:17" s="824" customFormat="1" ht="47.25" hidden="1" customHeight="1">
      <c r="A196" s="911" t="s">
        <v>198</v>
      </c>
      <c r="B196" s="925"/>
      <c r="C196" s="912" t="str">
        <f>PrSchr2</f>
        <v>Stage 2:</v>
      </c>
      <c r="D196" s="359">
        <v>10</v>
      </c>
      <c r="E196" s="952" t="s">
        <v>996</v>
      </c>
      <c r="F196" s="1201"/>
      <c r="G196" s="1185" t="str">
        <f>IF('Input Form - EingabeMaske'!$C$55="x","OK","")</f>
        <v>OK</v>
      </c>
      <c r="H196" s="969" t="str">
        <f>IF('Input Form - EingabeMaske'!$D$55="x","OK","")</f>
        <v/>
      </c>
      <c r="I196" s="969" t="str">
        <f>IF('Input Form - EingabeMaske'!$E$55="x","OK","")</f>
        <v/>
      </c>
      <c r="J196" s="45" t="str">
        <f>IF('Input Form - EingabeMaske'!$F$55="x","OK","")</f>
        <v/>
      </c>
      <c r="M196" s="1401" t="s">
        <v>900</v>
      </c>
      <c r="N196" s="1404"/>
      <c r="O196" s="1422"/>
      <c r="P196" s="1416"/>
      <c r="Q196" s="1419"/>
    </row>
    <row r="197" spans="1:17" s="824" customFormat="1" ht="47.25" hidden="1" customHeight="1">
      <c r="A197" s="911" t="s">
        <v>199</v>
      </c>
      <c r="B197" s="925"/>
      <c r="C197" s="912" t="str">
        <f>PrSchr3</f>
        <v>Stage 3</v>
      </c>
      <c r="D197" s="359">
        <v>10</v>
      </c>
      <c r="E197" s="952" t="s">
        <v>996</v>
      </c>
      <c r="F197" s="1201"/>
      <c r="G197" s="1185" t="str">
        <f>IF('Input Form - EingabeMaske'!$C$56="x","OK","")</f>
        <v>OK</v>
      </c>
      <c r="H197" s="969" t="str">
        <f>IF('Input Form - EingabeMaske'!$D$56="x","OK","")</f>
        <v/>
      </c>
      <c r="I197" s="969" t="str">
        <f>IF('Input Form - EingabeMaske'!$E$56="x","OK","")</f>
        <v/>
      </c>
      <c r="J197" s="45" t="str">
        <f>IF('Input Form - EingabeMaske'!$F$56="x","OK","")</f>
        <v/>
      </c>
      <c r="M197" s="1401" t="s">
        <v>900</v>
      </c>
      <c r="N197" s="1404"/>
      <c r="O197" s="1422"/>
      <c r="P197" s="1416"/>
      <c r="Q197" s="1419"/>
    </row>
    <row r="198" spans="1:17" s="824" customFormat="1" ht="47.25" hidden="1" customHeight="1">
      <c r="A198" s="911" t="s">
        <v>767</v>
      </c>
      <c r="B198" s="925"/>
      <c r="C198" s="847" t="str">
        <f>PrSchr4</f>
        <v>Stage 4</v>
      </c>
      <c r="D198" s="359">
        <v>10</v>
      </c>
      <c r="E198" s="952" t="s">
        <v>996</v>
      </c>
      <c r="F198" s="1201"/>
      <c r="G198" s="1185" t="str">
        <f>IF('Input Form - EingabeMaske'!$C$57="x","OK","")</f>
        <v>OK</v>
      </c>
      <c r="H198" s="969" t="str">
        <f>IF('Input Form - EingabeMaske'!$D$57="x","OK","")</f>
        <v/>
      </c>
      <c r="I198" s="969" t="str">
        <f>IF('Input Form - EingabeMaske'!$E$57="x","OK","")</f>
        <v/>
      </c>
      <c r="J198" s="45" t="str">
        <f>IF('Input Form - EingabeMaske'!$F$57="x","OK","")</f>
        <v/>
      </c>
      <c r="M198" s="1401" t="s">
        <v>900</v>
      </c>
      <c r="N198" s="1404"/>
      <c r="O198" s="1422"/>
      <c r="P198" s="1416"/>
      <c r="Q198" s="1419"/>
    </row>
    <row r="199" spans="1:17" s="824" customFormat="1" ht="47.25" hidden="1" customHeight="1">
      <c r="A199" s="911" t="s">
        <v>768</v>
      </c>
      <c r="B199" s="925"/>
      <c r="C199" s="847" t="str">
        <f>PrSchr5</f>
        <v>Stage 5</v>
      </c>
      <c r="D199" s="359">
        <v>10</v>
      </c>
      <c r="E199" s="952" t="s">
        <v>996</v>
      </c>
      <c r="F199" s="1201"/>
      <c r="G199" s="1185" t="str">
        <f>IF('Input Form - EingabeMaske'!$C$58="x","OK","")</f>
        <v>OK</v>
      </c>
      <c r="H199" s="969" t="str">
        <f>IF('Input Form - EingabeMaske'!$D$58="x","OK","")</f>
        <v/>
      </c>
      <c r="I199" s="969" t="str">
        <f>IF('Input Form - EingabeMaske'!$E$58="x","OK","")</f>
        <v/>
      </c>
      <c r="J199" s="45" t="str">
        <f>IF('Input Form - EingabeMaske'!$F$58="x","OK","")</f>
        <v/>
      </c>
      <c r="M199" s="1401" t="s">
        <v>900</v>
      </c>
      <c r="N199" s="1404"/>
      <c r="O199" s="1423"/>
      <c r="P199" s="1416"/>
      <c r="Q199" s="1419"/>
    </row>
    <row r="200" spans="1:17" s="824" customFormat="1" ht="15.75" hidden="1" customHeight="1">
      <c r="A200" s="911" t="s">
        <v>769</v>
      </c>
      <c r="B200" s="925"/>
      <c r="C200" s="847" t="str">
        <f>PrSchr6</f>
        <v>Stage 6</v>
      </c>
      <c r="D200" s="359" t="s">
        <v>514</v>
      </c>
      <c r="E200" s="952" t="str">
        <f t="shared" ref="E200:E204" si="13">IF(ISBLANK(D200),$L$13,IF(D200=10,$L$14,$L$15))</f>
        <v>Enter text</v>
      </c>
      <c r="F200" s="1201"/>
      <c r="G200" s="1185" t="str">
        <f>IF('Input Form - EingabeMaske'!$C$59="x","OK","")</f>
        <v/>
      </c>
      <c r="H200" s="969" t="str">
        <f>IF('Input Form - EingabeMaske'!$D$59="x","OK","")</f>
        <v/>
      </c>
      <c r="I200" s="969" t="str">
        <f>IF('Input Form - EingabeMaske'!$E$59="x","OK","")</f>
        <v/>
      </c>
      <c r="J200" s="45" t="str">
        <f>IF('Input Form - EingabeMaske'!$F$59="x","OK","")</f>
        <v/>
      </c>
      <c r="M200" s="1401" t="s">
        <v>900</v>
      </c>
      <c r="N200" s="1404"/>
      <c r="O200" s="1316"/>
      <c r="P200" s="1416"/>
      <c r="Q200" s="1419"/>
    </row>
    <row r="201" spans="1:17" s="824" customFormat="1" ht="15.75" hidden="1" customHeight="1">
      <c r="A201" s="911" t="s">
        <v>770</v>
      </c>
      <c r="B201" s="925"/>
      <c r="C201" s="847" t="str">
        <f>PrSchr7</f>
        <v>Stage 7</v>
      </c>
      <c r="D201" s="359" t="s">
        <v>514</v>
      </c>
      <c r="E201" s="952" t="str">
        <f t="shared" si="13"/>
        <v>Enter text</v>
      </c>
      <c r="F201" s="1201"/>
      <c r="G201" s="1185" t="str">
        <f>IF('Input Form - EingabeMaske'!$C$60="x","OK","")</f>
        <v/>
      </c>
      <c r="H201" s="969" t="str">
        <f>IF('Input Form - EingabeMaske'!$D$60="x","OK","")</f>
        <v/>
      </c>
      <c r="I201" s="969" t="str">
        <f>IF('Input Form - EingabeMaske'!$E$60="x","OK","")</f>
        <v/>
      </c>
      <c r="J201" s="45" t="str">
        <f>IF('Input Form - EingabeMaske'!$F$60="x","OK","")</f>
        <v/>
      </c>
      <c r="M201" s="1401" t="s">
        <v>900</v>
      </c>
      <c r="N201" s="1404"/>
      <c r="O201" s="1316"/>
      <c r="P201" s="1416"/>
      <c r="Q201" s="1419"/>
    </row>
    <row r="202" spans="1:17" s="824" customFormat="1" ht="15.75" hidden="1" customHeight="1">
      <c r="A202" s="911" t="s">
        <v>771</v>
      </c>
      <c r="B202" s="925"/>
      <c r="C202" s="847" t="str">
        <f>PrSchr8</f>
        <v>Stage 8</v>
      </c>
      <c r="D202" s="359" t="s">
        <v>514</v>
      </c>
      <c r="E202" s="952" t="str">
        <f t="shared" si="13"/>
        <v>Enter text</v>
      </c>
      <c r="F202" s="1201"/>
      <c r="G202" s="1185" t="str">
        <f>IF('Input Form - EingabeMaske'!$C$61="x","OK","")</f>
        <v/>
      </c>
      <c r="H202" s="969" t="str">
        <f>IF('Input Form - EingabeMaske'!$D$61="x","OK","")</f>
        <v/>
      </c>
      <c r="I202" s="969" t="str">
        <f>IF('Input Form - EingabeMaske'!$E$61="x","OK","")</f>
        <v/>
      </c>
      <c r="J202" s="45" t="str">
        <f>IF('Input Form - EingabeMaske'!$F$61="x","OK","")</f>
        <v/>
      </c>
      <c r="M202" s="1401" t="s">
        <v>900</v>
      </c>
      <c r="N202" s="1404"/>
      <c r="O202" s="1316"/>
      <c r="P202" s="1416"/>
      <c r="Q202" s="1419"/>
    </row>
    <row r="203" spans="1:17" s="824" customFormat="1" ht="15.75" hidden="1" customHeight="1">
      <c r="A203" s="911" t="s">
        <v>772</v>
      </c>
      <c r="B203" s="925"/>
      <c r="C203" s="847" t="str">
        <f>PrSchr9</f>
        <v>Stage 9</v>
      </c>
      <c r="D203" s="359" t="s">
        <v>514</v>
      </c>
      <c r="E203" s="952" t="str">
        <f t="shared" si="13"/>
        <v>Enter text</v>
      </c>
      <c r="F203" s="1201"/>
      <c r="G203" s="1185" t="str">
        <f>IF('Input Form - EingabeMaske'!$C$62="x","OK","")</f>
        <v/>
      </c>
      <c r="H203" s="969" t="str">
        <f>IF('Input Form - EingabeMaske'!$D$62="x","OK","")</f>
        <v/>
      </c>
      <c r="I203" s="969" t="str">
        <f>IF('Input Form - EingabeMaske'!$E$62="x","OK","")</f>
        <v/>
      </c>
      <c r="J203" s="45" t="str">
        <f>IF('Input Form - EingabeMaske'!$F$62="x","OK","")</f>
        <v/>
      </c>
      <c r="M203" s="1401" t="s">
        <v>900</v>
      </c>
      <c r="N203" s="1404"/>
      <c r="O203" s="1316"/>
      <c r="P203" s="1416"/>
      <c r="Q203" s="1419"/>
    </row>
    <row r="204" spans="1:17" s="824" customFormat="1" ht="16.5" hidden="1" customHeight="1" thickBot="1">
      <c r="A204" s="911" t="s">
        <v>773</v>
      </c>
      <c r="B204" s="925"/>
      <c r="C204" s="847" t="str">
        <f>PrSchr10</f>
        <v>Stage 10</v>
      </c>
      <c r="D204" s="359" t="s">
        <v>514</v>
      </c>
      <c r="E204" s="952" t="str">
        <f t="shared" si="13"/>
        <v>Enter text</v>
      </c>
      <c r="F204" s="1201"/>
      <c r="G204" s="1185" t="str">
        <f>IF('Input Form - EingabeMaske'!$C$63="x","OK","")</f>
        <v/>
      </c>
      <c r="H204" s="969" t="str">
        <f>IF('Input Form - EingabeMaske'!$D$63="x","OK","")</f>
        <v/>
      </c>
      <c r="I204" s="969" t="str">
        <f>IF('Input Form - EingabeMaske'!$E$63="x","OK","")</f>
        <v/>
      </c>
      <c r="J204" s="45" t="str">
        <f>IF('Input Form - EingabeMaske'!$F$63="x","OK","")</f>
        <v/>
      </c>
      <c r="M204" s="1402" t="s">
        <v>900</v>
      </c>
      <c r="N204" s="1405"/>
      <c r="O204" s="1323"/>
      <c r="P204" s="1417"/>
      <c r="Q204" s="1420"/>
    </row>
    <row r="205" spans="1:17" s="824" customFormat="1" ht="18.75" customHeight="1" thickBot="1">
      <c r="A205" s="913" t="s">
        <v>39</v>
      </c>
      <c r="B205" s="914"/>
      <c r="C205" s="864" t="str">
        <f>VLOOKUP(pos(C205),'Language-Sprachen'!$A$200:$G$461,'Language-Sprachen'!$A$3,0)</f>
        <v>Are the necessary personnel resources available?</v>
      </c>
      <c r="D205" s="864"/>
      <c r="E205" s="864"/>
      <c r="F205" s="1197"/>
      <c r="G205" s="962"/>
      <c r="H205" s="15"/>
      <c r="I205" s="15"/>
      <c r="J205" s="51"/>
      <c r="K205" s="913" t="s">
        <v>39</v>
      </c>
      <c r="M205" s="1283" t="s">
        <v>900</v>
      </c>
      <c r="N205" s="1324"/>
      <c r="O205" s="1285"/>
      <c r="P205" s="1286"/>
      <c r="Q205" s="1317"/>
    </row>
    <row r="206" spans="1:17" s="824" customFormat="1" ht="39.950000000000003" customHeight="1" thickBot="1">
      <c r="A206" s="915" t="s">
        <v>197</v>
      </c>
      <c r="B206" s="916"/>
      <c r="C206" s="847" t="str">
        <f>PrSchr1</f>
        <v>Stage 1: Moldshop Process</v>
      </c>
      <c r="D206" s="359">
        <v>10</v>
      </c>
      <c r="E206" s="1345" t="str">
        <f t="shared" ref="E206:E215" si="14">IF(ISBLANK(D206),$L$13,IF(D206=10,$L$14,$L$15))</f>
        <v>No weak points identified</v>
      </c>
      <c r="F206" s="1201"/>
      <c r="G206" s="1185" t="str">
        <f>IF('Input Form - EingabeMaske'!$C$54="x","OK","")</f>
        <v>OK</v>
      </c>
      <c r="H206" s="969" t="str">
        <f>IF('Input Form - EingabeMaske'!$D$54="x","OK","")</f>
        <v/>
      </c>
      <c r="I206" s="969" t="str">
        <f>IF('Input Form - EingabeMaske'!$E$54="x","OK","")</f>
        <v/>
      </c>
      <c r="J206" s="45" t="str">
        <f>IF('Input Form - EingabeMaske'!$F$54="x","OK","")</f>
        <v/>
      </c>
      <c r="M206" s="1400" t="s">
        <v>900</v>
      </c>
      <c r="N206" s="1403" t="s">
        <v>934</v>
      </c>
      <c r="O206" s="1421" t="s">
        <v>935</v>
      </c>
      <c r="P206" s="1415" t="s">
        <v>936</v>
      </c>
      <c r="Q206" s="1418">
        <v>3170</v>
      </c>
    </row>
    <row r="207" spans="1:17" s="824" customFormat="1" ht="39.950000000000003" hidden="1" customHeight="1">
      <c r="A207" s="915" t="s">
        <v>198</v>
      </c>
      <c r="B207" s="916"/>
      <c r="C207" s="847" t="str">
        <f>PrSchr2</f>
        <v>Stage 2:</v>
      </c>
      <c r="D207" s="359">
        <v>10</v>
      </c>
      <c r="E207" s="952" t="str">
        <f t="shared" si="14"/>
        <v>No weak points identified</v>
      </c>
      <c r="F207" s="1201"/>
      <c r="G207" s="1185" t="str">
        <f>IF('Input Form - EingabeMaske'!$C$55="x","OK","")</f>
        <v>OK</v>
      </c>
      <c r="H207" s="969" t="str">
        <f>IF('Input Form - EingabeMaske'!$D$55="x","OK","")</f>
        <v/>
      </c>
      <c r="I207" s="969" t="str">
        <f>IF('Input Form - EingabeMaske'!$E$55="x","OK","")</f>
        <v/>
      </c>
      <c r="J207" s="45" t="str">
        <f>IF('Input Form - EingabeMaske'!$F$55="x","OK","")</f>
        <v/>
      </c>
      <c r="M207" s="1401" t="s">
        <v>900</v>
      </c>
      <c r="N207" s="1404"/>
      <c r="O207" s="1422"/>
      <c r="P207" s="1416"/>
      <c r="Q207" s="1419"/>
    </row>
    <row r="208" spans="1:17" s="824" customFormat="1" ht="39.950000000000003" hidden="1" customHeight="1">
      <c r="A208" s="915" t="s">
        <v>199</v>
      </c>
      <c r="B208" s="916"/>
      <c r="C208" s="847" t="str">
        <f>PrSchr3</f>
        <v>Stage 3</v>
      </c>
      <c r="D208" s="359" t="s">
        <v>514</v>
      </c>
      <c r="E208" s="952" t="str">
        <f t="shared" si="14"/>
        <v>Enter text</v>
      </c>
      <c r="F208" s="1201"/>
      <c r="G208" s="1185" t="str">
        <f>IF('Input Form - EingabeMaske'!$C$56="x","OK","")</f>
        <v>OK</v>
      </c>
      <c r="H208" s="969" t="str">
        <f>IF('Input Form - EingabeMaske'!$D$56="x","OK","")</f>
        <v/>
      </c>
      <c r="I208" s="969" t="str">
        <f>IF('Input Form - EingabeMaske'!$E$56="x","OK","")</f>
        <v/>
      </c>
      <c r="J208" s="45" t="str">
        <f>IF('Input Form - EingabeMaske'!$F$56="x","OK","")</f>
        <v/>
      </c>
      <c r="M208" s="1401" t="s">
        <v>900</v>
      </c>
      <c r="N208" s="1404"/>
      <c r="O208" s="1422"/>
      <c r="P208" s="1416"/>
      <c r="Q208" s="1419"/>
    </row>
    <row r="209" spans="1:17" s="824" customFormat="1" ht="39.950000000000003" hidden="1" customHeight="1">
      <c r="A209" s="915" t="s">
        <v>767</v>
      </c>
      <c r="B209" s="916"/>
      <c r="C209" s="847" t="str">
        <f>PrSchr4</f>
        <v>Stage 4</v>
      </c>
      <c r="D209" s="359" t="s">
        <v>514</v>
      </c>
      <c r="E209" s="952" t="str">
        <f t="shared" si="14"/>
        <v>Enter text</v>
      </c>
      <c r="F209" s="1201"/>
      <c r="G209" s="1185" t="str">
        <f>IF('Input Form - EingabeMaske'!$C$57="x","OK","")</f>
        <v>OK</v>
      </c>
      <c r="H209" s="969" t="str">
        <f>IF('Input Form - EingabeMaske'!$D$57="x","OK","")</f>
        <v/>
      </c>
      <c r="I209" s="969" t="str">
        <f>IF('Input Form - EingabeMaske'!$E$57="x","OK","")</f>
        <v/>
      </c>
      <c r="J209" s="45" t="str">
        <f>IF('Input Form - EingabeMaske'!$F$57="x","OK","")</f>
        <v/>
      </c>
      <c r="M209" s="1401" t="s">
        <v>900</v>
      </c>
      <c r="N209" s="1404"/>
      <c r="O209" s="1422"/>
      <c r="P209" s="1416"/>
      <c r="Q209" s="1419"/>
    </row>
    <row r="210" spans="1:17" s="824" customFormat="1" ht="39.950000000000003" hidden="1" customHeight="1">
      <c r="A210" s="915" t="s">
        <v>768</v>
      </c>
      <c r="B210" s="916"/>
      <c r="C210" s="847" t="str">
        <f>PrSchr5</f>
        <v>Stage 5</v>
      </c>
      <c r="D210" s="359" t="s">
        <v>514</v>
      </c>
      <c r="E210" s="952" t="str">
        <f t="shared" si="14"/>
        <v>Enter text</v>
      </c>
      <c r="F210" s="1201"/>
      <c r="G210" s="1185" t="str">
        <f>IF('Input Form - EingabeMaske'!$C$58="x","OK","")</f>
        <v>OK</v>
      </c>
      <c r="H210" s="969" t="str">
        <f>IF('Input Form - EingabeMaske'!$D$58="x","OK","")</f>
        <v/>
      </c>
      <c r="I210" s="969" t="str">
        <f>IF('Input Form - EingabeMaske'!$E$58="x","OK","")</f>
        <v/>
      </c>
      <c r="J210" s="45" t="str">
        <f>IF('Input Form - EingabeMaske'!$F$58="x","OK","")</f>
        <v/>
      </c>
      <c r="M210" s="1401" t="s">
        <v>900</v>
      </c>
      <c r="N210" s="1404"/>
      <c r="O210" s="1423"/>
      <c r="P210" s="1416"/>
      <c r="Q210" s="1419"/>
    </row>
    <row r="211" spans="1:17" s="824" customFormat="1" ht="15.75" hidden="1" customHeight="1">
      <c r="A211" s="915" t="s">
        <v>769</v>
      </c>
      <c r="B211" s="916"/>
      <c r="C211" s="847" t="str">
        <f>PrSchr6</f>
        <v>Stage 6</v>
      </c>
      <c r="D211" s="359" t="s">
        <v>514</v>
      </c>
      <c r="E211" s="952" t="str">
        <f t="shared" si="14"/>
        <v>Enter text</v>
      </c>
      <c r="F211" s="1201"/>
      <c r="G211" s="1185" t="str">
        <f>IF('Input Form - EingabeMaske'!$C$59="x","OK","")</f>
        <v/>
      </c>
      <c r="H211" s="969" t="str">
        <f>IF('Input Form - EingabeMaske'!$D$59="x","OK","")</f>
        <v/>
      </c>
      <c r="I211" s="969" t="str">
        <f>IF('Input Form - EingabeMaske'!$E$59="x","OK","")</f>
        <v/>
      </c>
      <c r="J211" s="45" t="str">
        <f>IF('Input Form - EingabeMaske'!$F$59="x","OK","")</f>
        <v/>
      </c>
      <c r="M211" s="1401" t="s">
        <v>900</v>
      </c>
      <c r="N211" s="1404"/>
      <c r="O211" s="1316"/>
      <c r="P211" s="1416"/>
      <c r="Q211" s="1419"/>
    </row>
    <row r="212" spans="1:17" s="824" customFormat="1" ht="15.75" hidden="1" customHeight="1">
      <c r="A212" s="915" t="s">
        <v>770</v>
      </c>
      <c r="B212" s="916"/>
      <c r="C212" s="847" t="str">
        <f>PrSchr7</f>
        <v>Stage 7</v>
      </c>
      <c r="D212" s="359" t="s">
        <v>514</v>
      </c>
      <c r="E212" s="952" t="str">
        <f t="shared" si="14"/>
        <v>Enter text</v>
      </c>
      <c r="F212" s="1201"/>
      <c r="G212" s="1185" t="str">
        <f>IF('Input Form - EingabeMaske'!$C$60="x","OK","")</f>
        <v/>
      </c>
      <c r="H212" s="969" t="str">
        <f>IF('Input Form - EingabeMaske'!$D$60="x","OK","")</f>
        <v/>
      </c>
      <c r="I212" s="969" t="str">
        <f>IF('Input Form - EingabeMaske'!$E$60="x","OK","")</f>
        <v/>
      </c>
      <c r="J212" s="45" t="str">
        <f>IF('Input Form - EingabeMaske'!$F$60="x","OK","")</f>
        <v/>
      </c>
      <c r="M212" s="1401" t="s">
        <v>900</v>
      </c>
      <c r="N212" s="1404"/>
      <c r="O212" s="1316"/>
      <c r="P212" s="1416"/>
      <c r="Q212" s="1419"/>
    </row>
    <row r="213" spans="1:17" s="824" customFormat="1" ht="15.75" hidden="1" customHeight="1">
      <c r="A213" s="915" t="s">
        <v>771</v>
      </c>
      <c r="B213" s="916"/>
      <c r="C213" s="847" t="str">
        <f>PrSchr8</f>
        <v>Stage 8</v>
      </c>
      <c r="D213" s="359" t="s">
        <v>514</v>
      </c>
      <c r="E213" s="952" t="str">
        <f t="shared" si="14"/>
        <v>Enter text</v>
      </c>
      <c r="F213" s="1201"/>
      <c r="G213" s="1185" t="str">
        <f>IF('Input Form - EingabeMaske'!$C$61="x","OK","")</f>
        <v/>
      </c>
      <c r="H213" s="969" t="str">
        <f>IF('Input Form - EingabeMaske'!$D$61="x","OK","")</f>
        <v/>
      </c>
      <c r="I213" s="969" t="str">
        <f>IF('Input Form - EingabeMaske'!$E$61="x","OK","")</f>
        <v/>
      </c>
      <c r="J213" s="45" t="str">
        <f>IF('Input Form - EingabeMaske'!$F$61="x","OK","")</f>
        <v/>
      </c>
      <c r="M213" s="1401" t="s">
        <v>900</v>
      </c>
      <c r="N213" s="1404"/>
      <c r="O213" s="1316"/>
      <c r="P213" s="1416"/>
      <c r="Q213" s="1419"/>
    </row>
    <row r="214" spans="1:17" s="824" customFormat="1" ht="15.75" hidden="1" customHeight="1">
      <c r="A214" s="915" t="s">
        <v>772</v>
      </c>
      <c r="B214" s="916"/>
      <c r="C214" s="847" t="str">
        <f>PrSchr9</f>
        <v>Stage 9</v>
      </c>
      <c r="D214" s="359" t="s">
        <v>514</v>
      </c>
      <c r="E214" s="952" t="str">
        <f t="shared" si="14"/>
        <v>Enter text</v>
      </c>
      <c r="F214" s="1201"/>
      <c r="G214" s="1185" t="str">
        <f>IF('Input Form - EingabeMaske'!$C$62="x","OK","")</f>
        <v/>
      </c>
      <c r="H214" s="969" t="str">
        <f>IF('Input Form - EingabeMaske'!$D$62="x","OK","")</f>
        <v/>
      </c>
      <c r="I214" s="969" t="str">
        <f>IF('Input Form - EingabeMaske'!$E$62="x","OK","")</f>
        <v/>
      </c>
      <c r="J214" s="45" t="str">
        <f>IF('Input Form - EingabeMaske'!$F$62="x","OK","")</f>
        <v/>
      </c>
      <c r="M214" s="1401" t="s">
        <v>900</v>
      </c>
      <c r="N214" s="1404"/>
      <c r="O214" s="1316"/>
      <c r="P214" s="1416"/>
      <c r="Q214" s="1419"/>
    </row>
    <row r="215" spans="1:17" s="824" customFormat="1" ht="16.5" hidden="1" customHeight="1" thickBot="1">
      <c r="A215" s="915" t="s">
        <v>773</v>
      </c>
      <c r="B215" s="916"/>
      <c r="C215" s="847" t="str">
        <f>PrSchr10</f>
        <v>Stage 10</v>
      </c>
      <c r="D215" s="359" t="s">
        <v>514</v>
      </c>
      <c r="E215" s="952" t="str">
        <f t="shared" si="14"/>
        <v>Enter text</v>
      </c>
      <c r="F215" s="1201"/>
      <c r="G215" s="1185" t="str">
        <f>IF('Input Form - EingabeMaske'!$C$63="x","OK","")</f>
        <v/>
      </c>
      <c r="H215" s="969" t="str">
        <f>IF('Input Form - EingabeMaske'!$D$63="x","OK","")</f>
        <v/>
      </c>
      <c r="I215" s="969" t="str">
        <f>IF('Input Form - EingabeMaske'!$E$63="x","OK","")</f>
        <v/>
      </c>
      <c r="J215" s="45" t="str">
        <f>IF('Input Form - EingabeMaske'!$F$63="x","OK","")</f>
        <v/>
      </c>
      <c r="M215" s="1402" t="s">
        <v>900</v>
      </c>
      <c r="N215" s="1405"/>
      <c r="O215" s="1323"/>
      <c r="P215" s="1417"/>
      <c r="Q215" s="1420"/>
    </row>
    <row r="216" spans="1:17" s="824" customFormat="1" ht="39.75" customHeight="1" thickBot="1">
      <c r="A216" s="905" t="s">
        <v>120</v>
      </c>
      <c r="B216" s="906">
        <f>'Evaluation-Bewertung'!W62</f>
        <v>0.9</v>
      </c>
      <c r="C216" s="907" t="str">
        <f>VLOOKUP(pos(C216),'Language-Sprachen'!$A$200:$G$461,'Language-Sprachen'!$A$3,0)</f>
        <v>What means are used to implement the process? Material resources</v>
      </c>
      <c r="D216" s="1431"/>
      <c r="E216" s="1432"/>
      <c r="F216" s="1198"/>
      <c r="G216" s="962"/>
      <c r="H216" s="15"/>
      <c r="I216" s="15"/>
      <c r="J216" s="51"/>
      <c r="M216" s="1302" t="s">
        <v>900</v>
      </c>
      <c r="N216" s="1320"/>
      <c r="O216" s="1303"/>
      <c r="P216" s="1304"/>
      <c r="Q216" s="1305"/>
    </row>
    <row r="217" spans="1:17" s="824" customFormat="1" ht="36" customHeight="1" thickBot="1">
      <c r="A217" s="926" t="s">
        <v>40</v>
      </c>
      <c r="B217" s="918" t="s">
        <v>7</v>
      </c>
      <c r="C217" s="864" t="str">
        <f>VLOOKUP(pos(C217),'Language-Sprachen'!$A$200:$G$461,'Language-Sprachen'!$A$3,0)</f>
        <v xml:space="preserve">Can the product-specific requirements from the customer be met with the manufacturing equipment? </v>
      </c>
      <c r="D217" s="864"/>
      <c r="E217" s="864"/>
      <c r="F217" s="1199"/>
      <c r="G217" s="962"/>
      <c r="H217" s="15"/>
      <c r="I217" s="15"/>
      <c r="J217" s="51"/>
      <c r="K217" s="926" t="s">
        <v>40</v>
      </c>
      <c r="M217" s="1310" t="s">
        <v>900</v>
      </c>
      <c r="N217" s="1322"/>
      <c r="O217" s="1311"/>
      <c r="P217" s="1312"/>
      <c r="Q217" s="1313"/>
    </row>
    <row r="218" spans="1:17" s="824" customFormat="1" ht="51.75" customHeight="1" thickBot="1">
      <c r="A218" s="919" t="s">
        <v>197</v>
      </c>
      <c r="B218" s="920"/>
      <c r="C218" s="847" t="str">
        <f>PrSchr1</f>
        <v>Stage 1: Moldshop Process</v>
      </c>
      <c r="D218" s="359" t="s">
        <v>514</v>
      </c>
      <c r="E218" s="1345" t="str">
        <f t="shared" ref="E218:E227" si="15">IF(ISBLANK(D218),$L$13,IF(D218=10,$L$14,$L$15))</f>
        <v>Enter text</v>
      </c>
      <c r="F218" s="1201"/>
      <c r="G218" s="1185" t="str">
        <f>IF('Input Form - EingabeMaske'!$C$54="x","OK","")</f>
        <v>OK</v>
      </c>
      <c r="H218" s="969" t="str">
        <f>IF('Input Form - EingabeMaske'!$D$54="x","OK","")</f>
        <v/>
      </c>
      <c r="I218" s="969" t="str">
        <f>IF('Input Form - EingabeMaske'!$E$54="x","OK","")</f>
        <v/>
      </c>
      <c r="J218" s="45" t="str">
        <f>IF('Input Form - EingabeMaske'!$F$54="x","OK","")</f>
        <v/>
      </c>
      <c r="M218" s="1400" t="s">
        <v>900</v>
      </c>
      <c r="N218" s="1403" t="s">
        <v>937</v>
      </c>
      <c r="O218" s="1421" t="s">
        <v>938</v>
      </c>
      <c r="P218" s="1415" t="s">
        <v>939</v>
      </c>
      <c r="Q218" s="1418" t="s">
        <v>940</v>
      </c>
    </row>
    <row r="219" spans="1:17" s="824" customFormat="1" ht="51.75" hidden="1" customHeight="1">
      <c r="A219" s="919" t="s">
        <v>198</v>
      </c>
      <c r="B219" s="920"/>
      <c r="C219" s="847" t="str">
        <f>PrSchr2</f>
        <v>Stage 2:</v>
      </c>
      <c r="D219" s="359">
        <v>10</v>
      </c>
      <c r="E219" s="952" t="str">
        <f t="shared" si="15"/>
        <v>No weak points identified</v>
      </c>
      <c r="F219" s="1201"/>
      <c r="G219" s="1185" t="str">
        <f>IF('Input Form - EingabeMaske'!$C$55="x","OK","")</f>
        <v>OK</v>
      </c>
      <c r="H219" s="969" t="str">
        <f>IF('Input Form - EingabeMaske'!$D$55="x","OK","")</f>
        <v/>
      </c>
      <c r="I219" s="969" t="str">
        <f>IF('Input Form - EingabeMaske'!$E$55="x","OK","")</f>
        <v/>
      </c>
      <c r="J219" s="45" t="str">
        <f>IF('Input Form - EingabeMaske'!$F$55="x","OK","")</f>
        <v/>
      </c>
      <c r="M219" s="1401" t="s">
        <v>900</v>
      </c>
      <c r="N219" s="1404"/>
      <c r="O219" s="1422"/>
      <c r="P219" s="1416"/>
      <c r="Q219" s="1419"/>
    </row>
    <row r="220" spans="1:17" s="824" customFormat="1" ht="51.75" hidden="1" customHeight="1">
      <c r="A220" s="919" t="s">
        <v>199</v>
      </c>
      <c r="B220" s="920"/>
      <c r="C220" s="847" t="str">
        <f>PrSchr3</f>
        <v>Stage 3</v>
      </c>
      <c r="D220" s="359" t="s">
        <v>514</v>
      </c>
      <c r="E220" s="952" t="str">
        <f t="shared" si="15"/>
        <v>Enter text</v>
      </c>
      <c r="F220" s="1201"/>
      <c r="G220" s="1185" t="str">
        <f>IF('Input Form - EingabeMaske'!$C$56="x","OK","")</f>
        <v>OK</v>
      </c>
      <c r="H220" s="969" t="str">
        <f>IF('Input Form - EingabeMaske'!$D$56="x","OK","")</f>
        <v/>
      </c>
      <c r="I220" s="969" t="str">
        <f>IF('Input Form - EingabeMaske'!$E$56="x","OK","")</f>
        <v/>
      </c>
      <c r="J220" s="45" t="str">
        <f>IF('Input Form - EingabeMaske'!$F$56="x","OK","")</f>
        <v/>
      </c>
      <c r="M220" s="1401" t="s">
        <v>900</v>
      </c>
      <c r="N220" s="1404"/>
      <c r="O220" s="1422"/>
      <c r="P220" s="1416"/>
      <c r="Q220" s="1419"/>
    </row>
    <row r="221" spans="1:17" s="824" customFormat="1" ht="51.75" hidden="1" customHeight="1">
      <c r="A221" s="919" t="s">
        <v>767</v>
      </c>
      <c r="B221" s="1253"/>
      <c r="C221" s="847" t="str">
        <f>PrSchr4</f>
        <v>Stage 4</v>
      </c>
      <c r="D221" s="359" t="s">
        <v>514</v>
      </c>
      <c r="E221" s="952" t="str">
        <f t="shared" si="15"/>
        <v>Enter text</v>
      </c>
      <c r="F221" s="1201"/>
      <c r="G221" s="1185" t="str">
        <f>IF('Input Form - EingabeMaske'!$C$57="x","OK","")</f>
        <v>OK</v>
      </c>
      <c r="H221" s="969" t="str">
        <f>IF('Input Form - EingabeMaske'!$D$57="x","OK","")</f>
        <v/>
      </c>
      <c r="I221" s="969" t="str">
        <f>IF('Input Form - EingabeMaske'!$E$57="x","OK","")</f>
        <v/>
      </c>
      <c r="J221" s="45" t="str">
        <f>IF('Input Form - EingabeMaske'!$F$57="x","OK","")</f>
        <v/>
      </c>
      <c r="M221" s="1401" t="s">
        <v>900</v>
      </c>
      <c r="N221" s="1404"/>
      <c r="O221" s="1422"/>
      <c r="P221" s="1416"/>
      <c r="Q221" s="1419"/>
    </row>
    <row r="222" spans="1:17" s="824" customFormat="1" ht="51.75" hidden="1" customHeight="1">
      <c r="A222" s="919" t="s">
        <v>768</v>
      </c>
      <c r="B222" s="1253"/>
      <c r="C222" s="847" t="str">
        <f>PrSchr5</f>
        <v>Stage 5</v>
      </c>
      <c r="D222" s="359" t="s">
        <v>514</v>
      </c>
      <c r="E222" s="952" t="str">
        <f t="shared" si="15"/>
        <v>Enter text</v>
      </c>
      <c r="F222" s="1201"/>
      <c r="G222" s="1185" t="str">
        <f>IF('Input Form - EingabeMaske'!$C$58="x","OK","")</f>
        <v>OK</v>
      </c>
      <c r="H222" s="969" t="str">
        <f>IF('Input Form - EingabeMaske'!$D$58="x","OK","")</f>
        <v/>
      </c>
      <c r="I222" s="969" t="str">
        <f>IF('Input Form - EingabeMaske'!$E$58="x","OK","")</f>
        <v/>
      </c>
      <c r="J222" s="45" t="str">
        <f>IF('Input Form - EingabeMaske'!$F$58="x","OK","")</f>
        <v/>
      </c>
      <c r="M222" s="1401" t="s">
        <v>900</v>
      </c>
      <c r="N222" s="1404"/>
      <c r="O222" s="1423"/>
      <c r="P222" s="1416"/>
      <c r="Q222" s="1419"/>
    </row>
    <row r="223" spans="1:17" s="824" customFormat="1" ht="15.75" hidden="1" customHeight="1">
      <c r="A223" s="919" t="s">
        <v>769</v>
      </c>
      <c r="B223" s="1253"/>
      <c r="C223" s="847" t="str">
        <f>PrSchr6</f>
        <v>Stage 6</v>
      </c>
      <c r="D223" s="359" t="s">
        <v>514</v>
      </c>
      <c r="E223" s="952" t="str">
        <f t="shared" si="15"/>
        <v>Enter text</v>
      </c>
      <c r="F223" s="1201"/>
      <c r="G223" s="1185" t="str">
        <f>IF('Input Form - EingabeMaske'!$C$59="x","OK","")</f>
        <v/>
      </c>
      <c r="H223" s="969" t="str">
        <f>IF('Input Form - EingabeMaske'!$D$59="x","OK","")</f>
        <v/>
      </c>
      <c r="I223" s="969" t="str">
        <f>IF('Input Form - EingabeMaske'!$E$59="x","OK","")</f>
        <v/>
      </c>
      <c r="J223" s="45" t="str">
        <f>IF('Input Form - EingabeMaske'!$F$59="x","OK","")</f>
        <v/>
      </c>
      <c r="M223" s="1401" t="s">
        <v>900</v>
      </c>
      <c r="N223" s="1404"/>
      <c r="O223" s="1316"/>
      <c r="P223" s="1416"/>
      <c r="Q223" s="1419"/>
    </row>
    <row r="224" spans="1:17" s="824" customFormat="1" ht="15.75" hidden="1" customHeight="1">
      <c r="A224" s="919" t="s">
        <v>770</v>
      </c>
      <c r="B224" s="1253"/>
      <c r="C224" s="847" t="str">
        <f>PrSchr7</f>
        <v>Stage 7</v>
      </c>
      <c r="D224" s="359" t="s">
        <v>514</v>
      </c>
      <c r="E224" s="952" t="str">
        <f t="shared" si="15"/>
        <v>Enter text</v>
      </c>
      <c r="F224" s="1201"/>
      <c r="G224" s="1185" t="str">
        <f>IF('Input Form - EingabeMaske'!$C$60="x","OK","")</f>
        <v/>
      </c>
      <c r="H224" s="969" t="str">
        <f>IF('Input Form - EingabeMaske'!$D$60="x","OK","")</f>
        <v/>
      </c>
      <c r="I224" s="969" t="str">
        <f>IF('Input Form - EingabeMaske'!$E$60="x","OK","")</f>
        <v/>
      </c>
      <c r="J224" s="45" t="str">
        <f>IF('Input Form - EingabeMaske'!$F$60="x","OK","")</f>
        <v/>
      </c>
      <c r="M224" s="1401" t="s">
        <v>900</v>
      </c>
      <c r="N224" s="1404"/>
      <c r="O224" s="1316"/>
      <c r="P224" s="1416"/>
      <c r="Q224" s="1419"/>
    </row>
    <row r="225" spans="1:17" s="824" customFormat="1" ht="15.75" hidden="1" customHeight="1">
      <c r="A225" s="919" t="s">
        <v>771</v>
      </c>
      <c r="B225" s="1253"/>
      <c r="C225" s="847" t="str">
        <f>PrSchr8</f>
        <v>Stage 8</v>
      </c>
      <c r="D225" s="359" t="s">
        <v>514</v>
      </c>
      <c r="E225" s="952" t="str">
        <f t="shared" si="15"/>
        <v>Enter text</v>
      </c>
      <c r="F225" s="1201"/>
      <c r="G225" s="1185" t="str">
        <f>IF('Input Form - EingabeMaske'!$C$61="x","OK","")</f>
        <v/>
      </c>
      <c r="H225" s="969" t="str">
        <f>IF('Input Form - EingabeMaske'!$D$61="x","OK","")</f>
        <v/>
      </c>
      <c r="I225" s="969" t="str">
        <f>IF('Input Form - EingabeMaske'!$E$61="x","OK","")</f>
        <v/>
      </c>
      <c r="J225" s="45" t="str">
        <f>IF('Input Form - EingabeMaske'!$F$61="x","OK","")</f>
        <v/>
      </c>
      <c r="M225" s="1401" t="s">
        <v>900</v>
      </c>
      <c r="N225" s="1404"/>
      <c r="O225" s="1316"/>
      <c r="P225" s="1416"/>
      <c r="Q225" s="1419"/>
    </row>
    <row r="226" spans="1:17" s="824" customFormat="1" ht="15.75" hidden="1" customHeight="1">
      <c r="A226" s="919" t="s">
        <v>772</v>
      </c>
      <c r="B226" s="1253"/>
      <c r="C226" s="847" t="str">
        <f>PrSchr9</f>
        <v>Stage 9</v>
      </c>
      <c r="D226" s="359" t="s">
        <v>514</v>
      </c>
      <c r="E226" s="952" t="str">
        <f t="shared" si="15"/>
        <v>Enter text</v>
      </c>
      <c r="F226" s="1201"/>
      <c r="G226" s="1185" t="str">
        <f>IF('Input Form - EingabeMaske'!$C$62="x","OK","")</f>
        <v/>
      </c>
      <c r="H226" s="969" t="str">
        <f>IF('Input Form - EingabeMaske'!$D$62="x","OK","")</f>
        <v/>
      </c>
      <c r="I226" s="969" t="str">
        <f>IF('Input Form - EingabeMaske'!$E$62="x","OK","")</f>
        <v/>
      </c>
      <c r="J226" s="45" t="str">
        <f>IF('Input Form - EingabeMaske'!$F$62="x","OK","")</f>
        <v/>
      </c>
      <c r="M226" s="1401" t="s">
        <v>900</v>
      </c>
      <c r="N226" s="1404"/>
      <c r="O226" s="1316"/>
      <c r="P226" s="1416"/>
      <c r="Q226" s="1419"/>
    </row>
    <row r="227" spans="1:17" s="824" customFormat="1" ht="16.5" hidden="1" customHeight="1" thickBot="1">
      <c r="A227" s="919" t="s">
        <v>773</v>
      </c>
      <c r="B227" s="1253"/>
      <c r="C227" s="847" t="str">
        <f>PrSchr10</f>
        <v>Stage 10</v>
      </c>
      <c r="D227" s="359" t="s">
        <v>514</v>
      </c>
      <c r="E227" s="952" t="str">
        <f t="shared" si="15"/>
        <v>Enter text</v>
      </c>
      <c r="F227" s="1201"/>
      <c r="G227" s="1185" t="str">
        <f>IF('Input Form - EingabeMaske'!$C$63="x","OK","")</f>
        <v/>
      </c>
      <c r="H227" s="969" t="str">
        <f>IF('Input Form - EingabeMaske'!$D$63="x","OK","")</f>
        <v/>
      </c>
      <c r="I227" s="969" t="str">
        <f>IF('Input Form - EingabeMaske'!$E$63="x","OK","")</f>
        <v/>
      </c>
      <c r="J227" s="45" t="str">
        <f>IF('Input Form - EingabeMaske'!$F$63="x","OK","")</f>
        <v/>
      </c>
      <c r="M227" s="1402" t="s">
        <v>900</v>
      </c>
      <c r="N227" s="1405"/>
      <c r="O227" s="1323"/>
      <c r="P227" s="1417"/>
      <c r="Q227" s="1420"/>
    </row>
    <row r="228" spans="1:17" s="824" customFormat="1" ht="35.25" customHeight="1" thickBot="1">
      <c r="A228" s="922" t="s">
        <v>121</v>
      </c>
      <c r="B228" s="923"/>
      <c r="C228" s="924" t="str">
        <f>VLOOKUP(pos(C228),'Language-Sprachen'!$A$200:$G$461,'Language-Sprachen'!$A$3,0)</f>
        <v>Is the maintenance of the manufacturing equipment and tools controlled?</v>
      </c>
      <c r="D228" s="924"/>
      <c r="E228" s="924"/>
      <c r="F228" s="1197"/>
      <c r="G228" s="962"/>
      <c r="H228" s="15"/>
      <c r="I228" s="15"/>
      <c r="J228" s="51"/>
      <c r="K228" s="922" t="s">
        <v>121</v>
      </c>
      <c r="M228" s="1283" t="s">
        <v>900</v>
      </c>
      <c r="N228" s="1324"/>
      <c r="O228" s="1285"/>
      <c r="P228" s="1286"/>
      <c r="Q228" s="1317"/>
    </row>
    <row r="229" spans="1:17" s="824" customFormat="1" ht="84.75" customHeight="1" thickBot="1">
      <c r="A229" s="911" t="s">
        <v>197</v>
      </c>
      <c r="B229" s="925"/>
      <c r="C229" s="912" t="str">
        <f>PrSchr1</f>
        <v>Stage 1: Moldshop Process</v>
      </c>
      <c r="D229" s="359">
        <v>6</v>
      </c>
      <c r="E229" s="952" t="s">
        <v>1022</v>
      </c>
      <c r="F229" s="1201" t="s">
        <v>511</v>
      </c>
      <c r="G229" s="1185" t="str">
        <f>IF('Input Form - EingabeMaske'!$C$54="x","OK","")</f>
        <v>OK</v>
      </c>
      <c r="H229" s="969" t="str">
        <f>IF('Input Form - EingabeMaske'!$D$54="x","OK","")</f>
        <v/>
      </c>
      <c r="I229" s="969" t="str">
        <f>IF('Input Form - EingabeMaske'!$E$54="x","OK","")</f>
        <v/>
      </c>
      <c r="J229" s="45" t="str">
        <f>IF('Input Form - EingabeMaske'!$F$54="x","OK","")</f>
        <v/>
      </c>
      <c r="M229" s="1400" t="s">
        <v>900</v>
      </c>
      <c r="N229" s="1403" t="s">
        <v>941</v>
      </c>
      <c r="O229" s="1421" t="s">
        <v>942</v>
      </c>
      <c r="P229" s="1415" t="s">
        <v>943</v>
      </c>
      <c r="Q229" s="1418">
        <v>3150</v>
      </c>
    </row>
    <row r="230" spans="1:17" s="824" customFormat="1" ht="39.950000000000003" hidden="1" customHeight="1">
      <c r="A230" s="911" t="s">
        <v>198</v>
      </c>
      <c r="B230" s="925"/>
      <c r="C230" s="912" t="str">
        <f>PrSchr2</f>
        <v>Stage 2:</v>
      </c>
      <c r="D230" s="359">
        <v>10</v>
      </c>
      <c r="E230" s="952" t="str">
        <f t="shared" ref="E230:E238" si="16">IF(ISBLANK(D230),$L$13,IF(D230=10,$L$14,$L$15))</f>
        <v>No weak points identified</v>
      </c>
      <c r="F230" s="1201"/>
      <c r="G230" s="1185" t="str">
        <f>IF('Input Form - EingabeMaske'!$C$55="x","OK","")</f>
        <v>OK</v>
      </c>
      <c r="H230" s="969" t="str">
        <f>IF('Input Form - EingabeMaske'!$D$55="x","OK","")</f>
        <v/>
      </c>
      <c r="I230" s="969" t="str">
        <f>IF('Input Form - EingabeMaske'!$E$55="x","OK","")</f>
        <v/>
      </c>
      <c r="J230" s="45" t="str">
        <f>IF('Input Form - EingabeMaske'!$F$55="x","OK","")</f>
        <v/>
      </c>
      <c r="M230" s="1401" t="s">
        <v>900</v>
      </c>
      <c r="N230" s="1404"/>
      <c r="O230" s="1422"/>
      <c r="P230" s="1416"/>
      <c r="Q230" s="1419"/>
    </row>
    <row r="231" spans="1:17" s="824" customFormat="1" ht="39.950000000000003" hidden="1" customHeight="1">
      <c r="A231" s="911" t="s">
        <v>199</v>
      </c>
      <c r="B231" s="925"/>
      <c r="C231" s="912" t="str">
        <f>PrSchr3</f>
        <v>Stage 3</v>
      </c>
      <c r="D231" s="359">
        <v>10</v>
      </c>
      <c r="E231" s="952" t="str">
        <f t="shared" si="16"/>
        <v>No weak points identified</v>
      </c>
      <c r="F231" s="1201"/>
      <c r="G231" s="1185" t="str">
        <f>IF('Input Form - EingabeMaske'!$C$56="x","OK","")</f>
        <v>OK</v>
      </c>
      <c r="H231" s="969" t="str">
        <f>IF('Input Form - EingabeMaske'!$D$56="x","OK","")</f>
        <v/>
      </c>
      <c r="I231" s="969" t="str">
        <f>IF('Input Form - EingabeMaske'!$E$56="x","OK","")</f>
        <v/>
      </c>
      <c r="J231" s="45" t="str">
        <f>IF('Input Form - EingabeMaske'!$F$56="x","OK","")</f>
        <v/>
      </c>
      <c r="M231" s="1401" t="s">
        <v>900</v>
      </c>
      <c r="N231" s="1404"/>
      <c r="O231" s="1422"/>
      <c r="P231" s="1416"/>
      <c r="Q231" s="1419"/>
    </row>
    <row r="232" spans="1:17" s="824" customFormat="1" ht="39.950000000000003" hidden="1" customHeight="1">
      <c r="A232" s="911" t="s">
        <v>767</v>
      </c>
      <c r="B232" s="925"/>
      <c r="C232" s="847" t="str">
        <f>PrSchr4</f>
        <v>Stage 4</v>
      </c>
      <c r="D232" s="359">
        <v>10</v>
      </c>
      <c r="E232" s="952" t="str">
        <f t="shared" si="16"/>
        <v>No weak points identified</v>
      </c>
      <c r="F232" s="1201"/>
      <c r="G232" s="1185" t="str">
        <f>IF('Input Form - EingabeMaske'!$C$57="x","OK","")</f>
        <v>OK</v>
      </c>
      <c r="H232" s="969" t="str">
        <f>IF('Input Form - EingabeMaske'!$D$57="x","OK","")</f>
        <v/>
      </c>
      <c r="I232" s="969" t="str">
        <f>IF('Input Form - EingabeMaske'!$E$57="x","OK","")</f>
        <v/>
      </c>
      <c r="J232" s="45" t="str">
        <f>IF('Input Form - EingabeMaske'!$F$57="x","OK","")</f>
        <v/>
      </c>
      <c r="M232" s="1401" t="s">
        <v>900</v>
      </c>
      <c r="N232" s="1404"/>
      <c r="O232" s="1422"/>
      <c r="P232" s="1416"/>
      <c r="Q232" s="1419"/>
    </row>
    <row r="233" spans="1:17" s="824" customFormat="1" ht="39.950000000000003" hidden="1" customHeight="1">
      <c r="A233" s="911" t="s">
        <v>768</v>
      </c>
      <c r="B233" s="925"/>
      <c r="C233" s="847" t="str">
        <f>PrSchr5</f>
        <v>Stage 5</v>
      </c>
      <c r="D233" s="359">
        <v>10</v>
      </c>
      <c r="E233" s="952" t="str">
        <f t="shared" si="16"/>
        <v>No weak points identified</v>
      </c>
      <c r="F233" s="1201"/>
      <c r="G233" s="1185" t="str">
        <f>IF('Input Form - EingabeMaske'!$C$58="x","OK","")</f>
        <v>OK</v>
      </c>
      <c r="H233" s="969" t="str">
        <f>IF('Input Form - EingabeMaske'!$D$58="x","OK","")</f>
        <v/>
      </c>
      <c r="I233" s="969" t="str">
        <f>IF('Input Form - EingabeMaske'!$E$58="x","OK","")</f>
        <v/>
      </c>
      <c r="J233" s="45" t="str">
        <f>IF('Input Form - EingabeMaske'!$F$58="x","OK","")</f>
        <v/>
      </c>
      <c r="M233" s="1401" t="s">
        <v>900</v>
      </c>
      <c r="N233" s="1404"/>
      <c r="O233" s="1423"/>
      <c r="P233" s="1416"/>
      <c r="Q233" s="1419"/>
    </row>
    <row r="234" spans="1:17" s="824" customFormat="1" ht="15.75" hidden="1" customHeight="1">
      <c r="A234" s="911" t="s">
        <v>769</v>
      </c>
      <c r="B234" s="925"/>
      <c r="C234" s="847" t="str">
        <f>PrSchr6</f>
        <v>Stage 6</v>
      </c>
      <c r="D234" s="359" t="s">
        <v>514</v>
      </c>
      <c r="E234" s="952" t="str">
        <f t="shared" si="16"/>
        <v>Enter text</v>
      </c>
      <c r="F234" s="1201"/>
      <c r="G234" s="1185" t="str">
        <f>IF('Input Form - EingabeMaske'!$C$59="x","OK","")</f>
        <v/>
      </c>
      <c r="H234" s="969" t="str">
        <f>IF('Input Form - EingabeMaske'!$D$59="x","OK","")</f>
        <v/>
      </c>
      <c r="I234" s="969" t="str">
        <f>IF('Input Form - EingabeMaske'!$E$59="x","OK","")</f>
        <v/>
      </c>
      <c r="J234" s="45" t="str">
        <f>IF('Input Form - EingabeMaske'!$F$59="x","OK","")</f>
        <v/>
      </c>
      <c r="M234" s="1401" t="s">
        <v>900</v>
      </c>
      <c r="N234" s="1404"/>
      <c r="O234" s="1316"/>
      <c r="P234" s="1416"/>
      <c r="Q234" s="1419"/>
    </row>
    <row r="235" spans="1:17" s="824" customFormat="1" ht="15.75" hidden="1" customHeight="1">
      <c r="A235" s="911" t="s">
        <v>770</v>
      </c>
      <c r="B235" s="925"/>
      <c r="C235" s="847" t="str">
        <f>PrSchr7</f>
        <v>Stage 7</v>
      </c>
      <c r="D235" s="359" t="s">
        <v>514</v>
      </c>
      <c r="E235" s="952" t="str">
        <f t="shared" si="16"/>
        <v>Enter text</v>
      </c>
      <c r="F235" s="1201"/>
      <c r="G235" s="1185" t="str">
        <f>IF('Input Form - EingabeMaske'!$C$60="x","OK","")</f>
        <v/>
      </c>
      <c r="H235" s="969" t="str">
        <f>IF('Input Form - EingabeMaske'!$D$60="x","OK","")</f>
        <v/>
      </c>
      <c r="I235" s="969" t="str">
        <f>IF('Input Form - EingabeMaske'!$E$60="x","OK","")</f>
        <v/>
      </c>
      <c r="J235" s="45" t="str">
        <f>IF('Input Form - EingabeMaske'!$F$60="x","OK","")</f>
        <v/>
      </c>
      <c r="M235" s="1401" t="s">
        <v>900</v>
      </c>
      <c r="N235" s="1404"/>
      <c r="O235" s="1316"/>
      <c r="P235" s="1416"/>
      <c r="Q235" s="1419"/>
    </row>
    <row r="236" spans="1:17" s="824" customFormat="1" ht="15.75" hidden="1" customHeight="1">
      <c r="A236" s="911" t="s">
        <v>771</v>
      </c>
      <c r="B236" s="925"/>
      <c r="C236" s="847" t="str">
        <f>PrSchr8</f>
        <v>Stage 8</v>
      </c>
      <c r="D236" s="359" t="s">
        <v>514</v>
      </c>
      <c r="E236" s="952" t="str">
        <f t="shared" si="16"/>
        <v>Enter text</v>
      </c>
      <c r="F236" s="1201"/>
      <c r="G236" s="1185" t="str">
        <f>IF('Input Form - EingabeMaske'!$C$61="x","OK","")</f>
        <v/>
      </c>
      <c r="H236" s="969" t="str">
        <f>IF('Input Form - EingabeMaske'!$D$61="x","OK","")</f>
        <v/>
      </c>
      <c r="I236" s="969" t="str">
        <f>IF('Input Form - EingabeMaske'!$E$61="x","OK","")</f>
        <v/>
      </c>
      <c r="J236" s="45" t="str">
        <f>IF('Input Form - EingabeMaske'!$F$61="x","OK","")</f>
        <v/>
      </c>
      <c r="M236" s="1401" t="s">
        <v>900</v>
      </c>
      <c r="N236" s="1404"/>
      <c r="O236" s="1316"/>
      <c r="P236" s="1416"/>
      <c r="Q236" s="1419"/>
    </row>
    <row r="237" spans="1:17" s="824" customFormat="1" ht="15.75" hidden="1" customHeight="1">
      <c r="A237" s="911" t="s">
        <v>772</v>
      </c>
      <c r="B237" s="925"/>
      <c r="C237" s="847" t="str">
        <f>PrSchr9</f>
        <v>Stage 9</v>
      </c>
      <c r="D237" s="359" t="s">
        <v>514</v>
      </c>
      <c r="E237" s="952" t="str">
        <f t="shared" si="16"/>
        <v>Enter text</v>
      </c>
      <c r="F237" s="1201"/>
      <c r="G237" s="1185" t="str">
        <f>IF('Input Form - EingabeMaske'!$C$62="x","OK","")</f>
        <v/>
      </c>
      <c r="H237" s="969" t="str">
        <f>IF('Input Form - EingabeMaske'!$D$62="x","OK","")</f>
        <v/>
      </c>
      <c r="I237" s="969" t="str">
        <f>IF('Input Form - EingabeMaske'!$E$62="x","OK","")</f>
        <v/>
      </c>
      <c r="J237" s="45" t="str">
        <f>IF('Input Form - EingabeMaske'!$F$62="x","OK","")</f>
        <v/>
      </c>
      <c r="M237" s="1401" t="s">
        <v>900</v>
      </c>
      <c r="N237" s="1404"/>
      <c r="O237" s="1316"/>
      <c r="P237" s="1416"/>
      <c r="Q237" s="1419"/>
    </row>
    <row r="238" spans="1:17" s="824" customFormat="1" ht="16.5" hidden="1" customHeight="1" thickBot="1">
      <c r="A238" s="911" t="s">
        <v>773</v>
      </c>
      <c r="B238" s="925"/>
      <c r="C238" s="847" t="str">
        <f>PrSchr10</f>
        <v>Stage 10</v>
      </c>
      <c r="D238" s="359" t="s">
        <v>514</v>
      </c>
      <c r="E238" s="952" t="str">
        <f t="shared" si="16"/>
        <v>Enter text</v>
      </c>
      <c r="F238" s="1201"/>
      <c r="G238" s="1185" t="str">
        <f>IF('Input Form - EingabeMaske'!$C$63="x","OK","")</f>
        <v/>
      </c>
      <c r="H238" s="969" t="str">
        <f>IF('Input Form - EingabeMaske'!$D$63="x","OK","")</f>
        <v/>
      </c>
      <c r="I238" s="969" t="str">
        <f>IF('Input Form - EingabeMaske'!$E$63="x","OK","")</f>
        <v/>
      </c>
      <c r="J238" s="45" t="str">
        <f>IF('Input Form - EingabeMaske'!$F$63="x","OK","")</f>
        <v/>
      </c>
      <c r="M238" s="1402" t="s">
        <v>900</v>
      </c>
      <c r="N238" s="1405"/>
      <c r="O238" s="1323"/>
      <c r="P238" s="1417"/>
      <c r="Q238" s="1420"/>
    </row>
    <row r="239" spans="1:17" s="824" customFormat="1" ht="32.25" customHeight="1" thickBot="1">
      <c r="A239" s="926" t="s">
        <v>41</v>
      </c>
      <c r="B239" s="918" t="s">
        <v>7</v>
      </c>
      <c r="C239" s="864" t="str">
        <f>VLOOKUP(pos(C239),'Language-Sprachen'!$A$200:$G$461,'Language-Sprachen'!$A$3,0)</f>
        <v>Can the quality requirements be effectively monitored with the measurement and test facilities in use?</v>
      </c>
      <c r="D239" s="864"/>
      <c r="E239" s="864"/>
      <c r="F239" s="1197"/>
      <c r="G239" s="962"/>
      <c r="H239" s="15"/>
      <c r="I239" s="15"/>
      <c r="J239" s="51"/>
      <c r="K239" s="926" t="s">
        <v>41</v>
      </c>
      <c r="M239" s="1283" t="s">
        <v>900</v>
      </c>
      <c r="N239" s="1324"/>
      <c r="O239" s="1285"/>
      <c r="P239" s="1286"/>
      <c r="Q239" s="1317"/>
    </row>
    <row r="240" spans="1:17" s="824" customFormat="1" ht="39.950000000000003" customHeight="1" thickBot="1">
      <c r="A240" s="919" t="s">
        <v>197</v>
      </c>
      <c r="B240" s="920"/>
      <c r="C240" s="847" t="str">
        <f>PrSchr1</f>
        <v>Stage 1: Moldshop Process</v>
      </c>
      <c r="D240" s="359">
        <v>10</v>
      </c>
      <c r="E240" s="952" t="s">
        <v>997</v>
      </c>
      <c r="F240" s="1201"/>
      <c r="G240" s="1185" t="str">
        <f>IF('Input Form - EingabeMaske'!$C$54="x","OK","")</f>
        <v>OK</v>
      </c>
      <c r="H240" s="969" t="str">
        <f>IF('Input Form - EingabeMaske'!$D$54="x","OK","")</f>
        <v/>
      </c>
      <c r="I240" s="969" t="str">
        <f>IF('Input Form - EingabeMaske'!$E$54="x","OK","")</f>
        <v/>
      </c>
      <c r="J240" s="45" t="str">
        <f>IF('Input Form - EingabeMaske'!$F$54="x","OK","")</f>
        <v/>
      </c>
      <c r="M240" s="1400" t="s">
        <v>900</v>
      </c>
      <c r="N240" s="1403" t="s">
        <v>944</v>
      </c>
      <c r="O240" s="1421" t="s">
        <v>945</v>
      </c>
      <c r="P240" s="1415" t="s">
        <v>946</v>
      </c>
      <c r="Q240" s="1418">
        <v>4020</v>
      </c>
    </row>
    <row r="241" spans="1:17" s="824" customFormat="1" ht="39.950000000000003" hidden="1" customHeight="1">
      <c r="A241" s="919" t="s">
        <v>198</v>
      </c>
      <c r="B241" s="920"/>
      <c r="C241" s="847" t="str">
        <f>PrSchr2</f>
        <v>Stage 2:</v>
      </c>
      <c r="D241" s="359">
        <v>10</v>
      </c>
      <c r="E241" s="952" t="s">
        <v>997</v>
      </c>
      <c r="F241" s="1201"/>
      <c r="G241" s="1185" t="str">
        <f>IF('Input Form - EingabeMaske'!$C$55="x","OK","")</f>
        <v>OK</v>
      </c>
      <c r="H241" s="969" t="str">
        <f>IF('Input Form - EingabeMaske'!$D$55="x","OK","")</f>
        <v/>
      </c>
      <c r="I241" s="969" t="str">
        <f>IF('Input Form - EingabeMaske'!$E$55="x","OK","")</f>
        <v/>
      </c>
      <c r="J241" s="45" t="str">
        <f>IF('Input Form - EingabeMaske'!$F$55="x","OK","")</f>
        <v/>
      </c>
      <c r="M241" s="1401" t="s">
        <v>900</v>
      </c>
      <c r="N241" s="1404"/>
      <c r="O241" s="1422"/>
      <c r="P241" s="1416"/>
      <c r="Q241" s="1419"/>
    </row>
    <row r="242" spans="1:17" s="824" customFormat="1" ht="39.950000000000003" hidden="1" customHeight="1">
      <c r="A242" s="919" t="s">
        <v>199</v>
      </c>
      <c r="B242" s="920"/>
      <c r="C242" s="847" t="str">
        <f>PrSchr3</f>
        <v>Stage 3</v>
      </c>
      <c r="D242" s="359" t="s">
        <v>514</v>
      </c>
      <c r="E242" s="952"/>
      <c r="F242" s="1201"/>
      <c r="G242" s="1185" t="str">
        <f>IF('Input Form - EingabeMaske'!$C$56="x","OK","")</f>
        <v>OK</v>
      </c>
      <c r="H242" s="969" t="str">
        <f>IF('Input Form - EingabeMaske'!$D$56="x","OK","")</f>
        <v/>
      </c>
      <c r="I242" s="969" t="str">
        <f>IF('Input Form - EingabeMaske'!$E$56="x","OK","")</f>
        <v/>
      </c>
      <c r="J242" s="45" t="str">
        <f>IF('Input Form - EingabeMaske'!$F$56="x","OK","")</f>
        <v/>
      </c>
      <c r="M242" s="1401" t="s">
        <v>900</v>
      </c>
      <c r="N242" s="1404"/>
      <c r="O242" s="1422"/>
      <c r="P242" s="1416"/>
      <c r="Q242" s="1419"/>
    </row>
    <row r="243" spans="1:17" s="824" customFormat="1" ht="39.950000000000003" hidden="1" customHeight="1">
      <c r="A243" s="919" t="s">
        <v>767</v>
      </c>
      <c r="B243" s="1253"/>
      <c r="C243" s="847" t="str">
        <f>PrSchr4</f>
        <v>Stage 4</v>
      </c>
      <c r="D243" s="359" t="s">
        <v>514</v>
      </c>
      <c r="E243" s="952"/>
      <c r="F243" s="1201"/>
      <c r="G243" s="1185" t="str">
        <f>IF('Input Form - EingabeMaske'!$C$57="x","OK","")</f>
        <v>OK</v>
      </c>
      <c r="H243" s="969" t="str">
        <f>IF('Input Form - EingabeMaske'!$D$57="x","OK","")</f>
        <v/>
      </c>
      <c r="I243" s="969" t="str">
        <f>IF('Input Form - EingabeMaske'!$E$57="x","OK","")</f>
        <v/>
      </c>
      <c r="J243" s="45" t="str">
        <f>IF('Input Form - EingabeMaske'!$F$57="x","OK","")</f>
        <v/>
      </c>
      <c r="M243" s="1401" t="s">
        <v>900</v>
      </c>
      <c r="N243" s="1404"/>
      <c r="O243" s="1422"/>
      <c r="P243" s="1416"/>
      <c r="Q243" s="1419"/>
    </row>
    <row r="244" spans="1:17" s="824" customFormat="1" ht="39.950000000000003" hidden="1" customHeight="1">
      <c r="A244" s="919" t="s">
        <v>768</v>
      </c>
      <c r="B244" s="1253"/>
      <c r="C244" s="847" t="str">
        <f>PrSchr5</f>
        <v>Stage 5</v>
      </c>
      <c r="D244" s="359" t="s">
        <v>514</v>
      </c>
      <c r="E244" s="952"/>
      <c r="F244" s="1201"/>
      <c r="G244" s="1185" t="str">
        <f>IF('Input Form - EingabeMaske'!$C$58="x","OK","")</f>
        <v>OK</v>
      </c>
      <c r="H244" s="969" t="str">
        <f>IF('Input Form - EingabeMaske'!$D$58="x","OK","")</f>
        <v/>
      </c>
      <c r="I244" s="969" t="str">
        <f>IF('Input Form - EingabeMaske'!$E$58="x","OK","")</f>
        <v/>
      </c>
      <c r="J244" s="45" t="str">
        <f>IF('Input Form - EingabeMaske'!$F$58="x","OK","")</f>
        <v/>
      </c>
      <c r="M244" s="1401" t="s">
        <v>900</v>
      </c>
      <c r="N244" s="1404"/>
      <c r="O244" s="1423"/>
      <c r="P244" s="1416"/>
      <c r="Q244" s="1419"/>
    </row>
    <row r="245" spans="1:17" s="824" customFormat="1" ht="15.75" hidden="1" customHeight="1">
      <c r="A245" s="919" t="s">
        <v>769</v>
      </c>
      <c r="B245" s="1253"/>
      <c r="C245" s="847" t="str">
        <f>PrSchr6</f>
        <v>Stage 6</v>
      </c>
      <c r="D245" s="359" t="s">
        <v>514</v>
      </c>
      <c r="E245" s="952" t="str">
        <f t="shared" ref="E245:E249" si="17">IF(ISBLANK(D245),$L$13,IF(D245=10,$L$14,$L$15))</f>
        <v>Enter text</v>
      </c>
      <c r="F245" s="1201"/>
      <c r="G245" s="1185" t="str">
        <f>IF('Input Form - EingabeMaske'!$C$59="x","OK","")</f>
        <v/>
      </c>
      <c r="H245" s="969" t="str">
        <f>IF('Input Form - EingabeMaske'!$D$59="x","OK","")</f>
        <v/>
      </c>
      <c r="I245" s="969" t="str">
        <f>IF('Input Form - EingabeMaske'!$E$59="x","OK","")</f>
        <v/>
      </c>
      <c r="J245" s="45" t="str">
        <f>IF('Input Form - EingabeMaske'!$F$59="x","OK","")</f>
        <v/>
      </c>
      <c r="M245" s="1401" t="s">
        <v>900</v>
      </c>
      <c r="N245" s="1404"/>
      <c r="O245" s="1316"/>
      <c r="P245" s="1416"/>
      <c r="Q245" s="1419"/>
    </row>
    <row r="246" spans="1:17" s="824" customFormat="1" ht="15.75" hidden="1" customHeight="1">
      <c r="A246" s="919" t="s">
        <v>770</v>
      </c>
      <c r="B246" s="1253"/>
      <c r="C246" s="847" t="str">
        <f>PrSchr7</f>
        <v>Stage 7</v>
      </c>
      <c r="D246" s="359" t="s">
        <v>514</v>
      </c>
      <c r="E246" s="952" t="str">
        <f t="shared" si="17"/>
        <v>Enter text</v>
      </c>
      <c r="F246" s="1201"/>
      <c r="G246" s="1185" t="str">
        <f>IF('Input Form - EingabeMaske'!$C$60="x","OK","")</f>
        <v/>
      </c>
      <c r="H246" s="969" t="str">
        <f>IF('Input Form - EingabeMaske'!$D$60="x","OK","")</f>
        <v/>
      </c>
      <c r="I246" s="969" t="str">
        <f>IF('Input Form - EingabeMaske'!$E$60="x","OK","")</f>
        <v/>
      </c>
      <c r="J246" s="45" t="str">
        <f>IF('Input Form - EingabeMaske'!$F$60="x","OK","")</f>
        <v/>
      </c>
      <c r="M246" s="1401" t="s">
        <v>900</v>
      </c>
      <c r="N246" s="1404"/>
      <c r="O246" s="1316"/>
      <c r="P246" s="1416"/>
      <c r="Q246" s="1419"/>
    </row>
    <row r="247" spans="1:17" s="824" customFormat="1" ht="15.75" hidden="1" customHeight="1">
      <c r="A247" s="919" t="s">
        <v>771</v>
      </c>
      <c r="B247" s="1253"/>
      <c r="C247" s="847" t="str">
        <f>PrSchr8</f>
        <v>Stage 8</v>
      </c>
      <c r="D247" s="359" t="s">
        <v>514</v>
      </c>
      <c r="E247" s="952" t="str">
        <f t="shared" si="17"/>
        <v>Enter text</v>
      </c>
      <c r="F247" s="1201"/>
      <c r="G247" s="1185" t="str">
        <f>IF('Input Form - EingabeMaske'!$C$61="x","OK","")</f>
        <v/>
      </c>
      <c r="H247" s="969" t="str">
        <f>IF('Input Form - EingabeMaske'!$D$61="x","OK","")</f>
        <v/>
      </c>
      <c r="I247" s="969" t="str">
        <f>IF('Input Form - EingabeMaske'!$E$61="x","OK","")</f>
        <v/>
      </c>
      <c r="J247" s="45" t="str">
        <f>IF('Input Form - EingabeMaske'!$F$61="x","OK","")</f>
        <v/>
      </c>
      <c r="M247" s="1401" t="s">
        <v>900</v>
      </c>
      <c r="N247" s="1404"/>
      <c r="O247" s="1316"/>
      <c r="P247" s="1416"/>
      <c r="Q247" s="1419"/>
    </row>
    <row r="248" spans="1:17" s="824" customFormat="1" ht="15.75" hidden="1" customHeight="1">
      <c r="A248" s="919" t="s">
        <v>772</v>
      </c>
      <c r="B248" s="1253"/>
      <c r="C248" s="847" t="str">
        <f>PrSchr9</f>
        <v>Stage 9</v>
      </c>
      <c r="D248" s="359" t="s">
        <v>514</v>
      </c>
      <c r="E248" s="952" t="str">
        <f t="shared" si="17"/>
        <v>Enter text</v>
      </c>
      <c r="F248" s="1201"/>
      <c r="G248" s="1185" t="str">
        <f>IF('Input Form - EingabeMaske'!$C$62="x","OK","")</f>
        <v/>
      </c>
      <c r="H248" s="969" t="str">
        <f>IF('Input Form - EingabeMaske'!$D$62="x","OK","")</f>
        <v/>
      </c>
      <c r="I248" s="969" t="str">
        <f>IF('Input Form - EingabeMaske'!$E$62="x","OK","")</f>
        <v/>
      </c>
      <c r="J248" s="45" t="str">
        <f>IF('Input Form - EingabeMaske'!$F$62="x","OK","")</f>
        <v/>
      </c>
      <c r="M248" s="1401" t="s">
        <v>900</v>
      </c>
      <c r="N248" s="1404"/>
      <c r="O248" s="1316"/>
      <c r="P248" s="1416"/>
      <c r="Q248" s="1419"/>
    </row>
    <row r="249" spans="1:17" s="824" customFormat="1" ht="16.5" hidden="1" customHeight="1" thickBot="1">
      <c r="A249" s="919" t="s">
        <v>773</v>
      </c>
      <c r="B249" s="1253"/>
      <c r="C249" s="847" t="str">
        <f>PrSchr10</f>
        <v>Stage 10</v>
      </c>
      <c r="D249" s="359" t="s">
        <v>514</v>
      </c>
      <c r="E249" s="952" t="str">
        <f t="shared" si="17"/>
        <v>Enter text</v>
      </c>
      <c r="F249" s="1201"/>
      <c r="G249" s="1185" t="str">
        <f>IF('Input Form - EingabeMaske'!$C$63="x","OK","")</f>
        <v/>
      </c>
      <c r="H249" s="969" t="str">
        <f>IF('Input Form - EingabeMaske'!$D$63="x","OK","")</f>
        <v/>
      </c>
      <c r="I249" s="969" t="str">
        <f>IF('Input Form - EingabeMaske'!$E$63="x","OK","")</f>
        <v/>
      </c>
      <c r="J249" s="45" t="str">
        <f>IF('Input Form - EingabeMaske'!$F$63="x","OK","")</f>
        <v/>
      </c>
      <c r="M249" s="1402" t="s">
        <v>900</v>
      </c>
      <c r="N249" s="1405"/>
      <c r="O249" s="1323"/>
      <c r="P249" s="1417"/>
      <c r="Q249" s="1420"/>
    </row>
    <row r="250" spans="1:17" s="824" customFormat="1" ht="21.75" customHeight="1" thickBot="1">
      <c r="A250" s="913" t="s">
        <v>42</v>
      </c>
      <c r="B250" s="914"/>
      <c r="C250" s="864" t="str">
        <f>VLOOKUP(pos(C250),'Language-Sprachen'!$A$200:$G$461,'Language-Sprachen'!$A$3,0)</f>
        <v>Are the work and inspection stations appropriate for the needs?</v>
      </c>
      <c r="D250" s="864"/>
      <c r="E250" s="864"/>
      <c r="F250" s="1197"/>
      <c r="G250" s="962"/>
      <c r="H250" s="15"/>
      <c r="I250" s="15"/>
      <c r="J250" s="51"/>
      <c r="K250" s="913" t="s">
        <v>42</v>
      </c>
      <c r="M250" s="1283" t="s">
        <v>900</v>
      </c>
      <c r="N250" s="1324"/>
      <c r="O250" s="1285"/>
      <c r="P250" s="1286"/>
      <c r="Q250" s="1317"/>
    </row>
    <row r="251" spans="1:17" s="824" customFormat="1" ht="39.950000000000003" customHeight="1">
      <c r="A251" s="915" t="s">
        <v>197</v>
      </c>
      <c r="B251" s="916"/>
      <c r="C251" s="847" t="str">
        <f>PrSchr1</f>
        <v>Stage 1: Moldshop Process</v>
      </c>
      <c r="D251" s="359">
        <v>10</v>
      </c>
      <c r="E251" s="1338" t="s">
        <v>1023</v>
      </c>
      <c r="F251" s="1201"/>
      <c r="G251" s="1185" t="str">
        <f>IF('Input Form - EingabeMaske'!$C$54="x","OK","")</f>
        <v>OK</v>
      </c>
      <c r="H251" s="969" t="str">
        <f>IF('Input Form - EingabeMaske'!$D$54="x","OK","")</f>
        <v/>
      </c>
      <c r="I251" s="969" t="str">
        <f>IF('Input Form - EingabeMaske'!$E$54="x","OK","")</f>
        <v/>
      </c>
      <c r="J251" s="45" t="str">
        <f>IF('Input Form - EingabeMaske'!$F$54="x","OK","")</f>
        <v/>
      </c>
      <c r="M251" s="1400" t="s">
        <v>900</v>
      </c>
      <c r="N251" s="1403" t="s">
        <v>947</v>
      </c>
      <c r="O251" s="1421" t="s">
        <v>948</v>
      </c>
      <c r="P251" s="1415" t="s">
        <v>949</v>
      </c>
      <c r="Q251" s="1418">
        <v>3050</v>
      </c>
    </row>
    <row r="252" spans="1:17" s="824" customFormat="1" ht="39.950000000000003" hidden="1" customHeight="1">
      <c r="A252" s="915" t="s">
        <v>198</v>
      </c>
      <c r="B252" s="916"/>
      <c r="C252" s="847" t="str">
        <f>PrSchr2</f>
        <v>Stage 2:</v>
      </c>
      <c r="D252" s="359" t="s">
        <v>514</v>
      </c>
      <c r="E252" s="1339"/>
      <c r="F252" s="1201"/>
      <c r="G252" s="1185" t="str">
        <f>IF('Input Form - EingabeMaske'!$C$55="x","OK","")</f>
        <v>OK</v>
      </c>
      <c r="H252" s="969" t="str">
        <f>IF('Input Form - EingabeMaske'!$D$55="x","OK","")</f>
        <v/>
      </c>
      <c r="I252" s="969" t="str">
        <f>IF('Input Form - EingabeMaske'!$E$55="x","OK","")</f>
        <v/>
      </c>
      <c r="J252" s="45" t="str">
        <f>IF('Input Form - EingabeMaske'!$F$55="x","OK","")</f>
        <v/>
      </c>
      <c r="M252" s="1401" t="s">
        <v>900</v>
      </c>
      <c r="N252" s="1404"/>
      <c r="O252" s="1422"/>
      <c r="P252" s="1416"/>
      <c r="Q252" s="1419"/>
    </row>
    <row r="253" spans="1:17" s="824" customFormat="1" ht="39.950000000000003" hidden="1" customHeight="1">
      <c r="A253" s="915" t="s">
        <v>199</v>
      </c>
      <c r="B253" s="916"/>
      <c r="C253" s="847" t="str">
        <f>PrSchr3</f>
        <v>Stage 3</v>
      </c>
      <c r="D253" s="359" t="s">
        <v>514</v>
      </c>
      <c r="E253" s="1340"/>
      <c r="F253" s="1201"/>
      <c r="G253" s="1185" t="str">
        <f>IF('Input Form - EingabeMaske'!$C$56="x","OK","")</f>
        <v>OK</v>
      </c>
      <c r="H253" s="969" t="str">
        <f>IF('Input Form - EingabeMaske'!$D$56="x","OK","")</f>
        <v/>
      </c>
      <c r="I253" s="969" t="str">
        <f>IF('Input Form - EingabeMaske'!$E$56="x","OK","")</f>
        <v/>
      </c>
      <c r="J253" s="45" t="str">
        <f>IF('Input Form - EingabeMaske'!$F$56="x","OK","")</f>
        <v/>
      </c>
      <c r="M253" s="1401" t="s">
        <v>900</v>
      </c>
      <c r="N253" s="1404"/>
      <c r="O253" s="1422"/>
      <c r="P253" s="1416"/>
      <c r="Q253" s="1419"/>
    </row>
    <row r="254" spans="1:17" s="824" customFormat="1" ht="39.950000000000003" hidden="1" customHeight="1">
      <c r="A254" s="915" t="s">
        <v>767</v>
      </c>
      <c r="B254" s="1252"/>
      <c r="C254" s="847" t="str">
        <f>PrSchr4</f>
        <v>Stage 4</v>
      </c>
      <c r="D254" s="359" t="s">
        <v>514</v>
      </c>
      <c r="E254" s="952" t="str">
        <f t="shared" ref="E254:E260" si="18">IF(ISBLANK(D254),$L$13,IF(D254=10,$L$14,$L$15))</f>
        <v>Enter text</v>
      </c>
      <c r="F254" s="1201"/>
      <c r="G254" s="1185" t="str">
        <f>IF('Input Form - EingabeMaske'!$C$57="x","OK","")</f>
        <v>OK</v>
      </c>
      <c r="H254" s="969" t="str">
        <f>IF('Input Form - EingabeMaske'!$D$57="x","OK","")</f>
        <v/>
      </c>
      <c r="I254" s="969" t="str">
        <f>IF('Input Form - EingabeMaske'!$E$57="x","OK","")</f>
        <v/>
      </c>
      <c r="J254" s="45" t="str">
        <f>IF('Input Form - EingabeMaske'!$F$57="x","OK","")</f>
        <v/>
      </c>
      <c r="M254" s="1401" t="s">
        <v>900</v>
      </c>
      <c r="N254" s="1404"/>
      <c r="O254" s="1422"/>
      <c r="P254" s="1416"/>
      <c r="Q254" s="1419"/>
    </row>
    <row r="255" spans="1:17" s="824" customFormat="1" ht="39.950000000000003" hidden="1" customHeight="1">
      <c r="A255" s="915" t="s">
        <v>768</v>
      </c>
      <c r="B255" s="1252"/>
      <c r="C255" s="847" t="str">
        <f>PrSchr5</f>
        <v>Stage 5</v>
      </c>
      <c r="D255" s="359" t="s">
        <v>514</v>
      </c>
      <c r="E255" s="952" t="str">
        <f t="shared" si="18"/>
        <v>Enter text</v>
      </c>
      <c r="F255" s="1201"/>
      <c r="G255" s="1185" t="str">
        <f>IF('Input Form - EingabeMaske'!$C$58="x","OK","")</f>
        <v>OK</v>
      </c>
      <c r="H255" s="969" t="str">
        <f>IF('Input Form - EingabeMaske'!$D$58="x","OK","")</f>
        <v/>
      </c>
      <c r="I255" s="969" t="str">
        <f>IF('Input Form - EingabeMaske'!$E$58="x","OK","")</f>
        <v/>
      </c>
      <c r="J255" s="45" t="str">
        <f>IF('Input Form - EingabeMaske'!$F$58="x","OK","")</f>
        <v/>
      </c>
      <c r="M255" s="1401" t="s">
        <v>900</v>
      </c>
      <c r="N255" s="1404"/>
      <c r="O255" s="1423"/>
      <c r="P255" s="1416"/>
      <c r="Q255" s="1419"/>
    </row>
    <row r="256" spans="1:17" s="824" customFormat="1" ht="15.75" hidden="1" customHeight="1">
      <c r="A256" s="915" t="s">
        <v>769</v>
      </c>
      <c r="B256" s="1252"/>
      <c r="C256" s="847" t="str">
        <f>PrSchr6</f>
        <v>Stage 6</v>
      </c>
      <c r="D256" s="359" t="s">
        <v>514</v>
      </c>
      <c r="E256" s="952" t="str">
        <f t="shared" si="18"/>
        <v>Enter text</v>
      </c>
      <c r="F256" s="1201"/>
      <c r="G256" s="1185" t="str">
        <f>IF('Input Form - EingabeMaske'!$C$59="x","OK","")</f>
        <v/>
      </c>
      <c r="H256" s="969" t="str">
        <f>IF('Input Form - EingabeMaske'!$D$59="x","OK","")</f>
        <v/>
      </c>
      <c r="I256" s="969" t="str">
        <f>IF('Input Form - EingabeMaske'!$E$59="x","OK","")</f>
        <v/>
      </c>
      <c r="J256" s="45" t="str">
        <f>IF('Input Form - EingabeMaske'!$F$59="x","OK","")</f>
        <v/>
      </c>
      <c r="M256" s="1401" t="s">
        <v>900</v>
      </c>
      <c r="N256" s="1404"/>
      <c r="O256" s="1316"/>
      <c r="P256" s="1416"/>
      <c r="Q256" s="1419"/>
    </row>
    <row r="257" spans="1:17" s="824" customFormat="1" ht="15.75" hidden="1" customHeight="1">
      <c r="A257" s="915" t="s">
        <v>770</v>
      </c>
      <c r="B257" s="1252"/>
      <c r="C257" s="847" t="str">
        <f>PrSchr7</f>
        <v>Stage 7</v>
      </c>
      <c r="D257" s="359" t="s">
        <v>514</v>
      </c>
      <c r="E257" s="952" t="str">
        <f t="shared" si="18"/>
        <v>Enter text</v>
      </c>
      <c r="F257" s="1201"/>
      <c r="G257" s="1185" t="str">
        <f>IF('Input Form - EingabeMaske'!$C$60="x","OK","")</f>
        <v/>
      </c>
      <c r="H257" s="969" t="str">
        <f>IF('Input Form - EingabeMaske'!$D$60="x","OK","")</f>
        <v/>
      </c>
      <c r="I257" s="969" t="str">
        <f>IF('Input Form - EingabeMaske'!$E$60="x","OK","")</f>
        <v/>
      </c>
      <c r="J257" s="45" t="str">
        <f>IF('Input Form - EingabeMaske'!$F$60="x","OK","")</f>
        <v/>
      </c>
      <c r="M257" s="1401" t="s">
        <v>900</v>
      </c>
      <c r="N257" s="1404"/>
      <c r="O257" s="1316"/>
      <c r="P257" s="1416"/>
      <c r="Q257" s="1419"/>
    </row>
    <row r="258" spans="1:17" s="824" customFormat="1" ht="15.75" hidden="1" customHeight="1">
      <c r="A258" s="915" t="s">
        <v>771</v>
      </c>
      <c r="B258" s="1252"/>
      <c r="C258" s="847" t="str">
        <f>PrSchr8</f>
        <v>Stage 8</v>
      </c>
      <c r="D258" s="359" t="s">
        <v>514</v>
      </c>
      <c r="E258" s="952" t="str">
        <f t="shared" si="18"/>
        <v>Enter text</v>
      </c>
      <c r="F258" s="1201"/>
      <c r="G258" s="1185" t="str">
        <f>IF('Input Form - EingabeMaske'!$C$61="x","OK","")</f>
        <v/>
      </c>
      <c r="H258" s="969" t="str">
        <f>IF('Input Form - EingabeMaske'!$D$61="x","OK","")</f>
        <v/>
      </c>
      <c r="I258" s="969" t="str">
        <f>IF('Input Form - EingabeMaske'!$E$61="x","OK","")</f>
        <v/>
      </c>
      <c r="J258" s="45" t="str">
        <f>IF('Input Form - EingabeMaske'!$F$61="x","OK","")</f>
        <v/>
      </c>
      <c r="M258" s="1401" t="s">
        <v>900</v>
      </c>
      <c r="N258" s="1404"/>
      <c r="O258" s="1316"/>
      <c r="P258" s="1416"/>
      <c r="Q258" s="1419"/>
    </row>
    <row r="259" spans="1:17" s="824" customFormat="1" ht="15.75" hidden="1" customHeight="1">
      <c r="A259" s="915" t="s">
        <v>772</v>
      </c>
      <c r="B259" s="1252"/>
      <c r="C259" s="847" t="str">
        <f>PrSchr9</f>
        <v>Stage 9</v>
      </c>
      <c r="D259" s="359" t="s">
        <v>514</v>
      </c>
      <c r="E259" s="952" t="str">
        <f t="shared" si="18"/>
        <v>Enter text</v>
      </c>
      <c r="F259" s="1201"/>
      <c r="G259" s="1185" t="str">
        <f>IF('Input Form - EingabeMaske'!$C$62="x","OK","")</f>
        <v/>
      </c>
      <c r="H259" s="969" t="str">
        <f>IF('Input Form - EingabeMaske'!$D$62="x","OK","")</f>
        <v/>
      </c>
      <c r="I259" s="969" t="str">
        <f>IF('Input Form - EingabeMaske'!$E$62="x","OK","")</f>
        <v/>
      </c>
      <c r="J259" s="45" t="str">
        <f>IF('Input Form - EingabeMaske'!$F$62="x","OK","")</f>
        <v/>
      </c>
      <c r="M259" s="1401" t="s">
        <v>900</v>
      </c>
      <c r="N259" s="1404"/>
      <c r="O259" s="1316"/>
      <c r="P259" s="1416"/>
      <c r="Q259" s="1419"/>
    </row>
    <row r="260" spans="1:17" s="824" customFormat="1" ht="16.5" customHeight="1" thickBot="1">
      <c r="A260" s="915" t="s">
        <v>773</v>
      </c>
      <c r="B260" s="1252"/>
      <c r="C260" s="847" t="str">
        <f>PrSchr10</f>
        <v>Stage 10</v>
      </c>
      <c r="D260" s="359" t="s">
        <v>514</v>
      </c>
      <c r="E260" s="1345" t="str">
        <f t="shared" si="18"/>
        <v>Enter text</v>
      </c>
      <c r="F260" s="1201"/>
      <c r="G260" s="1185" t="str">
        <f>IF('Input Form - EingabeMaske'!$C$63="x","OK","")</f>
        <v/>
      </c>
      <c r="H260" s="969" t="str">
        <f>IF('Input Form - EingabeMaske'!$D$63="x","OK","")</f>
        <v/>
      </c>
      <c r="I260" s="969" t="str">
        <f>IF('Input Form - EingabeMaske'!$E$63="x","OK","")</f>
        <v/>
      </c>
      <c r="J260" s="45" t="str">
        <f>IF('Input Form - EingabeMaske'!$F$63="x","OK","")</f>
        <v/>
      </c>
      <c r="M260" s="1402" t="s">
        <v>900</v>
      </c>
      <c r="N260" s="1405"/>
      <c r="O260" s="1323"/>
      <c r="P260" s="1417"/>
      <c r="Q260" s="1420"/>
    </row>
    <row r="261" spans="1:17" s="824" customFormat="1" ht="33.75" customHeight="1" thickBot="1">
      <c r="A261" s="932" t="s">
        <v>213</v>
      </c>
      <c r="B261" s="914"/>
      <c r="C261" s="864" t="str">
        <f>VLOOKUP(pos(C261),'Language-Sprachen'!$A$200:$G$461,'Language-Sprachen'!$A$3,0)</f>
        <v>Are tools, equipment and test equipment stored properly?</v>
      </c>
      <c r="D261" s="864"/>
      <c r="E261" s="864"/>
      <c r="F261" s="1197"/>
      <c r="G261" s="962"/>
      <c r="H261" s="15"/>
      <c r="I261" s="15"/>
      <c r="J261" s="51"/>
      <c r="K261" s="932" t="s">
        <v>213</v>
      </c>
      <c r="M261" s="1283" t="s">
        <v>900</v>
      </c>
      <c r="N261" s="1324"/>
      <c r="O261" s="1285"/>
      <c r="P261" s="1286"/>
      <c r="Q261" s="1317"/>
    </row>
    <row r="262" spans="1:17" s="824" customFormat="1" ht="39.950000000000003" customHeight="1" thickBot="1">
      <c r="A262" s="915" t="s">
        <v>197</v>
      </c>
      <c r="B262" s="916"/>
      <c r="C262" s="847" t="str">
        <f>PrSchr1</f>
        <v>Stage 1: Moldshop Process</v>
      </c>
      <c r="D262" s="359">
        <v>10</v>
      </c>
      <c r="E262" s="1345" t="str">
        <f t="shared" ref="E262:E271" si="19">IF(ISBLANK(D262),$L$13,IF(D262=10,$L$14,$L$15))</f>
        <v>No weak points identified</v>
      </c>
      <c r="F262" s="1201"/>
      <c r="G262" s="1185" t="str">
        <f>IF('Input Form - EingabeMaske'!$C$54="x","OK","")</f>
        <v>OK</v>
      </c>
      <c r="H262" s="969" t="str">
        <f>IF('Input Form - EingabeMaske'!$D$54="x","OK","")</f>
        <v/>
      </c>
      <c r="I262" s="969" t="str">
        <f>IF('Input Form - EingabeMaske'!$E$54="x","OK","")</f>
        <v/>
      </c>
      <c r="J262" s="45" t="str">
        <f>IF('Input Form - EingabeMaske'!$F$54="x","OK","")</f>
        <v/>
      </c>
      <c r="M262" s="1400" t="s">
        <v>900</v>
      </c>
      <c r="N262" s="1403" t="s">
        <v>950</v>
      </c>
      <c r="O262" s="1421" t="s">
        <v>951</v>
      </c>
      <c r="P262" s="1415"/>
      <c r="Q262" s="1418" t="s">
        <v>952</v>
      </c>
    </row>
    <row r="263" spans="1:17" s="824" customFormat="1" ht="39.950000000000003" hidden="1" customHeight="1">
      <c r="A263" s="915" t="s">
        <v>198</v>
      </c>
      <c r="B263" s="916"/>
      <c r="C263" s="847" t="str">
        <f>PrSchr2</f>
        <v>Stage 2:</v>
      </c>
      <c r="D263" s="359">
        <v>10</v>
      </c>
      <c r="E263" s="952" t="str">
        <f t="shared" si="19"/>
        <v>No weak points identified</v>
      </c>
      <c r="F263" s="1201"/>
      <c r="G263" s="1185" t="str">
        <f>IF('Input Form - EingabeMaske'!$C$55="x","OK","")</f>
        <v>OK</v>
      </c>
      <c r="H263" s="969" t="str">
        <f>IF('Input Form - EingabeMaske'!$D$55="x","OK","")</f>
        <v/>
      </c>
      <c r="I263" s="969" t="str">
        <f>IF('Input Form - EingabeMaske'!$E$55="x","OK","")</f>
        <v/>
      </c>
      <c r="J263" s="45" t="str">
        <f>IF('Input Form - EingabeMaske'!$F$55="x","OK","")</f>
        <v/>
      </c>
      <c r="M263" s="1401" t="s">
        <v>900</v>
      </c>
      <c r="N263" s="1404"/>
      <c r="O263" s="1422"/>
      <c r="P263" s="1416"/>
      <c r="Q263" s="1419"/>
    </row>
    <row r="264" spans="1:17" s="824" customFormat="1" ht="39.950000000000003" hidden="1" customHeight="1">
      <c r="A264" s="915" t="s">
        <v>199</v>
      </c>
      <c r="B264" s="916"/>
      <c r="C264" s="847" t="str">
        <f>PrSchr3</f>
        <v>Stage 3</v>
      </c>
      <c r="D264" s="359" t="s">
        <v>514</v>
      </c>
      <c r="E264" s="952" t="s">
        <v>998</v>
      </c>
      <c r="F264" s="1201"/>
      <c r="G264" s="1185" t="str">
        <f>IF('Input Form - EingabeMaske'!$C$56="x","OK","")</f>
        <v>OK</v>
      </c>
      <c r="H264" s="969" t="str">
        <f>IF('Input Form - EingabeMaske'!$D$56="x","OK","")</f>
        <v/>
      </c>
      <c r="I264" s="969" t="str">
        <f>IF('Input Form - EingabeMaske'!$E$56="x","OK","")</f>
        <v/>
      </c>
      <c r="J264" s="45" t="str">
        <f>IF('Input Form - EingabeMaske'!$F$56="x","OK","")</f>
        <v/>
      </c>
      <c r="M264" s="1401" t="s">
        <v>900</v>
      </c>
      <c r="N264" s="1404"/>
      <c r="O264" s="1422"/>
      <c r="P264" s="1416"/>
      <c r="Q264" s="1419"/>
    </row>
    <row r="265" spans="1:17" s="824" customFormat="1" ht="39.950000000000003" hidden="1" customHeight="1">
      <c r="A265" s="915" t="s">
        <v>767</v>
      </c>
      <c r="B265" s="916"/>
      <c r="C265" s="847" t="str">
        <f>PrSchr4</f>
        <v>Stage 4</v>
      </c>
      <c r="D265" s="359" t="s">
        <v>514</v>
      </c>
      <c r="E265" s="952" t="str">
        <f t="shared" si="19"/>
        <v>Enter text</v>
      </c>
      <c r="F265" s="1201"/>
      <c r="G265" s="1185" t="str">
        <f>IF('Input Form - EingabeMaske'!$C$57="x","OK","")</f>
        <v>OK</v>
      </c>
      <c r="H265" s="969" t="str">
        <f>IF('Input Form - EingabeMaske'!$D$57="x","OK","")</f>
        <v/>
      </c>
      <c r="I265" s="969" t="str">
        <f>IF('Input Form - EingabeMaske'!$E$57="x","OK","")</f>
        <v/>
      </c>
      <c r="J265" s="45" t="str">
        <f>IF('Input Form - EingabeMaske'!$F$57="x","OK","")</f>
        <v/>
      </c>
      <c r="M265" s="1401" t="s">
        <v>900</v>
      </c>
      <c r="N265" s="1404"/>
      <c r="O265" s="1422"/>
      <c r="P265" s="1416"/>
      <c r="Q265" s="1419"/>
    </row>
    <row r="266" spans="1:17" s="824" customFormat="1" ht="39.950000000000003" hidden="1" customHeight="1">
      <c r="A266" s="915" t="s">
        <v>768</v>
      </c>
      <c r="B266" s="916"/>
      <c r="C266" s="847" t="str">
        <f>PrSchr5</f>
        <v>Stage 5</v>
      </c>
      <c r="D266" s="359" t="s">
        <v>514</v>
      </c>
      <c r="E266" s="952" t="s">
        <v>998</v>
      </c>
      <c r="F266" s="1201"/>
      <c r="G266" s="1185" t="str">
        <f>IF('Input Form - EingabeMaske'!$C$58="x","OK","")</f>
        <v>OK</v>
      </c>
      <c r="H266" s="969" t="str">
        <f>IF('Input Form - EingabeMaske'!$D$58="x","OK","")</f>
        <v/>
      </c>
      <c r="I266" s="969" t="str">
        <f>IF('Input Form - EingabeMaske'!$E$58="x","OK","")</f>
        <v/>
      </c>
      <c r="J266" s="45" t="str">
        <f>IF('Input Form - EingabeMaske'!$F$58="x","OK","")</f>
        <v/>
      </c>
      <c r="M266" s="1401" t="s">
        <v>900</v>
      </c>
      <c r="N266" s="1404"/>
      <c r="O266" s="1423"/>
      <c r="P266" s="1416"/>
      <c r="Q266" s="1419"/>
    </row>
    <row r="267" spans="1:17" s="824" customFormat="1" ht="15.75" hidden="1" customHeight="1">
      <c r="A267" s="915" t="s">
        <v>769</v>
      </c>
      <c r="B267" s="916"/>
      <c r="C267" s="847" t="str">
        <f>PrSchr6</f>
        <v>Stage 6</v>
      </c>
      <c r="D267" s="359" t="s">
        <v>514</v>
      </c>
      <c r="E267" s="952" t="str">
        <f t="shared" si="19"/>
        <v>Enter text</v>
      </c>
      <c r="F267" s="1201"/>
      <c r="G267" s="1185" t="str">
        <f>IF('Input Form - EingabeMaske'!$C$59="x","OK","")</f>
        <v/>
      </c>
      <c r="H267" s="969" t="str">
        <f>IF('Input Form - EingabeMaske'!$D$59="x","OK","")</f>
        <v/>
      </c>
      <c r="I267" s="969" t="str">
        <f>IF('Input Form - EingabeMaske'!$E$59="x","OK","")</f>
        <v/>
      </c>
      <c r="J267" s="45" t="str">
        <f>IF('Input Form - EingabeMaske'!$F$59="x","OK","")</f>
        <v/>
      </c>
      <c r="M267" s="1401" t="s">
        <v>900</v>
      </c>
      <c r="N267" s="1404"/>
      <c r="O267" s="1316"/>
      <c r="P267" s="1416"/>
      <c r="Q267" s="1419"/>
    </row>
    <row r="268" spans="1:17" s="824" customFormat="1" ht="15.75" hidden="1" customHeight="1">
      <c r="A268" s="915" t="s">
        <v>770</v>
      </c>
      <c r="B268" s="916"/>
      <c r="C268" s="847" t="str">
        <f>PrSchr7</f>
        <v>Stage 7</v>
      </c>
      <c r="D268" s="359" t="s">
        <v>514</v>
      </c>
      <c r="E268" s="952" t="str">
        <f t="shared" si="19"/>
        <v>Enter text</v>
      </c>
      <c r="F268" s="1201"/>
      <c r="G268" s="1185" t="str">
        <f>IF('Input Form - EingabeMaske'!$C$60="x","OK","")</f>
        <v/>
      </c>
      <c r="H268" s="969" t="str">
        <f>IF('Input Form - EingabeMaske'!$D$60="x","OK","")</f>
        <v/>
      </c>
      <c r="I268" s="969" t="str">
        <f>IF('Input Form - EingabeMaske'!$E$60="x","OK","")</f>
        <v/>
      </c>
      <c r="J268" s="45" t="str">
        <f>IF('Input Form - EingabeMaske'!$F$60="x","OK","")</f>
        <v/>
      </c>
      <c r="M268" s="1401" t="s">
        <v>900</v>
      </c>
      <c r="N268" s="1404"/>
      <c r="O268" s="1316"/>
      <c r="P268" s="1416"/>
      <c r="Q268" s="1419"/>
    </row>
    <row r="269" spans="1:17" s="824" customFormat="1" ht="15.75" hidden="1" customHeight="1">
      <c r="A269" s="915" t="s">
        <v>771</v>
      </c>
      <c r="B269" s="916"/>
      <c r="C269" s="847" t="str">
        <f>PrSchr8</f>
        <v>Stage 8</v>
      </c>
      <c r="D269" s="359" t="s">
        <v>514</v>
      </c>
      <c r="E269" s="952" t="str">
        <f t="shared" si="19"/>
        <v>Enter text</v>
      </c>
      <c r="F269" s="1201"/>
      <c r="G269" s="1185" t="str">
        <f>IF('Input Form - EingabeMaske'!$C$61="x","OK","")</f>
        <v/>
      </c>
      <c r="H269" s="969" t="str">
        <f>IF('Input Form - EingabeMaske'!$D$61="x","OK","")</f>
        <v/>
      </c>
      <c r="I269" s="969" t="str">
        <f>IF('Input Form - EingabeMaske'!$E$61="x","OK","")</f>
        <v/>
      </c>
      <c r="J269" s="45" t="str">
        <f>IF('Input Form - EingabeMaske'!$F$61="x","OK","")</f>
        <v/>
      </c>
      <c r="M269" s="1401" t="s">
        <v>900</v>
      </c>
      <c r="N269" s="1404"/>
      <c r="O269" s="1316"/>
      <c r="P269" s="1416"/>
      <c r="Q269" s="1419"/>
    </row>
    <row r="270" spans="1:17" s="824" customFormat="1" ht="15.75" hidden="1" customHeight="1">
      <c r="A270" s="915" t="s">
        <v>772</v>
      </c>
      <c r="B270" s="916"/>
      <c r="C270" s="847" t="str">
        <f>PrSchr9</f>
        <v>Stage 9</v>
      </c>
      <c r="D270" s="359" t="s">
        <v>514</v>
      </c>
      <c r="E270" s="952" t="str">
        <f t="shared" si="19"/>
        <v>Enter text</v>
      </c>
      <c r="F270" s="1201"/>
      <c r="G270" s="1185" t="str">
        <f>IF('Input Form - EingabeMaske'!$C$62="x","OK","")</f>
        <v/>
      </c>
      <c r="H270" s="969" t="str">
        <f>IF('Input Form - EingabeMaske'!$D$62="x","OK","")</f>
        <v/>
      </c>
      <c r="I270" s="969" t="str">
        <f>IF('Input Form - EingabeMaske'!$E$62="x","OK","")</f>
        <v/>
      </c>
      <c r="J270" s="45" t="str">
        <f>IF('Input Form - EingabeMaske'!$F$62="x","OK","")</f>
        <v/>
      </c>
      <c r="M270" s="1401" t="s">
        <v>900</v>
      </c>
      <c r="N270" s="1404"/>
      <c r="O270" s="1316"/>
      <c r="P270" s="1416"/>
      <c r="Q270" s="1419"/>
    </row>
    <row r="271" spans="1:17" s="824" customFormat="1" ht="16.5" hidden="1" customHeight="1" thickBot="1">
      <c r="A271" s="915" t="s">
        <v>773</v>
      </c>
      <c r="B271" s="916"/>
      <c r="C271" s="847" t="str">
        <f>PrSchr10</f>
        <v>Stage 10</v>
      </c>
      <c r="D271" s="359" t="s">
        <v>514</v>
      </c>
      <c r="E271" s="952" t="str">
        <f t="shared" si="19"/>
        <v>Enter text</v>
      </c>
      <c r="F271" s="1201"/>
      <c r="G271" s="1185" t="str">
        <f>IF('Input Form - EingabeMaske'!$C$63="x","OK","")</f>
        <v/>
      </c>
      <c r="H271" s="969" t="str">
        <f>IF('Input Form - EingabeMaske'!$D$63="x","OK","")</f>
        <v/>
      </c>
      <c r="I271" s="969" t="str">
        <f>IF('Input Form - EingabeMaske'!$E$63="x","OK","")</f>
        <v/>
      </c>
      <c r="J271" s="45" t="str">
        <f>IF('Input Form - EingabeMaske'!$F$63="x","OK","")</f>
        <v/>
      </c>
      <c r="M271" s="1402" t="s">
        <v>900</v>
      </c>
      <c r="N271" s="1405"/>
      <c r="O271" s="1323"/>
      <c r="P271" s="1417"/>
      <c r="Q271" s="1420"/>
    </row>
    <row r="272" spans="1:17" s="824" customFormat="1" ht="52.5" customHeight="1" thickBot="1">
      <c r="A272" s="905" t="s">
        <v>122</v>
      </c>
      <c r="B272" s="906">
        <f>'Evaluation-Bewertung'!AB62</f>
        <v>1</v>
      </c>
      <c r="C272" s="907" t="str">
        <f>VLOOKUP(pos(C272),'Language-Sprachen'!$A$200:$G$461,'Language-Sprachen'!$A$3,0)</f>
        <v>How effective is the process being carried out? Effectiveness, efficiency, waste avoidance</v>
      </c>
      <c r="D272" s="1431"/>
      <c r="E272" s="1432"/>
      <c r="F272" s="1198"/>
      <c r="G272" s="962"/>
      <c r="H272" s="15"/>
      <c r="I272" s="15"/>
      <c r="J272" s="51"/>
      <c r="M272" s="1302" t="s">
        <v>900</v>
      </c>
      <c r="N272" s="1320"/>
      <c r="O272" s="1303"/>
      <c r="P272" s="1304"/>
      <c r="Q272" s="1305"/>
    </row>
    <row r="273" spans="1:17" s="824" customFormat="1" ht="20.25" customHeight="1" thickBot="1">
      <c r="A273" s="913" t="s">
        <v>43</v>
      </c>
      <c r="B273" s="914"/>
      <c r="C273" s="864" t="str">
        <f>VLOOKUP(pos(C273),'Language-Sprachen'!$A$200:$G$461,'Language-Sprachen'!$A$3,0)</f>
        <v xml:space="preserve">Are there targets set for the manufacturing process? </v>
      </c>
      <c r="D273" s="864"/>
      <c r="E273" s="864"/>
      <c r="F273" s="1199"/>
      <c r="G273" s="962"/>
      <c r="H273" s="15"/>
      <c r="I273" s="15"/>
      <c r="J273" s="51"/>
      <c r="K273" s="913" t="s">
        <v>43</v>
      </c>
      <c r="M273" s="1310" t="s">
        <v>900</v>
      </c>
      <c r="N273" s="1322"/>
      <c r="O273" s="1311"/>
      <c r="P273" s="1312"/>
      <c r="Q273" s="1313"/>
    </row>
    <row r="274" spans="1:17" s="824" customFormat="1" ht="39.950000000000003" customHeight="1" thickBot="1">
      <c r="A274" s="915" t="s">
        <v>197</v>
      </c>
      <c r="B274" s="916"/>
      <c r="C274" s="847" t="str">
        <f>PrSchr1</f>
        <v>Stage 1: Moldshop Process</v>
      </c>
      <c r="D274" s="359">
        <v>10</v>
      </c>
      <c r="E274" s="1345" t="str">
        <f t="shared" ref="E274:E283" si="20">IF(ISBLANK(D274),$L$13,IF(D274=10,$L$14,$L$15))</f>
        <v>No weak points identified</v>
      </c>
      <c r="F274" s="1201"/>
      <c r="G274" s="1185" t="str">
        <f>IF('Input Form - EingabeMaske'!$C$54="x","OK","")</f>
        <v>OK</v>
      </c>
      <c r="H274" s="969" t="str">
        <f>IF('Input Form - EingabeMaske'!$D$54="x","OK","")</f>
        <v/>
      </c>
      <c r="I274" s="969" t="str">
        <f>IF('Input Form - EingabeMaske'!$E$54="x","OK","")</f>
        <v/>
      </c>
      <c r="J274" s="45" t="str">
        <f>IF('Input Form - EingabeMaske'!$F$54="x","OK","")</f>
        <v/>
      </c>
      <c r="M274" s="1400" t="s">
        <v>900</v>
      </c>
      <c r="N274" s="1403" t="s">
        <v>953</v>
      </c>
      <c r="O274" s="1421" t="s">
        <v>954</v>
      </c>
      <c r="P274" s="1415"/>
      <c r="Q274" s="1418" t="s">
        <v>955</v>
      </c>
    </row>
    <row r="275" spans="1:17" s="824" customFormat="1" ht="39.950000000000003" hidden="1" customHeight="1">
      <c r="A275" s="915" t="s">
        <v>198</v>
      </c>
      <c r="B275" s="916"/>
      <c r="C275" s="847" t="str">
        <f>PrSchr2</f>
        <v>Stage 2:</v>
      </c>
      <c r="D275" s="359">
        <v>10</v>
      </c>
      <c r="E275" s="1345" t="str">
        <f t="shared" si="20"/>
        <v>No weak points identified</v>
      </c>
      <c r="F275" s="1201"/>
      <c r="G275" s="1185" t="str">
        <f>IF('Input Form - EingabeMaske'!$C$55="x","OK","")</f>
        <v>OK</v>
      </c>
      <c r="H275" s="969" t="str">
        <f>IF('Input Form - EingabeMaske'!$D$55="x","OK","")</f>
        <v/>
      </c>
      <c r="I275" s="969" t="str">
        <f>IF('Input Form - EingabeMaske'!$E$55="x","OK","")</f>
        <v/>
      </c>
      <c r="J275" s="45" t="str">
        <f>IF('Input Form - EingabeMaske'!$F$55="x","OK","")</f>
        <v/>
      </c>
      <c r="M275" s="1401" t="s">
        <v>900</v>
      </c>
      <c r="N275" s="1404"/>
      <c r="O275" s="1422"/>
      <c r="P275" s="1416"/>
      <c r="Q275" s="1419"/>
    </row>
    <row r="276" spans="1:17" s="824" customFormat="1" ht="39.950000000000003" hidden="1" customHeight="1">
      <c r="A276" s="915" t="s">
        <v>199</v>
      </c>
      <c r="B276" s="916"/>
      <c r="C276" s="847" t="str">
        <f>PrSchr3</f>
        <v>Stage 3</v>
      </c>
      <c r="D276" s="359" t="s">
        <v>514</v>
      </c>
      <c r="E276" s="1345" t="str">
        <f t="shared" si="20"/>
        <v>Enter text</v>
      </c>
      <c r="F276" s="1201"/>
      <c r="G276" s="1185" t="str">
        <f>IF('Input Form - EingabeMaske'!$C$56="x","OK","")</f>
        <v>OK</v>
      </c>
      <c r="H276" s="969" t="str">
        <f>IF('Input Form - EingabeMaske'!$D$56="x","OK","")</f>
        <v/>
      </c>
      <c r="I276" s="969" t="str">
        <f>IF('Input Form - EingabeMaske'!$E$56="x","OK","")</f>
        <v/>
      </c>
      <c r="J276" s="45" t="str">
        <f>IF('Input Form - EingabeMaske'!$F$56="x","OK","")</f>
        <v/>
      </c>
      <c r="M276" s="1401" t="s">
        <v>900</v>
      </c>
      <c r="N276" s="1404"/>
      <c r="O276" s="1422"/>
      <c r="P276" s="1416"/>
      <c r="Q276" s="1419"/>
    </row>
    <row r="277" spans="1:17" s="824" customFormat="1" ht="39.950000000000003" hidden="1" customHeight="1">
      <c r="A277" s="915" t="s">
        <v>767</v>
      </c>
      <c r="B277" s="1252"/>
      <c r="C277" s="847" t="str">
        <f>PrSchr4</f>
        <v>Stage 4</v>
      </c>
      <c r="D277" s="359" t="s">
        <v>514</v>
      </c>
      <c r="E277" s="1345" t="str">
        <f t="shared" si="20"/>
        <v>Enter text</v>
      </c>
      <c r="F277" s="1201"/>
      <c r="G277" s="1185" t="str">
        <f>IF('Input Form - EingabeMaske'!$C$57="x","OK","")</f>
        <v>OK</v>
      </c>
      <c r="H277" s="969" t="str">
        <f>IF('Input Form - EingabeMaske'!$D$57="x","OK","")</f>
        <v/>
      </c>
      <c r="I277" s="969" t="str">
        <f>IF('Input Form - EingabeMaske'!$E$57="x","OK","")</f>
        <v/>
      </c>
      <c r="J277" s="45" t="str">
        <f>IF('Input Form - EingabeMaske'!$F$57="x","OK","")</f>
        <v/>
      </c>
      <c r="M277" s="1401" t="s">
        <v>900</v>
      </c>
      <c r="N277" s="1404"/>
      <c r="O277" s="1422"/>
      <c r="P277" s="1416"/>
      <c r="Q277" s="1419"/>
    </row>
    <row r="278" spans="1:17" s="824" customFormat="1" ht="39.950000000000003" hidden="1" customHeight="1">
      <c r="A278" s="915" t="s">
        <v>768</v>
      </c>
      <c r="B278" s="1252"/>
      <c r="C278" s="847" t="str">
        <f>PrSchr5</f>
        <v>Stage 5</v>
      </c>
      <c r="D278" s="359" t="s">
        <v>514</v>
      </c>
      <c r="E278" s="1345" t="str">
        <f t="shared" si="20"/>
        <v>Enter text</v>
      </c>
      <c r="F278" s="1201"/>
      <c r="G278" s="1185" t="str">
        <f>IF('Input Form - EingabeMaske'!$C$58="x","OK","")</f>
        <v>OK</v>
      </c>
      <c r="H278" s="969" t="str">
        <f>IF('Input Form - EingabeMaske'!$D$58="x","OK","")</f>
        <v/>
      </c>
      <c r="I278" s="969" t="str">
        <f>IF('Input Form - EingabeMaske'!$E$58="x","OK","")</f>
        <v/>
      </c>
      <c r="J278" s="45" t="str">
        <f>IF('Input Form - EingabeMaske'!$F$58="x","OK","")</f>
        <v/>
      </c>
      <c r="M278" s="1401" t="s">
        <v>900</v>
      </c>
      <c r="N278" s="1404"/>
      <c r="O278" s="1423"/>
      <c r="P278" s="1416"/>
      <c r="Q278" s="1419"/>
    </row>
    <row r="279" spans="1:17" s="824" customFormat="1" ht="15.75" hidden="1" customHeight="1">
      <c r="A279" s="915" t="s">
        <v>769</v>
      </c>
      <c r="B279" s="1252"/>
      <c r="C279" s="847" t="str">
        <f>PrSchr6</f>
        <v>Stage 6</v>
      </c>
      <c r="D279" s="359" t="s">
        <v>514</v>
      </c>
      <c r="E279" s="1345" t="str">
        <f t="shared" si="20"/>
        <v>Enter text</v>
      </c>
      <c r="F279" s="1201"/>
      <c r="G279" s="1185" t="str">
        <f>IF('Input Form - EingabeMaske'!$C$59="x","OK","")</f>
        <v/>
      </c>
      <c r="H279" s="969" t="str">
        <f>IF('Input Form - EingabeMaske'!$D$59="x","OK","")</f>
        <v/>
      </c>
      <c r="I279" s="969" t="str">
        <f>IF('Input Form - EingabeMaske'!$E$59="x","OK","")</f>
        <v/>
      </c>
      <c r="J279" s="45" t="str">
        <f>IF('Input Form - EingabeMaske'!$F$59="x","OK","")</f>
        <v/>
      </c>
      <c r="M279" s="1401" t="s">
        <v>900</v>
      </c>
      <c r="N279" s="1404"/>
      <c r="O279" s="1316"/>
      <c r="P279" s="1416"/>
      <c r="Q279" s="1419"/>
    </row>
    <row r="280" spans="1:17" s="824" customFormat="1" ht="15.75" hidden="1" customHeight="1">
      <c r="A280" s="915" t="s">
        <v>770</v>
      </c>
      <c r="B280" s="1252"/>
      <c r="C280" s="847" t="str">
        <f>PrSchr7</f>
        <v>Stage 7</v>
      </c>
      <c r="D280" s="359" t="s">
        <v>514</v>
      </c>
      <c r="E280" s="1345" t="str">
        <f t="shared" si="20"/>
        <v>Enter text</v>
      </c>
      <c r="F280" s="1201"/>
      <c r="G280" s="1185" t="str">
        <f>IF('Input Form - EingabeMaske'!$C$60="x","OK","")</f>
        <v/>
      </c>
      <c r="H280" s="969" t="str">
        <f>IF('Input Form - EingabeMaske'!$D$60="x","OK","")</f>
        <v/>
      </c>
      <c r="I280" s="969" t="str">
        <f>IF('Input Form - EingabeMaske'!$E$60="x","OK","")</f>
        <v/>
      </c>
      <c r="J280" s="45" t="str">
        <f>IF('Input Form - EingabeMaske'!$F$60="x","OK","")</f>
        <v/>
      </c>
      <c r="M280" s="1401" t="s">
        <v>900</v>
      </c>
      <c r="N280" s="1404"/>
      <c r="O280" s="1316"/>
      <c r="P280" s="1416"/>
      <c r="Q280" s="1419"/>
    </row>
    <row r="281" spans="1:17" s="824" customFormat="1" ht="15.75" hidden="1" customHeight="1">
      <c r="A281" s="915" t="s">
        <v>771</v>
      </c>
      <c r="B281" s="1252"/>
      <c r="C281" s="847" t="str">
        <f>PrSchr8</f>
        <v>Stage 8</v>
      </c>
      <c r="D281" s="359" t="s">
        <v>514</v>
      </c>
      <c r="E281" s="1345" t="str">
        <f t="shared" si="20"/>
        <v>Enter text</v>
      </c>
      <c r="F281" s="1201"/>
      <c r="G281" s="1185" t="str">
        <f>IF('Input Form - EingabeMaske'!$C$61="x","OK","")</f>
        <v/>
      </c>
      <c r="H281" s="969" t="str">
        <f>IF('Input Form - EingabeMaske'!$D$61="x","OK","")</f>
        <v/>
      </c>
      <c r="I281" s="969" t="str">
        <f>IF('Input Form - EingabeMaske'!$E$61="x","OK","")</f>
        <v/>
      </c>
      <c r="J281" s="45" t="str">
        <f>IF('Input Form - EingabeMaske'!$F$61="x","OK","")</f>
        <v/>
      </c>
      <c r="M281" s="1401" t="s">
        <v>900</v>
      </c>
      <c r="N281" s="1404"/>
      <c r="O281" s="1316"/>
      <c r="P281" s="1416"/>
      <c r="Q281" s="1419"/>
    </row>
    <row r="282" spans="1:17" s="824" customFormat="1" ht="15.75" hidden="1" customHeight="1">
      <c r="A282" s="915" t="s">
        <v>772</v>
      </c>
      <c r="B282" s="1252"/>
      <c r="C282" s="847" t="str">
        <f>PrSchr9</f>
        <v>Stage 9</v>
      </c>
      <c r="D282" s="359" t="s">
        <v>514</v>
      </c>
      <c r="E282" s="1345" t="str">
        <f t="shared" si="20"/>
        <v>Enter text</v>
      </c>
      <c r="F282" s="1201"/>
      <c r="G282" s="1185" t="str">
        <f>IF('Input Form - EingabeMaske'!$C$62="x","OK","")</f>
        <v/>
      </c>
      <c r="H282" s="969" t="str">
        <f>IF('Input Form - EingabeMaske'!$D$62="x","OK","")</f>
        <v/>
      </c>
      <c r="I282" s="969" t="str">
        <f>IF('Input Form - EingabeMaske'!$E$62="x","OK","")</f>
        <v/>
      </c>
      <c r="J282" s="45" t="str">
        <f>IF('Input Form - EingabeMaske'!$F$62="x","OK","")</f>
        <v/>
      </c>
      <c r="M282" s="1401" t="s">
        <v>900</v>
      </c>
      <c r="N282" s="1404"/>
      <c r="O282" s="1316"/>
      <c r="P282" s="1416"/>
      <c r="Q282" s="1419"/>
    </row>
    <row r="283" spans="1:17" s="824" customFormat="1" ht="16.5" hidden="1" customHeight="1" thickBot="1">
      <c r="A283" s="915" t="s">
        <v>773</v>
      </c>
      <c r="B283" s="1252"/>
      <c r="C283" s="847" t="str">
        <f>PrSchr10</f>
        <v>Stage 10</v>
      </c>
      <c r="D283" s="359" t="s">
        <v>514</v>
      </c>
      <c r="E283" s="1345" t="str">
        <f t="shared" si="20"/>
        <v>Enter text</v>
      </c>
      <c r="F283" s="1201"/>
      <c r="G283" s="1185" t="str">
        <f>IF('Input Form - EingabeMaske'!$C$63="x","OK","")</f>
        <v/>
      </c>
      <c r="H283" s="969" t="str">
        <f>IF('Input Form - EingabeMaske'!$D$63="x","OK","")</f>
        <v/>
      </c>
      <c r="I283" s="969" t="str">
        <f>IF('Input Form - EingabeMaske'!$E$63="x","OK","")</f>
        <v/>
      </c>
      <c r="J283" s="45" t="str">
        <f>IF('Input Form - EingabeMaske'!$F$63="x","OK","")</f>
        <v/>
      </c>
      <c r="M283" s="1402" t="s">
        <v>900</v>
      </c>
      <c r="N283" s="1405"/>
      <c r="O283" s="1323"/>
      <c r="P283" s="1417"/>
      <c r="Q283" s="1420"/>
    </row>
    <row r="284" spans="1:17" s="824" customFormat="1" ht="30.75" customHeight="1" thickBot="1">
      <c r="A284" s="913" t="s">
        <v>44</v>
      </c>
      <c r="B284" s="914"/>
      <c r="C284" s="864" t="str">
        <f>VLOOKUP(pos(C284),'Language-Sprachen'!$A$200:$G$461,'Language-Sprachen'!$A$3,0)</f>
        <v xml:space="preserve">Is quality and process data collected in a way that allows analysis? </v>
      </c>
      <c r="D284" s="864"/>
      <c r="E284" s="864"/>
      <c r="F284" s="1197"/>
      <c r="G284" s="962"/>
      <c r="H284" s="15"/>
      <c r="I284" s="15"/>
      <c r="J284" s="51"/>
      <c r="K284" s="913" t="s">
        <v>44</v>
      </c>
      <c r="M284" s="1283" t="s">
        <v>900</v>
      </c>
      <c r="N284" s="1324"/>
      <c r="O284" s="1285"/>
      <c r="P284" s="1286"/>
      <c r="Q284" s="1317"/>
    </row>
    <row r="285" spans="1:17" s="824" customFormat="1" ht="39.75" customHeight="1" thickBot="1">
      <c r="A285" s="915" t="s">
        <v>197</v>
      </c>
      <c r="B285" s="916"/>
      <c r="C285" s="847" t="str">
        <f>PrSchr1</f>
        <v>Stage 1: Moldshop Process</v>
      </c>
      <c r="D285" s="359">
        <v>10</v>
      </c>
      <c r="E285" s="1345" t="str">
        <f t="shared" ref="E285:E294" si="21">IF(ISBLANK(D285),$L$13,IF(D285=10,$L$14,$L$15))</f>
        <v>No weak points identified</v>
      </c>
      <c r="F285" s="1201"/>
      <c r="G285" s="1185" t="str">
        <f>IF('Input Form - EingabeMaske'!$C$54="x","OK","")</f>
        <v>OK</v>
      </c>
      <c r="H285" s="969" t="str">
        <f>IF('Input Form - EingabeMaske'!$D$54="x","OK","")</f>
        <v/>
      </c>
      <c r="I285" s="969" t="str">
        <f>IF('Input Form - EingabeMaske'!$E$54="x","OK","")</f>
        <v/>
      </c>
      <c r="J285" s="45" t="str">
        <f>IF('Input Form - EingabeMaske'!$F$54="x","OK","")</f>
        <v/>
      </c>
      <c r="M285" s="1400" t="s">
        <v>900</v>
      </c>
      <c r="N285" s="1403" t="s">
        <v>956</v>
      </c>
      <c r="O285" s="1421" t="s">
        <v>957</v>
      </c>
      <c r="P285" s="1415" t="s">
        <v>958</v>
      </c>
      <c r="Q285" s="1418">
        <v>5010</v>
      </c>
    </row>
    <row r="286" spans="1:17" s="824" customFormat="1" ht="39.950000000000003" hidden="1" customHeight="1">
      <c r="A286" s="915" t="s">
        <v>198</v>
      </c>
      <c r="B286" s="916"/>
      <c r="C286" s="847" t="str">
        <f>PrSchr2</f>
        <v>Stage 2:</v>
      </c>
      <c r="D286" s="359">
        <v>10</v>
      </c>
      <c r="E286" s="1345" t="str">
        <f t="shared" si="21"/>
        <v>No weak points identified</v>
      </c>
      <c r="F286" s="1201"/>
      <c r="G286" s="1185" t="str">
        <f>IF('Input Form - EingabeMaske'!$C$55="x","OK","")</f>
        <v>OK</v>
      </c>
      <c r="H286" s="969" t="str">
        <f>IF('Input Form - EingabeMaske'!$D$55="x","OK","")</f>
        <v/>
      </c>
      <c r="I286" s="969" t="str">
        <f>IF('Input Form - EingabeMaske'!$E$55="x","OK","")</f>
        <v/>
      </c>
      <c r="J286" s="45" t="str">
        <f>IF('Input Form - EingabeMaske'!$F$55="x","OK","")</f>
        <v/>
      </c>
      <c r="M286" s="1401" t="s">
        <v>900</v>
      </c>
      <c r="N286" s="1404"/>
      <c r="O286" s="1422"/>
      <c r="P286" s="1416"/>
      <c r="Q286" s="1419"/>
    </row>
    <row r="287" spans="1:17" s="824" customFormat="1" ht="39.950000000000003" hidden="1" customHeight="1">
      <c r="A287" s="915" t="s">
        <v>199</v>
      </c>
      <c r="B287" s="916"/>
      <c r="C287" s="847" t="str">
        <f>PrSchr3</f>
        <v>Stage 3</v>
      </c>
      <c r="D287" s="359" t="s">
        <v>514</v>
      </c>
      <c r="E287" s="1345" t="str">
        <f t="shared" si="21"/>
        <v>Enter text</v>
      </c>
      <c r="F287" s="1201"/>
      <c r="G287" s="1185" t="str">
        <f>IF('Input Form - EingabeMaske'!$C$56="x","OK","")</f>
        <v>OK</v>
      </c>
      <c r="H287" s="969" t="str">
        <f>IF('Input Form - EingabeMaske'!$D$56="x","OK","")</f>
        <v/>
      </c>
      <c r="I287" s="969" t="str">
        <f>IF('Input Form - EingabeMaske'!$E$56="x","OK","")</f>
        <v/>
      </c>
      <c r="J287" s="45" t="str">
        <f>IF('Input Form - EingabeMaske'!$F$56="x","OK","")</f>
        <v/>
      </c>
      <c r="M287" s="1401" t="s">
        <v>900</v>
      </c>
      <c r="N287" s="1404"/>
      <c r="O287" s="1422"/>
      <c r="P287" s="1416"/>
      <c r="Q287" s="1419"/>
    </row>
    <row r="288" spans="1:17" s="824" customFormat="1" ht="39.950000000000003" hidden="1" customHeight="1">
      <c r="A288" s="915" t="s">
        <v>767</v>
      </c>
      <c r="B288" s="1252"/>
      <c r="C288" s="847" t="str">
        <f>PrSchr4</f>
        <v>Stage 4</v>
      </c>
      <c r="D288" s="359" t="s">
        <v>514</v>
      </c>
      <c r="E288" s="1345" t="str">
        <f t="shared" si="21"/>
        <v>Enter text</v>
      </c>
      <c r="F288" s="1201"/>
      <c r="G288" s="1185" t="str">
        <f>IF('Input Form - EingabeMaske'!$C$57="x","OK","")</f>
        <v>OK</v>
      </c>
      <c r="H288" s="969" t="str">
        <f>IF('Input Form - EingabeMaske'!$D$57="x","OK","")</f>
        <v/>
      </c>
      <c r="I288" s="969" t="str">
        <f>IF('Input Form - EingabeMaske'!$E$57="x","OK","")</f>
        <v/>
      </c>
      <c r="J288" s="45" t="str">
        <f>IF('Input Form - EingabeMaske'!$F$57="x","OK","")</f>
        <v/>
      </c>
      <c r="M288" s="1401" t="s">
        <v>900</v>
      </c>
      <c r="N288" s="1404"/>
      <c r="O288" s="1422"/>
      <c r="P288" s="1416"/>
      <c r="Q288" s="1419"/>
    </row>
    <row r="289" spans="1:17" s="824" customFormat="1" ht="39.950000000000003" hidden="1" customHeight="1">
      <c r="A289" s="915" t="s">
        <v>768</v>
      </c>
      <c r="B289" s="1252"/>
      <c r="C289" s="847" t="str">
        <f>PrSchr5</f>
        <v>Stage 5</v>
      </c>
      <c r="D289" s="359" t="s">
        <v>514</v>
      </c>
      <c r="E289" s="1345" t="str">
        <f t="shared" si="21"/>
        <v>Enter text</v>
      </c>
      <c r="F289" s="1201"/>
      <c r="G289" s="1185" t="str">
        <f>IF('Input Form - EingabeMaske'!$C$58="x","OK","")</f>
        <v>OK</v>
      </c>
      <c r="H289" s="969" t="str">
        <f>IF('Input Form - EingabeMaske'!$D$58="x","OK","")</f>
        <v/>
      </c>
      <c r="I289" s="969" t="str">
        <f>IF('Input Form - EingabeMaske'!$E$58="x","OK","")</f>
        <v/>
      </c>
      <c r="J289" s="45" t="str">
        <f>IF('Input Form - EingabeMaske'!$F$58="x","OK","")</f>
        <v/>
      </c>
      <c r="M289" s="1401" t="s">
        <v>900</v>
      </c>
      <c r="N289" s="1404"/>
      <c r="O289" s="1423"/>
      <c r="P289" s="1416"/>
      <c r="Q289" s="1419"/>
    </row>
    <row r="290" spans="1:17" s="824" customFormat="1" ht="15.75" hidden="1" customHeight="1">
      <c r="A290" s="915" t="s">
        <v>769</v>
      </c>
      <c r="B290" s="1252"/>
      <c r="C290" s="847" t="str">
        <f>PrSchr6</f>
        <v>Stage 6</v>
      </c>
      <c r="D290" s="359" t="s">
        <v>514</v>
      </c>
      <c r="E290" s="1345" t="str">
        <f t="shared" si="21"/>
        <v>Enter text</v>
      </c>
      <c r="F290" s="1201"/>
      <c r="G290" s="1185" t="str">
        <f>IF('Input Form - EingabeMaske'!$C$59="x","OK","")</f>
        <v/>
      </c>
      <c r="H290" s="969" t="str">
        <f>IF('Input Form - EingabeMaske'!$D$59="x","OK","")</f>
        <v/>
      </c>
      <c r="I290" s="969" t="str">
        <f>IF('Input Form - EingabeMaske'!$E$59="x","OK","")</f>
        <v/>
      </c>
      <c r="J290" s="45" t="str">
        <f>IF('Input Form - EingabeMaske'!$F$59="x","OK","")</f>
        <v/>
      </c>
      <c r="M290" s="1401" t="s">
        <v>900</v>
      </c>
      <c r="N290" s="1404"/>
      <c r="O290" s="1316"/>
      <c r="P290" s="1416"/>
      <c r="Q290" s="1419"/>
    </row>
    <row r="291" spans="1:17" s="824" customFormat="1" ht="15.75" hidden="1" customHeight="1">
      <c r="A291" s="915" t="s">
        <v>770</v>
      </c>
      <c r="B291" s="1252"/>
      <c r="C291" s="847" t="str">
        <f>PrSchr7</f>
        <v>Stage 7</v>
      </c>
      <c r="D291" s="359" t="s">
        <v>514</v>
      </c>
      <c r="E291" s="1345" t="str">
        <f t="shared" si="21"/>
        <v>Enter text</v>
      </c>
      <c r="F291" s="1201"/>
      <c r="G291" s="1185" t="str">
        <f>IF('Input Form - EingabeMaske'!$C$60="x","OK","")</f>
        <v/>
      </c>
      <c r="H291" s="969" t="str">
        <f>IF('Input Form - EingabeMaske'!$D$60="x","OK","")</f>
        <v/>
      </c>
      <c r="I291" s="969" t="str">
        <f>IF('Input Form - EingabeMaske'!$E$60="x","OK","")</f>
        <v/>
      </c>
      <c r="J291" s="45" t="str">
        <f>IF('Input Form - EingabeMaske'!$F$60="x","OK","")</f>
        <v/>
      </c>
      <c r="M291" s="1401" t="s">
        <v>900</v>
      </c>
      <c r="N291" s="1404"/>
      <c r="O291" s="1316"/>
      <c r="P291" s="1416"/>
      <c r="Q291" s="1419"/>
    </row>
    <row r="292" spans="1:17" s="824" customFormat="1" ht="15.75" hidden="1" customHeight="1">
      <c r="A292" s="915" t="s">
        <v>771</v>
      </c>
      <c r="B292" s="1252"/>
      <c r="C292" s="847" t="str">
        <f>PrSchr8</f>
        <v>Stage 8</v>
      </c>
      <c r="D292" s="359" t="s">
        <v>514</v>
      </c>
      <c r="E292" s="1345" t="str">
        <f t="shared" si="21"/>
        <v>Enter text</v>
      </c>
      <c r="F292" s="1201"/>
      <c r="G292" s="1185" t="str">
        <f>IF('Input Form - EingabeMaske'!$C$61="x","OK","")</f>
        <v/>
      </c>
      <c r="H292" s="969" t="str">
        <f>IF('Input Form - EingabeMaske'!$D$61="x","OK","")</f>
        <v/>
      </c>
      <c r="I292" s="969" t="str">
        <f>IF('Input Form - EingabeMaske'!$E$61="x","OK","")</f>
        <v/>
      </c>
      <c r="J292" s="45" t="str">
        <f>IF('Input Form - EingabeMaske'!$F$61="x","OK","")</f>
        <v/>
      </c>
      <c r="M292" s="1401" t="s">
        <v>900</v>
      </c>
      <c r="N292" s="1404"/>
      <c r="O292" s="1316"/>
      <c r="P292" s="1416"/>
      <c r="Q292" s="1419"/>
    </row>
    <row r="293" spans="1:17" s="824" customFormat="1" ht="15.75" hidden="1" customHeight="1">
      <c r="A293" s="915" t="s">
        <v>772</v>
      </c>
      <c r="B293" s="1252"/>
      <c r="C293" s="847" t="str">
        <f>PrSchr9</f>
        <v>Stage 9</v>
      </c>
      <c r="D293" s="359" t="s">
        <v>514</v>
      </c>
      <c r="E293" s="1345" t="str">
        <f t="shared" si="21"/>
        <v>Enter text</v>
      </c>
      <c r="F293" s="1201"/>
      <c r="G293" s="1185" t="str">
        <f>IF('Input Form - EingabeMaske'!$C$62="x","OK","")</f>
        <v/>
      </c>
      <c r="H293" s="969" t="str">
        <f>IF('Input Form - EingabeMaske'!$D$62="x","OK","")</f>
        <v/>
      </c>
      <c r="I293" s="969" t="str">
        <f>IF('Input Form - EingabeMaske'!$E$62="x","OK","")</f>
        <v/>
      </c>
      <c r="J293" s="45" t="str">
        <f>IF('Input Form - EingabeMaske'!$F$62="x","OK","")</f>
        <v/>
      </c>
      <c r="M293" s="1401" t="s">
        <v>900</v>
      </c>
      <c r="N293" s="1404"/>
      <c r="O293" s="1316"/>
      <c r="P293" s="1416"/>
      <c r="Q293" s="1419"/>
    </row>
    <row r="294" spans="1:17" s="824" customFormat="1" ht="16.5" hidden="1" customHeight="1" thickBot="1">
      <c r="A294" s="915" t="s">
        <v>773</v>
      </c>
      <c r="B294" s="1252"/>
      <c r="C294" s="847" t="str">
        <f>PrSchr10</f>
        <v>Stage 10</v>
      </c>
      <c r="D294" s="359" t="s">
        <v>514</v>
      </c>
      <c r="E294" s="1345" t="str">
        <f t="shared" si="21"/>
        <v>Enter text</v>
      </c>
      <c r="F294" s="1201"/>
      <c r="G294" s="1185" t="str">
        <f>IF('Input Form - EingabeMaske'!$C$63="x","OK","")</f>
        <v/>
      </c>
      <c r="H294" s="969" t="str">
        <f>IF('Input Form - EingabeMaske'!$D$63="x","OK","")</f>
        <v/>
      </c>
      <c r="I294" s="969" t="str">
        <f>IF('Input Form - EingabeMaske'!$E$63="x","OK","")</f>
        <v/>
      </c>
      <c r="J294" s="45" t="str">
        <f>IF('Input Form - EingabeMaske'!$F$63="x","OK","")</f>
        <v/>
      </c>
      <c r="M294" s="1402" t="s">
        <v>900</v>
      </c>
      <c r="N294" s="1405"/>
      <c r="O294" s="1323"/>
      <c r="P294" s="1417"/>
      <c r="Q294" s="1420"/>
    </row>
    <row r="295" spans="1:17" s="824" customFormat="1" ht="51" customHeight="1" thickBot="1">
      <c r="A295" s="926" t="s">
        <v>123</v>
      </c>
      <c r="B295" s="918" t="s">
        <v>7</v>
      </c>
      <c r="C295" s="924" t="str">
        <f>VLOOKUP(pos(C295),'Language-Sprachen'!$A$200:$G$461,'Language-Sprachen'!$A$3,0)</f>
        <v>In the case of deviations from product and process requirements, are the causes analysed and the corrective actions checked for effectiveness?</v>
      </c>
      <c r="D295" s="924"/>
      <c r="E295" s="924"/>
      <c r="F295" s="1197"/>
      <c r="G295" s="962"/>
      <c r="H295" s="15"/>
      <c r="I295" s="15"/>
      <c r="J295" s="51"/>
      <c r="K295" s="926" t="s">
        <v>123</v>
      </c>
      <c r="M295" s="1283" t="s">
        <v>900</v>
      </c>
      <c r="N295" s="1324"/>
      <c r="O295" s="1285"/>
      <c r="P295" s="1286"/>
      <c r="Q295" s="1317"/>
    </row>
    <row r="296" spans="1:17" s="824" customFormat="1" ht="39.950000000000003" customHeight="1" thickBot="1">
      <c r="A296" s="919" t="s">
        <v>197</v>
      </c>
      <c r="B296" s="1049"/>
      <c r="C296" s="912" t="str">
        <f>PrSchr1</f>
        <v>Stage 1: Moldshop Process</v>
      </c>
      <c r="D296" s="359">
        <v>10</v>
      </c>
      <c r="E296" s="1345" t="str">
        <f t="shared" ref="E296:E305" si="22">IF(ISBLANK(D296),$L$13,IF(D296=10,$L$14,$L$15))</f>
        <v>No weak points identified</v>
      </c>
      <c r="F296" s="1201"/>
      <c r="G296" s="1185" t="str">
        <f>IF('Input Form - EingabeMaske'!$C$54="x","OK","")</f>
        <v>OK</v>
      </c>
      <c r="H296" s="969" t="str">
        <f>IF('Input Form - EingabeMaske'!$D$54="x","OK","")</f>
        <v/>
      </c>
      <c r="I296" s="969" t="str">
        <f>IF('Input Form - EingabeMaske'!$E$54="x","OK","")</f>
        <v/>
      </c>
      <c r="J296" s="45" t="str">
        <f>IF('Input Form - EingabeMaske'!$F$54="x","OK","")</f>
        <v/>
      </c>
      <c r="M296" s="1400" t="s">
        <v>900</v>
      </c>
      <c r="N296" s="1403" t="s">
        <v>959</v>
      </c>
      <c r="O296" s="1421" t="s">
        <v>960</v>
      </c>
      <c r="P296" s="1415" t="s">
        <v>961</v>
      </c>
      <c r="Q296" s="1418" t="s">
        <v>962</v>
      </c>
    </row>
    <row r="297" spans="1:17" s="824" customFormat="1" ht="39.950000000000003" hidden="1" customHeight="1">
      <c r="A297" s="919" t="s">
        <v>198</v>
      </c>
      <c r="B297" s="1049"/>
      <c r="C297" s="912" t="str">
        <f>PrSchr2</f>
        <v>Stage 2:</v>
      </c>
      <c r="D297" s="359">
        <v>10</v>
      </c>
      <c r="E297" s="952" t="str">
        <f t="shared" si="22"/>
        <v>No weak points identified</v>
      </c>
      <c r="F297" s="1201"/>
      <c r="G297" s="1185" t="str">
        <f>IF('Input Form - EingabeMaske'!$C$55="x","OK","")</f>
        <v>OK</v>
      </c>
      <c r="H297" s="969" t="str">
        <f>IF('Input Form - EingabeMaske'!$D$55="x","OK","")</f>
        <v/>
      </c>
      <c r="I297" s="969" t="str">
        <f>IF('Input Form - EingabeMaske'!$E$55="x","OK","")</f>
        <v/>
      </c>
      <c r="J297" s="45" t="str">
        <f>IF('Input Form - EingabeMaske'!$F$55="x","OK","")</f>
        <v/>
      </c>
      <c r="M297" s="1401" t="s">
        <v>900</v>
      </c>
      <c r="N297" s="1404"/>
      <c r="O297" s="1422"/>
      <c r="P297" s="1416"/>
      <c r="Q297" s="1419"/>
    </row>
    <row r="298" spans="1:17" s="824" customFormat="1" ht="39.950000000000003" hidden="1" customHeight="1">
      <c r="A298" s="919" t="s">
        <v>199</v>
      </c>
      <c r="B298" s="1049"/>
      <c r="C298" s="912" t="str">
        <f>PrSchr3</f>
        <v>Stage 3</v>
      </c>
      <c r="D298" s="359" t="s">
        <v>514</v>
      </c>
      <c r="E298" s="952" t="str">
        <f t="shared" si="22"/>
        <v>Enter text</v>
      </c>
      <c r="F298" s="1201"/>
      <c r="G298" s="1185" t="str">
        <f>IF('Input Form - EingabeMaske'!$C$56="x","OK","")</f>
        <v>OK</v>
      </c>
      <c r="H298" s="969" t="str">
        <f>IF('Input Form - EingabeMaske'!$D$56="x","OK","")</f>
        <v/>
      </c>
      <c r="I298" s="969" t="str">
        <f>IF('Input Form - EingabeMaske'!$E$56="x","OK","")</f>
        <v/>
      </c>
      <c r="J298" s="45" t="str">
        <f>IF('Input Form - EingabeMaske'!$F$56="x","OK","")</f>
        <v/>
      </c>
      <c r="M298" s="1401" t="s">
        <v>900</v>
      </c>
      <c r="N298" s="1404"/>
      <c r="O298" s="1422"/>
      <c r="P298" s="1416"/>
      <c r="Q298" s="1419"/>
    </row>
    <row r="299" spans="1:17" s="824" customFormat="1" ht="39.950000000000003" hidden="1" customHeight="1">
      <c r="A299" s="919" t="s">
        <v>767</v>
      </c>
      <c r="B299" s="1049"/>
      <c r="C299" s="847" t="str">
        <f>PrSchr4</f>
        <v>Stage 4</v>
      </c>
      <c r="D299" s="359" t="s">
        <v>514</v>
      </c>
      <c r="E299" s="952" t="str">
        <f t="shared" si="22"/>
        <v>Enter text</v>
      </c>
      <c r="F299" s="1201"/>
      <c r="G299" s="1185" t="str">
        <f>IF('Input Form - EingabeMaske'!$C$57="x","OK","")</f>
        <v>OK</v>
      </c>
      <c r="H299" s="969" t="str">
        <f>IF('Input Form - EingabeMaske'!$D$57="x","OK","")</f>
        <v/>
      </c>
      <c r="I299" s="969" t="str">
        <f>IF('Input Form - EingabeMaske'!$E$57="x","OK","")</f>
        <v/>
      </c>
      <c r="J299" s="45" t="str">
        <f>IF('Input Form - EingabeMaske'!$F$57="x","OK","")</f>
        <v/>
      </c>
      <c r="M299" s="1401" t="s">
        <v>900</v>
      </c>
      <c r="N299" s="1404"/>
      <c r="O299" s="1422"/>
      <c r="P299" s="1416"/>
      <c r="Q299" s="1419"/>
    </row>
    <row r="300" spans="1:17" s="824" customFormat="1" ht="39.950000000000003" hidden="1" customHeight="1">
      <c r="A300" s="919" t="s">
        <v>768</v>
      </c>
      <c r="B300" s="1049"/>
      <c r="C300" s="847" t="str">
        <f>PrSchr5</f>
        <v>Stage 5</v>
      </c>
      <c r="D300" s="359" t="s">
        <v>514</v>
      </c>
      <c r="E300" s="952" t="str">
        <f t="shared" si="22"/>
        <v>Enter text</v>
      </c>
      <c r="F300" s="1201"/>
      <c r="G300" s="1185" t="str">
        <f>IF('Input Form - EingabeMaske'!$C$58="x","OK","")</f>
        <v>OK</v>
      </c>
      <c r="H300" s="969" t="str">
        <f>IF('Input Form - EingabeMaske'!$D$58="x","OK","")</f>
        <v/>
      </c>
      <c r="I300" s="969" t="str">
        <f>IF('Input Form - EingabeMaske'!$E$58="x","OK","")</f>
        <v/>
      </c>
      <c r="J300" s="45" t="str">
        <f>IF('Input Form - EingabeMaske'!$F$58="x","OK","")</f>
        <v/>
      </c>
      <c r="M300" s="1401" t="s">
        <v>900</v>
      </c>
      <c r="N300" s="1404"/>
      <c r="O300" s="1423"/>
      <c r="P300" s="1416"/>
      <c r="Q300" s="1419"/>
    </row>
    <row r="301" spans="1:17" s="824" customFormat="1" ht="15.75" hidden="1" customHeight="1">
      <c r="A301" s="919" t="s">
        <v>769</v>
      </c>
      <c r="B301" s="1049"/>
      <c r="C301" s="847" t="str">
        <f>PrSchr6</f>
        <v>Stage 6</v>
      </c>
      <c r="D301" s="359" t="s">
        <v>514</v>
      </c>
      <c r="E301" s="952" t="str">
        <f t="shared" si="22"/>
        <v>Enter text</v>
      </c>
      <c r="F301" s="1201"/>
      <c r="G301" s="1185" t="str">
        <f>IF('Input Form - EingabeMaske'!$C$59="x","OK","")</f>
        <v/>
      </c>
      <c r="H301" s="969" t="str">
        <f>IF('Input Form - EingabeMaske'!$D$59="x","OK","")</f>
        <v/>
      </c>
      <c r="I301" s="969" t="str">
        <f>IF('Input Form - EingabeMaske'!$E$59="x","OK","")</f>
        <v/>
      </c>
      <c r="J301" s="45" t="str">
        <f>IF('Input Form - EingabeMaske'!$F$59="x","OK","")</f>
        <v/>
      </c>
      <c r="M301" s="1401" t="s">
        <v>900</v>
      </c>
      <c r="N301" s="1404"/>
      <c r="O301" s="1316"/>
      <c r="P301" s="1416"/>
      <c r="Q301" s="1419"/>
    </row>
    <row r="302" spans="1:17" s="824" customFormat="1" ht="15.75" hidden="1" customHeight="1">
      <c r="A302" s="919" t="s">
        <v>770</v>
      </c>
      <c r="B302" s="1049"/>
      <c r="C302" s="847" t="str">
        <f>PrSchr7</f>
        <v>Stage 7</v>
      </c>
      <c r="D302" s="359" t="s">
        <v>514</v>
      </c>
      <c r="E302" s="952" t="str">
        <f t="shared" si="22"/>
        <v>Enter text</v>
      </c>
      <c r="F302" s="1201"/>
      <c r="G302" s="1185" t="str">
        <f>IF('Input Form - EingabeMaske'!$C$60="x","OK","")</f>
        <v/>
      </c>
      <c r="H302" s="969" t="str">
        <f>IF('Input Form - EingabeMaske'!$D$60="x","OK","")</f>
        <v/>
      </c>
      <c r="I302" s="969" t="str">
        <f>IF('Input Form - EingabeMaske'!$E$60="x","OK","")</f>
        <v/>
      </c>
      <c r="J302" s="45" t="str">
        <f>IF('Input Form - EingabeMaske'!$F$60="x","OK","")</f>
        <v/>
      </c>
      <c r="M302" s="1401" t="s">
        <v>900</v>
      </c>
      <c r="N302" s="1404"/>
      <c r="O302" s="1316"/>
      <c r="P302" s="1416"/>
      <c r="Q302" s="1419"/>
    </row>
    <row r="303" spans="1:17" s="824" customFormat="1" ht="15.75" hidden="1" customHeight="1">
      <c r="A303" s="919" t="s">
        <v>771</v>
      </c>
      <c r="B303" s="1049"/>
      <c r="C303" s="847" t="str">
        <f>PrSchr8</f>
        <v>Stage 8</v>
      </c>
      <c r="D303" s="359" t="s">
        <v>514</v>
      </c>
      <c r="E303" s="952" t="str">
        <f t="shared" si="22"/>
        <v>Enter text</v>
      </c>
      <c r="F303" s="1201"/>
      <c r="G303" s="1185" t="str">
        <f>IF('Input Form - EingabeMaske'!$C$61="x","OK","")</f>
        <v/>
      </c>
      <c r="H303" s="969" t="str">
        <f>IF('Input Form - EingabeMaske'!$D$61="x","OK","")</f>
        <v/>
      </c>
      <c r="I303" s="969" t="str">
        <f>IF('Input Form - EingabeMaske'!$E$61="x","OK","")</f>
        <v/>
      </c>
      <c r="J303" s="45" t="str">
        <f>IF('Input Form - EingabeMaske'!$F$61="x","OK","")</f>
        <v/>
      </c>
      <c r="M303" s="1401" t="s">
        <v>900</v>
      </c>
      <c r="N303" s="1404"/>
      <c r="O303" s="1316"/>
      <c r="P303" s="1416"/>
      <c r="Q303" s="1419"/>
    </row>
    <row r="304" spans="1:17" s="824" customFormat="1" ht="15.75" hidden="1" customHeight="1">
      <c r="A304" s="919" t="s">
        <v>772</v>
      </c>
      <c r="B304" s="1049"/>
      <c r="C304" s="847" t="str">
        <f>PrSchr9</f>
        <v>Stage 9</v>
      </c>
      <c r="D304" s="359" t="s">
        <v>514</v>
      </c>
      <c r="E304" s="952" t="str">
        <f t="shared" si="22"/>
        <v>Enter text</v>
      </c>
      <c r="F304" s="1201"/>
      <c r="G304" s="1185" t="str">
        <f>IF('Input Form - EingabeMaske'!$C$62="x","OK","")</f>
        <v/>
      </c>
      <c r="H304" s="969" t="str">
        <f>IF('Input Form - EingabeMaske'!$D$62="x","OK","")</f>
        <v/>
      </c>
      <c r="I304" s="969" t="str">
        <f>IF('Input Form - EingabeMaske'!$E$62="x","OK","")</f>
        <v/>
      </c>
      <c r="J304" s="45" t="str">
        <f>IF('Input Form - EingabeMaske'!$F$62="x","OK","")</f>
        <v/>
      </c>
      <c r="M304" s="1401" t="s">
        <v>900</v>
      </c>
      <c r="N304" s="1404"/>
      <c r="O304" s="1316"/>
      <c r="P304" s="1416"/>
      <c r="Q304" s="1419"/>
    </row>
    <row r="305" spans="1:17" s="824" customFormat="1" ht="16.5" hidden="1" customHeight="1" thickBot="1">
      <c r="A305" s="919" t="s">
        <v>773</v>
      </c>
      <c r="B305" s="1049"/>
      <c r="C305" s="847" t="str">
        <f>PrSchr10</f>
        <v>Stage 10</v>
      </c>
      <c r="D305" s="359" t="s">
        <v>514</v>
      </c>
      <c r="E305" s="952" t="str">
        <f t="shared" si="22"/>
        <v>Enter text</v>
      </c>
      <c r="F305" s="1201"/>
      <c r="G305" s="1185" t="str">
        <f>IF('Input Form - EingabeMaske'!$C$63="x","OK","")</f>
        <v/>
      </c>
      <c r="H305" s="969" t="str">
        <f>IF('Input Form - EingabeMaske'!$D$63="x","OK","")</f>
        <v/>
      </c>
      <c r="I305" s="969" t="str">
        <f>IF('Input Form - EingabeMaske'!$E$63="x","OK","")</f>
        <v/>
      </c>
      <c r="J305" s="45" t="str">
        <f>IF('Input Form - EingabeMaske'!$F$63="x","OK","")</f>
        <v/>
      </c>
      <c r="M305" s="1402" t="s">
        <v>900</v>
      </c>
      <c r="N305" s="1405"/>
      <c r="O305" s="1323"/>
      <c r="P305" s="1417"/>
      <c r="Q305" s="1420"/>
    </row>
    <row r="306" spans="1:17" s="824" customFormat="1" ht="17.25" customHeight="1" thickBot="1">
      <c r="A306" s="922" t="s">
        <v>124</v>
      </c>
      <c r="B306" s="923"/>
      <c r="C306" s="924" t="str">
        <f>VLOOKUP(pos(C306),'Language-Sprachen'!$A$200:$G$461,'Language-Sprachen'!$A$3,0)</f>
        <v>Are processes and products audited regularly?</v>
      </c>
      <c r="D306" s="924"/>
      <c r="E306" s="924"/>
      <c r="F306" s="1197"/>
      <c r="G306" s="962"/>
      <c r="H306" s="15"/>
      <c r="I306" s="15"/>
      <c r="J306" s="51"/>
      <c r="K306" s="922" t="s">
        <v>124</v>
      </c>
      <c r="M306" s="1283" t="s">
        <v>900</v>
      </c>
      <c r="N306" s="1324"/>
      <c r="O306" s="1285"/>
      <c r="P306" s="1286"/>
      <c r="Q306" s="1317"/>
    </row>
    <row r="307" spans="1:17" s="824" customFormat="1" ht="46.5" customHeight="1" thickBot="1">
      <c r="A307" s="911" t="s">
        <v>197</v>
      </c>
      <c r="B307" s="925"/>
      <c r="C307" s="912" t="str">
        <f>PrSchr1</f>
        <v>Stage 1: Moldshop Process</v>
      </c>
      <c r="D307" s="359">
        <v>10</v>
      </c>
      <c r="E307" s="952" t="s">
        <v>999</v>
      </c>
      <c r="F307" s="1201"/>
      <c r="G307" s="1185" t="str">
        <f>IF('Input Form - EingabeMaske'!$C$54="x","OK","")</f>
        <v>OK</v>
      </c>
      <c r="H307" s="969" t="str">
        <f>IF('Input Form - EingabeMaske'!$D$54="x","OK","")</f>
        <v/>
      </c>
      <c r="I307" s="969" t="str">
        <f>IF('Input Form - EingabeMaske'!$E$54="x","OK","")</f>
        <v/>
      </c>
      <c r="J307" s="45" t="str">
        <f>IF('Input Form - EingabeMaske'!$F$54="x","OK","")</f>
        <v/>
      </c>
      <c r="M307" s="1400" t="s">
        <v>900</v>
      </c>
      <c r="N307" s="1403" t="s">
        <v>963</v>
      </c>
      <c r="O307" s="1421" t="s">
        <v>964</v>
      </c>
      <c r="P307" s="1415" t="s">
        <v>965</v>
      </c>
      <c r="Q307" s="1418">
        <v>4130</v>
      </c>
    </row>
    <row r="308" spans="1:17" s="824" customFormat="1" ht="46.5" hidden="1" customHeight="1">
      <c r="A308" s="911" t="s">
        <v>198</v>
      </c>
      <c r="B308" s="925"/>
      <c r="C308" s="912" t="str">
        <f>PrSchr2</f>
        <v>Stage 2:</v>
      </c>
      <c r="D308" s="359">
        <v>10</v>
      </c>
      <c r="E308" s="952" t="s">
        <v>999</v>
      </c>
      <c r="F308" s="1201"/>
      <c r="G308" s="1185" t="str">
        <f>IF('Input Form - EingabeMaske'!$C$55="x","OK","")</f>
        <v>OK</v>
      </c>
      <c r="H308" s="969" t="str">
        <f>IF('Input Form - EingabeMaske'!$D$55="x","OK","")</f>
        <v/>
      </c>
      <c r="I308" s="969" t="str">
        <f>IF('Input Form - EingabeMaske'!$E$55="x","OK","")</f>
        <v/>
      </c>
      <c r="J308" s="45" t="str">
        <f>IF('Input Form - EingabeMaske'!$F$55="x","OK","")</f>
        <v/>
      </c>
      <c r="M308" s="1401" t="s">
        <v>900</v>
      </c>
      <c r="N308" s="1404"/>
      <c r="O308" s="1422"/>
      <c r="P308" s="1416"/>
      <c r="Q308" s="1419"/>
    </row>
    <row r="309" spans="1:17" s="824" customFormat="1" ht="46.5" hidden="1" customHeight="1">
      <c r="A309" s="911" t="s">
        <v>199</v>
      </c>
      <c r="B309" s="925"/>
      <c r="C309" s="912" t="str">
        <f>PrSchr3</f>
        <v>Stage 3</v>
      </c>
      <c r="D309" s="359" t="s">
        <v>514</v>
      </c>
      <c r="E309" s="952" t="s">
        <v>999</v>
      </c>
      <c r="F309" s="1201"/>
      <c r="G309" s="1185" t="str">
        <f>IF('Input Form - EingabeMaske'!$C$56="x","OK","")</f>
        <v>OK</v>
      </c>
      <c r="H309" s="969" t="str">
        <f>IF('Input Form - EingabeMaske'!$D$56="x","OK","")</f>
        <v/>
      </c>
      <c r="I309" s="969" t="str">
        <f>IF('Input Form - EingabeMaske'!$E$56="x","OK","")</f>
        <v/>
      </c>
      <c r="J309" s="45" t="str">
        <f>IF('Input Form - EingabeMaske'!$F$56="x","OK","")</f>
        <v/>
      </c>
      <c r="M309" s="1401" t="s">
        <v>900</v>
      </c>
      <c r="N309" s="1404"/>
      <c r="O309" s="1422"/>
      <c r="P309" s="1416"/>
      <c r="Q309" s="1419"/>
    </row>
    <row r="310" spans="1:17" s="824" customFormat="1" ht="46.5" hidden="1" customHeight="1">
      <c r="A310" s="911" t="s">
        <v>767</v>
      </c>
      <c r="B310" s="925"/>
      <c r="C310" s="912" t="str">
        <f>PrSchr4</f>
        <v>Stage 4</v>
      </c>
      <c r="D310" s="359" t="s">
        <v>514</v>
      </c>
      <c r="E310" s="952" t="s">
        <v>999</v>
      </c>
      <c r="F310" s="1201"/>
      <c r="G310" s="1185" t="str">
        <f>IF('Input Form - EingabeMaske'!$C$57="x","OK","")</f>
        <v>OK</v>
      </c>
      <c r="H310" s="969" t="str">
        <f>IF('Input Form - EingabeMaske'!$D$57="x","OK","")</f>
        <v/>
      </c>
      <c r="I310" s="969" t="str">
        <f>IF('Input Form - EingabeMaske'!$E$57="x","OK","")</f>
        <v/>
      </c>
      <c r="J310" s="45" t="str">
        <f>IF('Input Form - EingabeMaske'!$F$57="x","OK","")</f>
        <v/>
      </c>
      <c r="M310" s="1401" t="s">
        <v>900</v>
      </c>
      <c r="N310" s="1404"/>
      <c r="O310" s="1422"/>
      <c r="P310" s="1416"/>
      <c r="Q310" s="1419"/>
    </row>
    <row r="311" spans="1:17" s="824" customFormat="1" ht="46.5" hidden="1" customHeight="1">
      <c r="A311" s="911" t="s">
        <v>768</v>
      </c>
      <c r="B311" s="925"/>
      <c r="C311" s="912" t="str">
        <f>PrSchr5</f>
        <v>Stage 5</v>
      </c>
      <c r="D311" s="359" t="s">
        <v>514</v>
      </c>
      <c r="E311" s="952" t="s">
        <v>999</v>
      </c>
      <c r="F311" s="1201"/>
      <c r="G311" s="1185" t="str">
        <f>IF('Input Form - EingabeMaske'!$C$58="x","OK","")</f>
        <v>OK</v>
      </c>
      <c r="H311" s="969" t="str">
        <f>IF('Input Form - EingabeMaske'!$D$58="x","OK","")</f>
        <v/>
      </c>
      <c r="I311" s="969" t="str">
        <f>IF('Input Form - EingabeMaske'!$E$58="x","OK","")</f>
        <v/>
      </c>
      <c r="J311" s="45" t="str">
        <f>IF('Input Form - EingabeMaske'!$F$58="x","OK","")</f>
        <v/>
      </c>
      <c r="M311" s="1401" t="s">
        <v>900</v>
      </c>
      <c r="N311" s="1404"/>
      <c r="O311" s="1423"/>
      <c r="P311" s="1416"/>
      <c r="Q311" s="1419"/>
    </row>
    <row r="312" spans="1:17" s="824" customFormat="1" ht="15.75" hidden="1" customHeight="1">
      <c r="A312" s="911" t="s">
        <v>769</v>
      </c>
      <c r="B312" s="925"/>
      <c r="C312" s="912" t="str">
        <f>PrSchr6</f>
        <v>Stage 6</v>
      </c>
      <c r="D312" s="359" t="s">
        <v>514</v>
      </c>
      <c r="E312" s="952" t="str">
        <f t="shared" ref="E312:E316" si="23">IF(ISBLANK(D312),$L$13,IF(D312=10,$L$14,$L$15))</f>
        <v>Enter text</v>
      </c>
      <c r="F312" s="1201"/>
      <c r="G312" s="1185" t="str">
        <f>IF('Input Form - EingabeMaske'!$C$59="x","OK","")</f>
        <v/>
      </c>
      <c r="H312" s="969" t="str">
        <f>IF('Input Form - EingabeMaske'!$D$59="x","OK","")</f>
        <v/>
      </c>
      <c r="I312" s="969" t="str">
        <f>IF('Input Form - EingabeMaske'!$E$59="x","OK","")</f>
        <v/>
      </c>
      <c r="J312" s="45" t="str">
        <f>IF('Input Form - EingabeMaske'!$F$59="x","OK","")</f>
        <v/>
      </c>
      <c r="M312" s="1401" t="s">
        <v>900</v>
      </c>
      <c r="N312" s="1404"/>
      <c r="O312" s="1316"/>
      <c r="P312" s="1416"/>
      <c r="Q312" s="1419"/>
    </row>
    <row r="313" spans="1:17" s="824" customFormat="1" ht="15.75" hidden="1" customHeight="1">
      <c r="A313" s="911" t="s">
        <v>770</v>
      </c>
      <c r="B313" s="925"/>
      <c r="C313" s="912" t="str">
        <f>PrSchr7</f>
        <v>Stage 7</v>
      </c>
      <c r="D313" s="359" t="s">
        <v>514</v>
      </c>
      <c r="E313" s="952" t="str">
        <f t="shared" si="23"/>
        <v>Enter text</v>
      </c>
      <c r="F313" s="1201"/>
      <c r="G313" s="1185" t="str">
        <f>IF('Input Form - EingabeMaske'!$C$60="x","OK","")</f>
        <v/>
      </c>
      <c r="H313" s="969" t="str">
        <f>IF('Input Form - EingabeMaske'!$D$60="x","OK","")</f>
        <v/>
      </c>
      <c r="I313" s="969" t="str">
        <f>IF('Input Form - EingabeMaske'!$E$60="x","OK","")</f>
        <v/>
      </c>
      <c r="J313" s="45" t="str">
        <f>IF('Input Form - EingabeMaske'!$F$60="x","OK","")</f>
        <v/>
      </c>
      <c r="M313" s="1401" t="s">
        <v>900</v>
      </c>
      <c r="N313" s="1404"/>
      <c r="O313" s="1316"/>
      <c r="P313" s="1416"/>
      <c r="Q313" s="1419"/>
    </row>
    <row r="314" spans="1:17" s="824" customFormat="1" ht="15.75" hidden="1" customHeight="1">
      <c r="A314" s="911" t="s">
        <v>771</v>
      </c>
      <c r="B314" s="925"/>
      <c r="C314" s="912" t="str">
        <f>PrSchr8</f>
        <v>Stage 8</v>
      </c>
      <c r="D314" s="359" t="s">
        <v>514</v>
      </c>
      <c r="E314" s="952" t="str">
        <f t="shared" si="23"/>
        <v>Enter text</v>
      </c>
      <c r="F314" s="1201"/>
      <c r="G314" s="1185" t="str">
        <f>IF('Input Form - EingabeMaske'!$C$61="x","OK","")</f>
        <v/>
      </c>
      <c r="H314" s="969" t="str">
        <f>IF('Input Form - EingabeMaske'!$D$61="x","OK","")</f>
        <v/>
      </c>
      <c r="I314" s="969" t="str">
        <f>IF('Input Form - EingabeMaske'!$E$61="x","OK","")</f>
        <v/>
      </c>
      <c r="J314" s="45" t="str">
        <f>IF('Input Form - EingabeMaske'!$F$61="x","OK","")</f>
        <v/>
      </c>
      <c r="M314" s="1401" t="s">
        <v>900</v>
      </c>
      <c r="N314" s="1404"/>
      <c r="O314" s="1316"/>
      <c r="P314" s="1416"/>
      <c r="Q314" s="1419"/>
    </row>
    <row r="315" spans="1:17" s="824" customFormat="1" ht="15.75" hidden="1" customHeight="1">
      <c r="A315" s="911" t="s">
        <v>772</v>
      </c>
      <c r="B315" s="925"/>
      <c r="C315" s="912" t="str">
        <f>PrSchr9</f>
        <v>Stage 9</v>
      </c>
      <c r="D315" s="359" t="s">
        <v>514</v>
      </c>
      <c r="E315" s="952" t="str">
        <f t="shared" si="23"/>
        <v>Enter text</v>
      </c>
      <c r="F315" s="1201"/>
      <c r="G315" s="1185" t="str">
        <f>IF('Input Form - EingabeMaske'!$C$62="x","OK","")</f>
        <v/>
      </c>
      <c r="H315" s="969" t="str">
        <f>IF('Input Form - EingabeMaske'!$D$62="x","OK","")</f>
        <v/>
      </c>
      <c r="I315" s="969" t="str">
        <f>IF('Input Form - EingabeMaske'!$E$62="x","OK","")</f>
        <v/>
      </c>
      <c r="J315" s="45" t="str">
        <f>IF('Input Form - EingabeMaske'!$F$62="x","OK","")</f>
        <v/>
      </c>
      <c r="M315" s="1401" t="s">
        <v>900</v>
      </c>
      <c r="N315" s="1404"/>
      <c r="O315" s="1316"/>
      <c r="P315" s="1416"/>
      <c r="Q315" s="1419"/>
    </row>
    <row r="316" spans="1:17" s="824" customFormat="1" ht="16.5" hidden="1" customHeight="1" thickBot="1">
      <c r="A316" s="911" t="s">
        <v>773</v>
      </c>
      <c r="B316" s="925"/>
      <c r="C316" s="912" t="str">
        <f>PrSchr10</f>
        <v>Stage 10</v>
      </c>
      <c r="D316" s="359" t="s">
        <v>514</v>
      </c>
      <c r="E316" s="952" t="str">
        <f t="shared" si="23"/>
        <v>Enter text</v>
      </c>
      <c r="F316" s="1201"/>
      <c r="G316" s="1185" t="str">
        <f>IF('Input Form - EingabeMaske'!$C$63="x","OK","")</f>
        <v/>
      </c>
      <c r="H316" s="969" t="str">
        <f>IF('Input Form - EingabeMaske'!$D$63="x","OK","")</f>
        <v/>
      </c>
      <c r="I316" s="969" t="str">
        <f>IF('Input Form - EingabeMaske'!$E$63="x","OK","")</f>
        <v/>
      </c>
      <c r="J316" s="45" t="str">
        <f>IF('Input Form - EingabeMaske'!$F$63="x","OK","")</f>
        <v/>
      </c>
      <c r="M316" s="1402" t="s">
        <v>900</v>
      </c>
      <c r="N316" s="1405"/>
      <c r="O316" s="1323"/>
      <c r="P316" s="1417"/>
      <c r="Q316" s="1420"/>
    </row>
    <row r="317" spans="1:17" s="824" customFormat="1" ht="41.25" customHeight="1" thickBot="1">
      <c r="A317" s="905" t="s">
        <v>125</v>
      </c>
      <c r="B317" s="906">
        <f>'Evaluation-Bewertung'!_es4</f>
        <v>0.95</v>
      </c>
      <c r="C317" s="907" t="str">
        <f>VLOOKUP(pos(C317),'Language-Sprachen'!$A$200:$G$461,'Language-Sprachen'!$A$3,0)</f>
        <v>What should the process produce? (process result / output)</v>
      </c>
      <c r="D317" s="1431"/>
      <c r="E317" s="1432"/>
      <c r="F317" s="1197"/>
      <c r="G317" s="962"/>
      <c r="H317" s="15"/>
      <c r="I317" s="15"/>
      <c r="J317" s="51"/>
      <c r="M317" s="1302" t="s">
        <v>900</v>
      </c>
      <c r="N317" s="1325"/>
      <c r="O317" s="1303"/>
      <c r="P317" s="1304"/>
      <c r="Q317" s="1305"/>
    </row>
    <row r="318" spans="1:17" s="824" customFormat="1" ht="48" customHeight="1" thickBot="1">
      <c r="A318" s="922" t="s">
        <v>126</v>
      </c>
      <c r="B318" s="923"/>
      <c r="C318" s="924" t="str">
        <f>VLOOKUP(pos(C318),'Language-Sprachen'!$A$200:$G$461,'Language-Sprachen'!$A$3,0)</f>
        <v>Do the quantities / production batch sizes meet the needs and are they systematically directed to the next process step?</v>
      </c>
      <c r="D318" s="924"/>
      <c r="E318" s="924"/>
      <c r="F318" s="1197"/>
      <c r="G318" s="962"/>
      <c r="H318" s="15"/>
      <c r="I318" s="15"/>
      <c r="J318" s="51"/>
      <c r="K318" s="922" t="s">
        <v>126</v>
      </c>
      <c r="M318" s="1326" t="s">
        <v>900</v>
      </c>
      <c r="N318" s="1327"/>
      <c r="O318" s="1311"/>
      <c r="P318" s="1328"/>
      <c r="Q318" s="1313"/>
    </row>
    <row r="319" spans="1:17" s="824" customFormat="1" ht="39.950000000000003" customHeight="1" thickBot="1">
      <c r="A319" s="911" t="s">
        <v>197</v>
      </c>
      <c r="B319" s="925"/>
      <c r="C319" s="912" t="str">
        <f>PrSchr1</f>
        <v>Stage 1: Moldshop Process</v>
      </c>
      <c r="D319" s="359">
        <v>10</v>
      </c>
      <c r="E319" s="1345" t="str">
        <f t="shared" ref="E319:E328" si="24">IF(ISBLANK(D319),$L$13,IF(D319=10,$L$14,$L$15))</f>
        <v>No weak points identified</v>
      </c>
      <c r="F319" s="1201"/>
      <c r="G319" s="1185" t="str">
        <f>IF('Input Form - EingabeMaske'!$C$54="x","OK","")</f>
        <v>OK</v>
      </c>
      <c r="H319" s="969" t="str">
        <f>IF('Input Form - EingabeMaske'!$D$54="x","OK","")</f>
        <v/>
      </c>
      <c r="I319" s="969" t="str">
        <f>IF('Input Form - EingabeMaske'!$E$54="x","OK","")</f>
        <v/>
      </c>
      <c r="J319" s="45" t="str">
        <f>IF('Input Form - EingabeMaske'!$F$54="x","OK","")</f>
        <v/>
      </c>
      <c r="M319" s="1400" t="s">
        <v>900</v>
      </c>
      <c r="N319" s="1403" t="s">
        <v>966</v>
      </c>
      <c r="O319" s="1421" t="s">
        <v>967</v>
      </c>
      <c r="P319" s="1415" t="s">
        <v>968</v>
      </c>
      <c r="Q319" s="1418">
        <v>4100</v>
      </c>
    </row>
    <row r="320" spans="1:17" s="824" customFormat="1" ht="39.950000000000003" hidden="1" customHeight="1">
      <c r="A320" s="911" t="s">
        <v>198</v>
      </c>
      <c r="B320" s="925"/>
      <c r="C320" s="912" t="str">
        <f>PrSchr2</f>
        <v>Stage 2:</v>
      </c>
      <c r="D320" s="359">
        <v>10</v>
      </c>
      <c r="E320" s="1345" t="str">
        <f t="shared" si="24"/>
        <v>No weak points identified</v>
      </c>
      <c r="F320" s="1201"/>
      <c r="G320" s="1185" t="str">
        <f>IF('Input Form - EingabeMaske'!$C$55="x","OK","")</f>
        <v>OK</v>
      </c>
      <c r="H320" s="969" t="str">
        <f>IF('Input Form - EingabeMaske'!$D$55="x","OK","")</f>
        <v/>
      </c>
      <c r="I320" s="969" t="str">
        <f>IF('Input Form - EingabeMaske'!$E$55="x","OK","")</f>
        <v/>
      </c>
      <c r="J320" s="45" t="str">
        <f>IF('Input Form - EingabeMaske'!$F$55="x","OK","")</f>
        <v/>
      </c>
      <c r="M320" s="1401" t="s">
        <v>900</v>
      </c>
      <c r="N320" s="1404"/>
      <c r="O320" s="1422"/>
      <c r="P320" s="1416"/>
      <c r="Q320" s="1419"/>
    </row>
    <row r="321" spans="1:17" s="824" customFormat="1" ht="39.950000000000003" hidden="1" customHeight="1">
      <c r="A321" s="911" t="s">
        <v>199</v>
      </c>
      <c r="B321" s="925"/>
      <c r="C321" s="912" t="str">
        <f>PrSchr3</f>
        <v>Stage 3</v>
      </c>
      <c r="D321" s="359" t="s">
        <v>514</v>
      </c>
      <c r="E321" s="1345" t="str">
        <f t="shared" si="24"/>
        <v>Enter text</v>
      </c>
      <c r="F321" s="1201"/>
      <c r="G321" s="1185" t="str">
        <f>IF('Input Form - EingabeMaske'!$C$56="x","OK","")</f>
        <v>OK</v>
      </c>
      <c r="H321" s="969" t="str">
        <f>IF('Input Form - EingabeMaske'!$D$56="x","OK","")</f>
        <v/>
      </c>
      <c r="I321" s="969" t="str">
        <f>IF('Input Form - EingabeMaske'!$E$56="x","OK","")</f>
        <v/>
      </c>
      <c r="J321" s="45" t="str">
        <f>IF('Input Form - EingabeMaske'!$F$56="x","OK","")</f>
        <v/>
      </c>
      <c r="M321" s="1401" t="s">
        <v>900</v>
      </c>
      <c r="N321" s="1404"/>
      <c r="O321" s="1422"/>
      <c r="P321" s="1416"/>
      <c r="Q321" s="1419"/>
    </row>
    <row r="322" spans="1:17" s="824" customFormat="1" ht="39.950000000000003" hidden="1" customHeight="1">
      <c r="A322" s="911" t="s">
        <v>767</v>
      </c>
      <c r="B322" s="925"/>
      <c r="C322" s="912" t="str">
        <f>PrSchr4</f>
        <v>Stage 4</v>
      </c>
      <c r="D322" s="359" t="s">
        <v>514</v>
      </c>
      <c r="E322" s="1345" t="str">
        <f t="shared" si="24"/>
        <v>Enter text</v>
      </c>
      <c r="F322" s="1201"/>
      <c r="G322" s="1185" t="str">
        <f>IF('Input Form - EingabeMaske'!$C$57="x","OK","")</f>
        <v>OK</v>
      </c>
      <c r="H322" s="969" t="str">
        <f>IF('Input Form - EingabeMaske'!$D$57="x","OK","")</f>
        <v/>
      </c>
      <c r="I322" s="969" t="str">
        <f>IF('Input Form - EingabeMaske'!$E$57="x","OK","")</f>
        <v/>
      </c>
      <c r="J322" s="45" t="str">
        <f>IF('Input Form - EingabeMaske'!$F$57="x","OK","")</f>
        <v/>
      </c>
      <c r="M322" s="1401" t="s">
        <v>900</v>
      </c>
      <c r="N322" s="1404"/>
      <c r="O322" s="1422"/>
      <c r="P322" s="1416"/>
      <c r="Q322" s="1419"/>
    </row>
    <row r="323" spans="1:17" s="824" customFormat="1" ht="39.950000000000003" hidden="1" customHeight="1">
      <c r="A323" s="911" t="s">
        <v>768</v>
      </c>
      <c r="B323" s="925"/>
      <c r="C323" s="912" t="str">
        <f>PrSchr5</f>
        <v>Stage 5</v>
      </c>
      <c r="D323" s="359" t="s">
        <v>514</v>
      </c>
      <c r="E323" s="1345" t="str">
        <f t="shared" si="24"/>
        <v>Enter text</v>
      </c>
      <c r="F323" s="1201"/>
      <c r="G323" s="1185" t="str">
        <f>IF('Input Form - EingabeMaske'!$C$58="x","OK","")</f>
        <v>OK</v>
      </c>
      <c r="H323" s="969" t="str">
        <f>IF('Input Form - EingabeMaske'!$D$58="x","OK","")</f>
        <v/>
      </c>
      <c r="I323" s="969" t="str">
        <f>IF('Input Form - EingabeMaske'!$E$58="x","OK","")</f>
        <v/>
      </c>
      <c r="J323" s="45" t="str">
        <f>IF('Input Form - EingabeMaske'!$F$58="x","OK","")</f>
        <v/>
      </c>
      <c r="M323" s="1401" t="s">
        <v>900</v>
      </c>
      <c r="N323" s="1404"/>
      <c r="O323" s="1423"/>
      <c r="P323" s="1416"/>
      <c r="Q323" s="1419"/>
    </row>
    <row r="324" spans="1:17" s="824" customFormat="1" ht="15.75" hidden="1" customHeight="1">
      <c r="A324" s="911" t="s">
        <v>769</v>
      </c>
      <c r="B324" s="925"/>
      <c r="C324" s="912" t="str">
        <f>PrSchr6</f>
        <v>Stage 6</v>
      </c>
      <c r="D324" s="359" t="s">
        <v>514</v>
      </c>
      <c r="E324" s="1345" t="str">
        <f t="shared" si="24"/>
        <v>Enter text</v>
      </c>
      <c r="F324" s="1201"/>
      <c r="G324" s="1185" t="str">
        <f>IF('Input Form - EingabeMaske'!$C$59="x","OK","")</f>
        <v/>
      </c>
      <c r="H324" s="969" t="str">
        <f>IF('Input Form - EingabeMaske'!$D$59="x","OK","")</f>
        <v/>
      </c>
      <c r="I324" s="969" t="str">
        <f>IF('Input Form - EingabeMaske'!$E$59="x","OK","")</f>
        <v/>
      </c>
      <c r="J324" s="45" t="str">
        <f>IF('Input Form - EingabeMaske'!$F$59="x","OK","")</f>
        <v/>
      </c>
      <c r="M324" s="1401" t="s">
        <v>900</v>
      </c>
      <c r="N324" s="1404"/>
      <c r="O324" s="1316"/>
      <c r="P324" s="1416"/>
      <c r="Q324" s="1419"/>
    </row>
    <row r="325" spans="1:17" s="824" customFormat="1" ht="15.75" hidden="1" customHeight="1">
      <c r="A325" s="911" t="s">
        <v>770</v>
      </c>
      <c r="B325" s="925"/>
      <c r="C325" s="912" t="str">
        <f>PrSchr7</f>
        <v>Stage 7</v>
      </c>
      <c r="D325" s="359" t="s">
        <v>514</v>
      </c>
      <c r="E325" s="1345" t="str">
        <f t="shared" si="24"/>
        <v>Enter text</v>
      </c>
      <c r="F325" s="1201"/>
      <c r="G325" s="1185" t="str">
        <f>IF('Input Form - EingabeMaske'!$C$60="x","OK","")</f>
        <v/>
      </c>
      <c r="H325" s="969" t="str">
        <f>IF('Input Form - EingabeMaske'!$D$60="x","OK","")</f>
        <v/>
      </c>
      <c r="I325" s="969" t="str">
        <f>IF('Input Form - EingabeMaske'!$E$60="x","OK","")</f>
        <v/>
      </c>
      <c r="J325" s="45" t="str">
        <f>IF('Input Form - EingabeMaske'!$F$60="x","OK","")</f>
        <v/>
      </c>
      <c r="M325" s="1401" t="s">
        <v>900</v>
      </c>
      <c r="N325" s="1404"/>
      <c r="O325" s="1316"/>
      <c r="P325" s="1416"/>
      <c r="Q325" s="1419"/>
    </row>
    <row r="326" spans="1:17" s="824" customFormat="1" ht="15.75" hidden="1" customHeight="1">
      <c r="A326" s="911" t="s">
        <v>771</v>
      </c>
      <c r="B326" s="925"/>
      <c r="C326" s="912" t="str">
        <f>PrSchr8</f>
        <v>Stage 8</v>
      </c>
      <c r="D326" s="359" t="s">
        <v>514</v>
      </c>
      <c r="E326" s="1345" t="str">
        <f t="shared" si="24"/>
        <v>Enter text</v>
      </c>
      <c r="F326" s="1201"/>
      <c r="G326" s="1185" t="str">
        <f>IF('Input Form - EingabeMaske'!$C$61="x","OK","")</f>
        <v/>
      </c>
      <c r="H326" s="969" t="str">
        <f>IF('Input Form - EingabeMaske'!$D$61="x","OK","")</f>
        <v/>
      </c>
      <c r="I326" s="969" t="str">
        <f>IF('Input Form - EingabeMaske'!$E$61="x","OK","")</f>
        <v/>
      </c>
      <c r="J326" s="45" t="str">
        <f>IF('Input Form - EingabeMaske'!$F$61="x","OK","")</f>
        <v/>
      </c>
      <c r="M326" s="1401" t="s">
        <v>900</v>
      </c>
      <c r="N326" s="1404"/>
      <c r="O326" s="1316"/>
      <c r="P326" s="1416"/>
      <c r="Q326" s="1419"/>
    </row>
    <row r="327" spans="1:17" s="824" customFormat="1" ht="15.75" hidden="1" customHeight="1">
      <c r="A327" s="911" t="s">
        <v>772</v>
      </c>
      <c r="B327" s="925"/>
      <c r="C327" s="912" t="str">
        <f>PrSchr9</f>
        <v>Stage 9</v>
      </c>
      <c r="D327" s="359" t="s">
        <v>514</v>
      </c>
      <c r="E327" s="1345" t="str">
        <f t="shared" si="24"/>
        <v>Enter text</v>
      </c>
      <c r="F327" s="1201"/>
      <c r="G327" s="1185" t="str">
        <f>IF('Input Form - EingabeMaske'!$C$62="x","OK","")</f>
        <v/>
      </c>
      <c r="H327" s="969" t="str">
        <f>IF('Input Form - EingabeMaske'!$D$62="x","OK","")</f>
        <v/>
      </c>
      <c r="I327" s="969" t="str">
        <f>IF('Input Form - EingabeMaske'!$E$62="x","OK","")</f>
        <v/>
      </c>
      <c r="J327" s="45" t="str">
        <f>IF('Input Form - EingabeMaske'!$F$62="x","OK","")</f>
        <v/>
      </c>
      <c r="M327" s="1401" t="s">
        <v>900</v>
      </c>
      <c r="N327" s="1404"/>
      <c r="O327" s="1316"/>
      <c r="P327" s="1416"/>
      <c r="Q327" s="1419"/>
    </row>
    <row r="328" spans="1:17" s="824" customFormat="1" ht="16.5" hidden="1" customHeight="1" thickBot="1">
      <c r="A328" s="911" t="s">
        <v>773</v>
      </c>
      <c r="B328" s="925"/>
      <c r="C328" s="912" t="str">
        <f>PrSchr10</f>
        <v>Stage 10</v>
      </c>
      <c r="D328" s="359" t="s">
        <v>514</v>
      </c>
      <c r="E328" s="1345" t="str">
        <f t="shared" si="24"/>
        <v>Enter text</v>
      </c>
      <c r="F328" s="1201"/>
      <c r="G328" s="1185" t="str">
        <f>IF('Input Form - EingabeMaske'!$C$63="x","OK","")</f>
        <v/>
      </c>
      <c r="H328" s="969" t="str">
        <f>IF('Input Form - EingabeMaske'!$D$63="x","OK","")</f>
        <v/>
      </c>
      <c r="I328" s="969" t="str">
        <f>IF('Input Form - EingabeMaske'!$E$63="x","OK","")</f>
        <v/>
      </c>
      <c r="J328" s="45" t="str">
        <f>IF('Input Form - EingabeMaske'!$F$63="x","OK","")</f>
        <v/>
      </c>
      <c r="M328" s="1402" t="s">
        <v>900</v>
      </c>
      <c r="N328" s="1405"/>
      <c r="O328" s="1323"/>
      <c r="P328" s="1417"/>
      <c r="Q328" s="1420"/>
    </row>
    <row r="329" spans="1:17" s="824" customFormat="1" ht="67.5" customHeight="1" thickBot="1">
      <c r="A329" s="913" t="s">
        <v>45</v>
      </c>
      <c r="B329" s="914"/>
      <c r="C329" s="864" t="str">
        <f>VLOOKUP(pos(C329),'Language-Sprachen'!$A$200:$G$461,'Language-Sprachen'!$A$3,0)</f>
        <v>Are products / components stored in an appropriate manner and are transport facilities / packing arrangements suitable for the special characteristics of the products / components?</v>
      </c>
      <c r="D329" s="864"/>
      <c r="E329" s="864"/>
      <c r="F329" s="1197"/>
      <c r="G329" s="962"/>
      <c r="H329" s="15"/>
      <c r="I329" s="15"/>
      <c r="J329" s="51"/>
      <c r="K329" s="913" t="s">
        <v>45</v>
      </c>
      <c r="M329" s="1283" t="s">
        <v>900</v>
      </c>
      <c r="N329" s="1324"/>
      <c r="O329" s="1285"/>
      <c r="P329" s="1286"/>
      <c r="Q329" s="1317"/>
    </row>
    <row r="330" spans="1:17" s="824" customFormat="1" ht="39.950000000000003" customHeight="1" thickBot="1">
      <c r="A330" s="915" t="s">
        <v>197</v>
      </c>
      <c r="B330" s="916"/>
      <c r="C330" s="847" t="str">
        <f>PrSchr1</f>
        <v>Stage 1: Moldshop Process</v>
      </c>
      <c r="D330" s="359">
        <v>10</v>
      </c>
      <c r="E330" s="1345" t="str">
        <f t="shared" ref="E330:E339" si="25">IF(ISBLANK(D330),$L$13,IF(D330=10,$L$14,$L$15))</f>
        <v>No weak points identified</v>
      </c>
      <c r="F330" s="1201"/>
      <c r="G330" s="1185" t="str">
        <f>IF('Input Form - EingabeMaske'!$C$54="x","OK","")</f>
        <v>OK</v>
      </c>
      <c r="H330" s="969" t="str">
        <f>IF('Input Form - EingabeMaske'!$D$54="x","OK","")</f>
        <v/>
      </c>
      <c r="I330" s="969" t="str">
        <f>IF('Input Form - EingabeMaske'!$E$54="x","OK","")</f>
        <v/>
      </c>
      <c r="J330" s="45" t="str">
        <f>IF('Input Form - EingabeMaske'!$F$54="x","OK","")</f>
        <v/>
      </c>
      <c r="M330" s="1400" t="s">
        <v>900</v>
      </c>
      <c r="N330" s="1403" t="s">
        <v>969</v>
      </c>
      <c r="O330" s="1421" t="s">
        <v>970</v>
      </c>
      <c r="P330" s="1415"/>
      <c r="Q330" s="1418" t="s">
        <v>971</v>
      </c>
    </row>
    <row r="331" spans="1:17" s="824" customFormat="1" ht="39.950000000000003" hidden="1" customHeight="1">
      <c r="A331" s="915" t="s">
        <v>198</v>
      </c>
      <c r="B331" s="916"/>
      <c r="C331" s="847" t="str">
        <f>PrSchr2</f>
        <v>Stage 2:</v>
      </c>
      <c r="D331" s="359">
        <v>10</v>
      </c>
      <c r="E331" s="952" t="s">
        <v>1000</v>
      </c>
      <c r="F331" s="1201"/>
      <c r="G331" s="1185" t="str">
        <f>IF('Input Form - EingabeMaske'!$C$55="x","OK","")</f>
        <v>OK</v>
      </c>
      <c r="H331" s="969" t="str">
        <f>IF('Input Form - EingabeMaske'!$D$55="x","OK","")</f>
        <v/>
      </c>
      <c r="I331" s="969" t="str">
        <f>IF('Input Form - EingabeMaske'!$E$55="x","OK","")</f>
        <v/>
      </c>
      <c r="J331" s="45" t="str">
        <f>IF('Input Form - EingabeMaske'!$F$55="x","OK","")</f>
        <v/>
      </c>
      <c r="M331" s="1401" t="s">
        <v>900</v>
      </c>
      <c r="N331" s="1404"/>
      <c r="O331" s="1422"/>
      <c r="P331" s="1416"/>
      <c r="Q331" s="1419"/>
    </row>
    <row r="332" spans="1:17" s="824" customFormat="1" ht="39.950000000000003" hidden="1" customHeight="1">
      <c r="A332" s="915" t="s">
        <v>199</v>
      </c>
      <c r="B332" s="916"/>
      <c r="C332" s="847" t="str">
        <f>PrSchr3</f>
        <v>Stage 3</v>
      </c>
      <c r="D332" s="359" t="s">
        <v>514</v>
      </c>
      <c r="E332" s="952" t="str">
        <f t="shared" si="25"/>
        <v>Enter text</v>
      </c>
      <c r="F332" s="1201"/>
      <c r="G332" s="1185" t="str">
        <f>IF('Input Form - EingabeMaske'!$C$56="x","OK","")</f>
        <v>OK</v>
      </c>
      <c r="H332" s="969" t="str">
        <f>IF('Input Form - EingabeMaske'!$D$56="x","OK","")</f>
        <v/>
      </c>
      <c r="I332" s="969" t="str">
        <f>IF('Input Form - EingabeMaske'!$E$56="x","OK","")</f>
        <v/>
      </c>
      <c r="J332" s="45" t="str">
        <f>IF('Input Form - EingabeMaske'!$F$56="x","OK","")</f>
        <v/>
      </c>
      <c r="M332" s="1401" t="s">
        <v>900</v>
      </c>
      <c r="N332" s="1404"/>
      <c r="O332" s="1422"/>
      <c r="P332" s="1416"/>
      <c r="Q332" s="1419"/>
    </row>
    <row r="333" spans="1:17" s="824" customFormat="1" ht="39.950000000000003" hidden="1" customHeight="1">
      <c r="A333" s="915" t="s">
        <v>767</v>
      </c>
      <c r="B333" s="1252"/>
      <c r="C333" s="912" t="str">
        <f>PrSchr4</f>
        <v>Stage 4</v>
      </c>
      <c r="D333" s="359" t="s">
        <v>514</v>
      </c>
      <c r="E333" s="952" t="str">
        <f t="shared" si="25"/>
        <v>Enter text</v>
      </c>
      <c r="F333" s="1201"/>
      <c r="G333" s="1185" t="str">
        <f>IF('Input Form - EingabeMaske'!$C$57="x","OK","")</f>
        <v>OK</v>
      </c>
      <c r="H333" s="969" t="str">
        <f>IF('Input Form - EingabeMaske'!$D$57="x","OK","")</f>
        <v/>
      </c>
      <c r="I333" s="969" t="str">
        <f>IF('Input Form - EingabeMaske'!$E$57="x","OK","")</f>
        <v/>
      </c>
      <c r="J333" s="45" t="str">
        <f>IF('Input Form - EingabeMaske'!$F$57="x","OK","")</f>
        <v/>
      </c>
      <c r="M333" s="1401" t="s">
        <v>900</v>
      </c>
      <c r="N333" s="1404"/>
      <c r="O333" s="1422"/>
      <c r="P333" s="1416"/>
      <c r="Q333" s="1419"/>
    </row>
    <row r="334" spans="1:17" s="824" customFormat="1" ht="39.950000000000003" hidden="1" customHeight="1">
      <c r="A334" s="915" t="s">
        <v>768</v>
      </c>
      <c r="B334" s="1252"/>
      <c r="C334" s="912" t="str">
        <f>PrSchr5</f>
        <v>Stage 5</v>
      </c>
      <c r="D334" s="359" t="s">
        <v>514</v>
      </c>
      <c r="E334" s="952" t="s">
        <v>1000</v>
      </c>
      <c r="F334" s="1201"/>
      <c r="G334" s="1185" t="str">
        <f>IF('Input Form - EingabeMaske'!$C$58="x","OK","")</f>
        <v>OK</v>
      </c>
      <c r="H334" s="969" t="str">
        <f>IF('Input Form - EingabeMaske'!$D$58="x","OK","")</f>
        <v/>
      </c>
      <c r="I334" s="969" t="str">
        <f>IF('Input Form - EingabeMaske'!$E$58="x","OK","")</f>
        <v/>
      </c>
      <c r="J334" s="45" t="str">
        <f>IF('Input Form - EingabeMaske'!$F$58="x","OK","")</f>
        <v/>
      </c>
      <c r="M334" s="1401" t="s">
        <v>900</v>
      </c>
      <c r="N334" s="1404"/>
      <c r="O334" s="1423"/>
      <c r="P334" s="1416"/>
      <c r="Q334" s="1419"/>
    </row>
    <row r="335" spans="1:17" s="824" customFormat="1" ht="15.75" hidden="1" customHeight="1">
      <c r="A335" s="915" t="s">
        <v>769</v>
      </c>
      <c r="B335" s="1252"/>
      <c r="C335" s="912" t="str">
        <f>PrSchr6</f>
        <v>Stage 6</v>
      </c>
      <c r="D335" s="359" t="s">
        <v>514</v>
      </c>
      <c r="E335" s="952" t="str">
        <f t="shared" si="25"/>
        <v>Enter text</v>
      </c>
      <c r="F335" s="1201"/>
      <c r="G335" s="1185" t="str">
        <f>IF('Input Form - EingabeMaske'!$C$59="x","OK","")</f>
        <v/>
      </c>
      <c r="H335" s="969" t="str">
        <f>IF('Input Form - EingabeMaske'!$D$59="x","OK","")</f>
        <v/>
      </c>
      <c r="I335" s="969" t="str">
        <f>IF('Input Form - EingabeMaske'!$E$59="x","OK","")</f>
        <v/>
      </c>
      <c r="J335" s="45" t="str">
        <f>IF('Input Form - EingabeMaske'!$F$59="x","OK","")</f>
        <v/>
      </c>
      <c r="M335" s="1401" t="s">
        <v>900</v>
      </c>
      <c r="N335" s="1404"/>
      <c r="O335" s="1316"/>
      <c r="P335" s="1416"/>
      <c r="Q335" s="1419"/>
    </row>
    <row r="336" spans="1:17" s="824" customFormat="1" ht="15.75" hidden="1" customHeight="1">
      <c r="A336" s="915" t="s">
        <v>770</v>
      </c>
      <c r="B336" s="1252"/>
      <c r="C336" s="912" t="str">
        <f>PrSchr7</f>
        <v>Stage 7</v>
      </c>
      <c r="D336" s="359" t="s">
        <v>514</v>
      </c>
      <c r="E336" s="952" t="str">
        <f t="shared" si="25"/>
        <v>Enter text</v>
      </c>
      <c r="F336" s="1201"/>
      <c r="G336" s="1185" t="str">
        <f>IF('Input Form - EingabeMaske'!$C$60="x","OK","")</f>
        <v/>
      </c>
      <c r="H336" s="969" t="str">
        <f>IF('Input Form - EingabeMaske'!$D$60="x","OK","")</f>
        <v/>
      </c>
      <c r="I336" s="969" t="str">
        <f>IF('Input Form - EingabeMaske'!$E$60="x","OK","")</f>
        <v/>
      </c>
      <c r="J336" s="45" t="str">
        <f>IF('Input Form - EingabeMaske'!$F$60="x","OK","")</f>
        <v/>
      </c>
      <c r="M336" s="1401" t="s">
        <v>900</v>
      </c>
      <c r="N336" s="1404"/>
      <c r="O336" s="1316"/>
      <c r="P336" s="1416"/>
      <c r="Q336" s="1419"/>
    </row>
    <row r="337" spans="1:17" s="824" customFormat="1" ht="15.75" hidden="1" customHeight="1">
      <c r="A337" s="915" t="s">
        <v>771</v>
      </c>
      <c r="B337" s="1252"/>
      <c r="C337" s="912" t="str">
        <f>PrSchr8</f>
        <v>Stage 8</v>
      </c>
      <c r="D337" s="359" t="s">
        <v>514</v>
      </c>
      <c r="E337" s="952" t="str">
        <f t="shared" si="25"/>
        <v>Enter text</v>
      </c>
      <c r="F337" s="1201"/>
      <c r="G337" s="1185" t="str">
        <f>IF('Input Form - EingabeMaske'!$C$61="x","OK","")</f>
        <v/>
      </c>
      <c r="H337" s="969" t="str">
        <f>IF('Input Form - EingabeMaske'!$D$61="x","OK","")</f>
        <v/>
      </c>
      <c r="I337" s="969" t="str">
        <f>IF('Input Form - EingabeMaske'!$E$61="x","OK","")</f>
        <v/>
      </c>
      <c r="J337" s="45" t="str">
        <f>IF('Input Form - EingabeMaske'!$F$61="x","OK","")</f>
        <v/>
      </c>
      <c r="M337" s="1401" t="s">
        <v>900</v>
      </c>
      <c r="N337" s="1404"/>
      <c r="O337" s="1316"/>
      <c r="P337" s="1416"/>
      <c r="Q337" s="1419"/>
    </row>
    <row r="338" spans="1:17" s="824" customFormat="1" ht="15.75" hidden="1" customHeight="1">
      <c r="A338" s="915" t="s">
        <v>772</v>
      </c>
      <c r="B338" s="1252"/>
      <c r="C338" s="912" t="str">
        <f>PrSchr9</f>
        <v>Stage 9</v>
      </c>
      <c r="D338" s="359" t="s">
        <v>514</v>
      </c>
      <c r="E338" s="952" t="str">
        <f t="shared" si="25"/>
        <v>Enter text</v>
      </c>
      <c r="F338" s="1201"/>
      <c r="G338" s="1185" t="str">
        <f>IF('Input Form - EingabeMaske'!$C$62="x","OK","")</f>
        <v/>
      </c>
      <c r="H338" s="969" t="str">
        <f>IF('Input Form - EingabeMaske'!$D$62="x","OK","")</f>
        <v/>
      </c>
      <c r="I338" s="969" t="str">
        <f>IF('Input Form - EingabeMaske'!$E$62="x","OK","")</f>
        <v/>
      </c>
      <c r="J338" s="45" t="str">
        <f>IF('Input Form - EingabeMaske'!$F$62="x","OK","")</f>
        <v/>
      </c>
      <c r="M338" s="1401" t="s">
        <v>900</v>
      </c>
      <c r="N338" s="1404"/>
      <c r="O338" s="1316"/>
      <c r="P338" s="1416"/>
      <c r="Q338" s="1419"/>
    </row>
    <row r="339" spans="1:17" s="824" customFormat="1" ht="16.5" hidden="1" customHeight="1" thickBot="1">
      <c r="A339" s="915" t="s">
        <v>773</v>
      </c>
      <c r="B339" s="1252"/>
      <c r="C339" s="912" t="str">
        <f>PrSchr10</f>
        <v>Stage 10</v>
      </c>
      <c r="D339" s="359" t="s">
        <v>514</v>
      </c>
      <c r="E339" s="952" t="str">
        <f t="shared" si="25"/>
        <v>Enter text</v>
      </c>
      <c r="F339" s="1201"/>
      <c r="G339" s="1185" t="str">
        <f>IF('Input Form - EingabeMaske'!$C$63="x","OK","")</f>
        <v/>
      </c>
      <c r="H339" s="969" t="str">
        <f>IF('Input Form - EingabeMaske'!$D$63="x","OK","")</f>
        <v/>
      </c>
      <c r="I339" s="969" t="str">
        <f>IF('Input Form - EingabeMaske'!$E$63="x","OK","")</f>
        <v/>
      </c>
      <c r="J339" s="45" t="str">
        <f>IF('Input Form - EingabeMaske'!$F$63="x","OK","")</f>
        <v/>
      </c>
      <c r="M339" s="1402" t="s">
        <v>900</v>
      </c>
      <c r="N339" s="1405"/>
      <c r="O339" s="1323"/>
      <c r="P339" s="1417"/>
      <c r="Q339" s="1420"/>
    </row>
    <row r="340" spans="1:17" s="824" customFormat="1" ht="21.75" customHeight="1" thickBot="1">
      <c r="A340" s="913" t="s">
        <v>46</v>
      </c>
      <c r="B340" s="914"/>
      <c r="C340" s="864" t="str">
        <f>VLOOKUP(pos(C340),'Language-Sprachen'!$A$200:$G$461,'Language-Sprachen'!$A$3,0)</f>
        <v>Are the necessary records / releases retained?</v>
      </c>
      <c r="D340" s="864"/>
      <c r="E340" s="864"/>
      <c r="F340" s="1197"/>
      <c r="G340" s="962"/>
      <c r="H340" s="15"/>
      <c r="I340" s="15"/>
      <c r="J340" s="51"/>
      <c r="K340" s="913" t="s">
        <v>46</v>
      </c>
      <c r="M340" s="1283" t="s">
        <v>900</v>
      </c>
      <c r="N340" s="1324"/>
      <c r="O340" s="1285"/>
      <c r="P340" s="1286"/>
      <c r="Q340" s="1317"/>
    </row>
    <row r="341" spans="1:17" s="824" customFormat="1" ht="39.950000000000003" customHeight="1" thickBot="1">
      <c r="A341" s="915" t="s">
        <v>197</v>
      </c>
      <c r="B341" s="916"/>
      <c r="C341" s="847" t="str">
        <f>PrSchr1</f>
        <v>Stage 1: Moldshop Process</v>
      </c>
      <c r="D341" s="359">
        <v>8</v>
      </c>
      <c r="E341" s="952" t="s">
        <v>1024</v>
      </c>
      <c r="F341" s="1201"/>
      <c r="G341" s="1185" t="str">
        <f>IF('Input Form - EingabeMaske'!$C$54="x","OK","")</f>
        <v>OK</v>
      </c>
      <c r="H341" s="969" t="str">
        <f>IF('Input Form - EingabeMaske'!$D$54="x","OK","")</f>
        <v/>
      </c>
      <c r="I341" s="969" t="str">
        <f>IF('Input Form - EingabeMaske'!$E$54="x","OK","")</f>
        <v/>
      </c>
      <c r="J341" s="45" t="str">
        <f>IF('Input Form - EingabeMaske'!$F$54="x","OK","")</f>
        <v/>
      </c>
      <c r="M341" s="1400" t="s">
        <v>900</v>
      </c>
      <c r="N341" s="1403" t="s">
        <v>972</v>
      </c>
      <c r="O341" s="1421" t="s">
        <v>973</v>
      </c>
      <c r="P341" s="1406"/>
      <c r="Q341" s="1409"/>
    </row>
    <row r="342" spans="1:17" s="824" customFormat="1" ht="39.950000000000003" hidden="1" customHeight="1">
      <c r="A342" s="915" t="s">
        <v>198</v>
      </c>
      <c r="B342" s="916"/>
      <c r="C342" s="847" t="str">
        <f>PrSchr2</f>
        <v>Stage 2:</v>
      </c>
      <c r="D342" s="359">
        <v>10</v>
      </c>
      <c r="E342" s="952" t="s">
        <v>1001</v>
      </c>
      <c r="F342" s="1201"/>
      <c r="G342" s="1185" t="str">
        <f>IF('Input Form - EingabeMaske'!$C$55="x","OK","")</f>
        <v>OK</v>
      </c>
      <c r="H342" s="969" t="str">
        <f>IF('Input Form - EingabeMaske'!$D$55="x","OK","")</f>
        <v/>
      </c>
      <c r="I342" s="969" t="str">
        <f>IF('Input Form - EingabeMaske'!$E$55="x","OK","")</f>
        <v/>
      </c>
      <c r="J342" s="45" t="str">
        <f>IF('Input Form - EingabeMaske'!$F$55="x","OK","")</f>
        <v/>
      </c>
      <c r="M342" s="1401" t="s">
        <v>900</v>
      </c>
      <c r="N342" s="1404"/>
      <c r="O342" s="1422"/>
      <c r="P342" s="1407"/>
      <c r="Q342" s="1410"/>
    </row>
    <row r="343" spans="1:17" s="824" customFormat="1" ht="39.950000000000003" hidden="1" customHeight="1">
      <c r="A343" s="915" t="s">
        <v>199</v>
      </c>
      <c r="B343" s="916"/>
      <c r="C343" s="847" t="str">
        <f>PrSchr3</f>
        <v>Stage 3</v>
      </c>
      <c r="D343" s="359" t="s">
        <v>514</v>
      </c>
      <c r="E343" s="952"/>
      <c r="F343" s="1201"/>
      <c r="G343" s="1185" t="str">
        <f>IF('Input Form - EingabeMaske'!$C$56="x","OK","")</f>
        <v>OK</v>
      </c>
      <c r="H343" s="969" t="str">
        <f>IF('Input Form - EingabeMaske'!$D$56="x","OK","")</f>
        <v/>
      </c>
      <c r="I343" s="969" t="str">
        <f>IF('Input Form - EingabeMaske'!$E$56="x","OK","")</f>
        <v/>
      </c>
      <c r="J343" s="45" t="str">
        <f>IF('Input Form - EingabeMaske'!$F$56="x","OK","")</f>
        <v/>
      </c>
      <c r="M343" s="1401" t="s">
        <v>900</v>
      </c>
      <c r="N343" s="1404"/>
      <c r="O343" s="1422"/>
      <c r="P343" s="1407"/>
      <c r="Q343" s="1410"/>
    </row>
    <row r="344" spans="1:17" s="824" customFormat="1" ht="39.950000000000003" hidden="1" customHeight="1">
      <c r="A344" s="915" t="s">
        <v>767</v>
      </c>
      <c r="B344" s="1252"/>
      <c r="C344" s="912" t="str">
        <f>PrSchr4</f>
        <v>Stage 4</v>
      </c>
      <c r="D344" s="359" t="s">
        <v>514</v>
      </c>
      <c r="E344" s="952"/>
      <c r="F344" s="1201"/>
      <c r="G344" s="1185" t="str">
        <f>IF('Input Form - EingabeMaske'!$C$57="x","OK","")</f>
        <v>OK</v>
      </c>
      <c r="H344" s="969" t="str">
        <f>IF('Input Form - EingabeMaske'!$D$57="x","OK","")</f>
        <v/>
      </c>
      <c r="I344" s="969" t="str">
        <f>IF('Input Form - EingabeMaske'!$E$57="x","OK","")</f>
        <v/>
      </c>
      <c r="J344" s="45" t="str">
        <f>IF('Input Form - EingabeMaske'!$F$57="x","OK","")</f>
        <v/>
      </c>
      <c r="M344" s="1401" t="s">
        <v>900</v>
      </c>
      <c r="N344" s="1404"/>
      <c r="O344" s="1422"/>
      <c r="P344" s="1407"/>
      <c r="Q344" s="1410"/>
    </row>
    <row r="345" spans="1:17" s="824" customFormat="1" ht="39.950000000000003" hidden="1" customHeight="1">
      <c r="A345" s="915" t="s">
        <v>768</v>
      </c>
      <c r="B345" s="1252"/>
      <c r="C345" s="912" t="str">
        <f>PrSchr5</f>
        <v>Stage 5</v>
      </c>
      <c r="D345" s="359" t="s">
        <v>514</v>
      </c>
      <c r="E345" s="952"/>
      <c r="F345" s="1201"/>
      <c r="G345" s="1185" t="str">
        <f>IF('Input Form - EingabeMaske'!$C$58="x","OK","")</f>
        <v>OK</v>
      </c>
      <c r="H345" s="969" t="str">
        <f>IF('Input Form - EingabeMaske'!$D$58="x","OK","")</f>
        <v/>
      </c>
      <c r="I345" s="969" t="str">
        <f>IF('Input Form - EingabeMaske'!$E$58="x","OK","")</f>
        <v/>
      </c>
      <c r="J345" s="45" t="str">
        <f>IF('Input Form - EingabeMaske'!$F$58="x","OK","")</f>
        <v/>
      </c>
      <c r="M345" s="1401" t="s">
        <v>900</v>
      </c>
      <c r="N345" s="1404"/>
      <c r="O345" s="1423"/>
      <c r="P345" s="1407"/>
      <c r="Q345" s="1410"/>
    </row>
    <row r="346" spans="1:17" s="824" customFormat="1" ht="15.75" hidden="1" customHeight="1">
      <c r="A346" s="915" t="s">
        <v>769</v>
      </c>
      <c r="B346" s="1252"/>
      <c r="C346" s="912" t="str">
        <f>PrSchr6</f>
        <v>Stage 6</v>
      </c>
      <c r="D346" s="359" t="s">
        <v>514</v>
      </c>
      <c r="E346" s="952" t="str">
        <f t="shared" ref="E346:E350" si="26">IF(ISBLANK(D346),$L$13,IF(D346=10,$L$14,$L$15))</f>
        <v>Enter text</v>
      </c>
      <c r="F346" s="1201"/>
      <c r="G346" s="1185" t="str">
        <f>IF('Input Form - EingabeMaske'!$C$59="x","OK","")</f>
        <v/>
      </c>
      <c r="H346" s="969" t="str">
        <f>IF('Input Form - EingabeMaske'!$D$59="x","OK","")</f>
        <v/>
      </c>
      <c r="I346" s="969" t="str">
        <f>IF('Input Form - EingabeMaske'!$E$59="x","OK","")</f>
        <v/>
      </c>
      <c r="J346" s="45" t="str">
        <f>IF('Input Form - EingabeMaske'!$F$59="x","OK","")</f>
        <v/>
      </c>
      <c r="M346" s="1401" t="s">
        <v>900</v>
      </c>
      <c r="N346" s="1404"/>
      <c r="O346" s="1316"/>
      <c r="P346" s="1407"/>
      <c r="Q346" s="1410"/>
    </row>
    <row r="347" spans="1:17" s="824" customFormat="1" ht="15.75" hidden="1" customHeight="1">
      <c r="A347" s="915" t="s">
        <v>770</v>
      </c>
      <c r="B347" s="1252"/>
      <c r="C347" s="912" t="str">
        <f>PrSchr7</f>
        <v>Stage 7</v>
      </c>
      <c r="D347" s="359" t="s">
        <v>514</v>
      </c>
      <c r="E347" s="952" t="str">
        <f t="shared" si="26"/>
        <v>Enter text</v>
      </c>
      <c r="F347" s="1201"/>
      <c r="G347" s="1185" t="str">
        <f>IF('Input Form - EingabeMaske'!$C$60="x","OK","")</f>
        <v/>
      </c>
      <c r="H347" s="969" t="str">
        <f>IF('Input Form - EingabeMaske'!$D$60="x","OK","")</f>
        <v/>
      </c>
      <c r="I347" s="969" t="str">
        <f>IF('Input Form - EingabeMaske'!$E$60="x","OK","")</f>
        <v/>
      </c>
      <c r="J347" s="45" t="str">
        <f>IF('Input Form - EingabeMaske'!$F$60="x","OK","")</f>
        <v/>
      </c>
      <c r="M347" s="1401" t="s">
        <v>900</v>
      </c>
      <c r="N347" s="1404"/>
      <c r="O347" s="1316"/>
      <c r="P347" s="1407"/>
      <c r="Q347" s="1410"/>
    </row>
    <row r="348" spans="1:17" s="824" customFormat="1" ht="15.75" hidden="1" customHeight="1">
      <c r="A348" s="915" t="s">
        <v>771</v>
      </c>
      <c r="B348" s="1252"/>
      <c r="C348" s="912" t="str">
        <f>PrSchr8</f>
        <v>Stage 8</v>
      </c>
      <c r="D348" s="359" t="s">
        <v>514</v>
      </c>
      <c r="E348" s="952" t="str">
        <f t="shared" si="26"/>
        <v>Enter text</v>
      </c>
      <c r="F348" s="1201"/>
      <c r="G348" s="1185" t="str">
        <f>IF('Input Form - EingabeMaske'!$C$61="x","OK","")</f>
        <v/>
      </c>
      <c r="H348" s="969" t="str">
        <f>IF('Input Form - EingabeMaske'!$D$61="x","OK","")</f>
        <v/>
      </c>
      <c r="I348" s="969" t="str">
        <f>IF('Input Form - EingabeMaske'!$E$61="x","OK","")</f>
        <v/>
      </c>
      <c r="J348" s="45" t="str">
        <f>IF('Input Form - EingabeMaske'!$F$61="x","OK","")</f>
        <v/>
      </c>
      <c r="M348" s="1401" t="s">
        <v>900</v>
      </c>
      <c r="N348" s="1404"/>
      <c r="O348" s="1316"/>
      <c r="P348" s="1407"/>
      <c r="Q348" s="1410"/>
    </row>
    <row r="349" spans="1:17" s="824" customFormat="1" ht="15.75" hidden="1" customHeight="1">
      <c r="A349" s="915" t="s">
        <v>772</v>
      </c>
      <c r="B349" s="1252"/>
      <c r="C349" s="912" t="str">
        <f>PrSchr9</f>
        <v>Stage 9</v>
      </c>
      <c r="D349" s="359" t="s">
        <v>514</v>
      </c>
      <c r="E349" s="952" t="str">
        <f t="shared" si="26"/>
        <v>Enter text</v>
      </c>
      <c r="F349" s="1201"/>
      <c r="G349" s="1185" t="str">
        <f>IF('Input Form - EingabeMaske'!$C$62="x","OK","")</f>
        <v/>
      </c>
      <c r="H349" s="969" t="str">
        <f>IF('Input Form - EingabeMaske'!$D$62="x","OK","")</f>
        <v/>
      </c>
      <c r="I349" s="969" t="str">
        <f>IF('Input Form - EingabeMaske'!$E$62="x","OK","")</f>
        <v/>
      </c>
      <c r="J349" s="45" t="str">
        <f>IF('Input Form - EingabeMaske'!$F$62="x","OK","")</f>
        <v/>
      </c>
      <c r="M349" s="1401" t="s">
        <v>900</v>
      </c>
      <c r="N349" s="1404"/>
      <c r="O349" s="1316"/>
      <c r="P349" s="1407"/>
      <c r="Q349" s="1410"/>
    </row>
    <row r="350" spans="1:17" s="824" customFormat="1" ht="16.5" hidden="1" customHeight="1" thickBot="1">
      <c r="A350" s="915" t="s">
        <v>773</v>
      </c>
      <c r="B350" s="1252"/>
      <c r="C350" s="912" t="str">
        <f>PrSchr10</f>
        <v>Stage 10</v>
      </c>
      <c r="D350" s="359" t="s">
        <v>514</v>
      </c>
      <c r="E350" s="952" t="str">
        <f t="shared" si="26"/>
        <v>Enter text</v>
      </c>
      <c r="F350" s="1201"/>
      <c r="G350" s="1185" t="str">
        <f>IF('Input Form - EingabeMaske'!$C$63="x","OK","")</f>
        <v/>
      </c>
      <c r="H350" s="969" t="str">
        <f>IF('Input Form - EingabeMaske'!$D$63="x","OK","")</f>
        <v/>
      </c>
      <c r="I350" s="969" t="str">
        <f>IF('Input Form - EingabeMaske'!$E$63="x","OK","")</f>
        <v/>
      </c>
      <c r="J350" s="45" t="str">
        <f>IF('Input Form - EingabeMaske'!$F$63="x","OK","")</f>
        <v/>
      </c>
      <c r="M350" s="1402" t="s">
        <v>900</v>
      </c>
      <c r="N350" s="1405"/>
      <c r="O350" s="1323"/>
      <c r="P350" s="1408"/>
      <c r="Q350" s="1411"/>
    </row>
    <row r="351" spans="1:17" s="824" customFormat="1" ht="32.25" customHeight="1" thickBot="1">
      <c r="A351" s="926" t="s">
        <v>47</v>
      </c>
      <c r="B351" s="918" t="s">
        <v>7</v>
      </c>
      <c r="C351" s="864" t="str">
        <f>VLOOKUP(pos(C351),'Language-Sprachen'!$A$200:$G$461,'Language-Sprachen'!$A$3,0)</f>
        <v>Are customer requirements met at the delivery of the final product?</v>
      </c>
      <c r="D351" s="864"/>
      <c r="E351" s="864"/>
      <c r="F351" s="1197"/>
      <c r="G351" s="962"/>
      <c r="H351" s="15"/>
      <c r="I351" s="15"/>
      <c r="J351" s="51"/>
      <c r="K351" s="926" t="s">
        <v>47</v>
      </c>
      <c r="M351" s="1283" t="s">
        <v>900</v>
      </c>
      <c r="N351" s="1284"/>
      <c r="O351" s="1285"/>
      <c r="P351" s="1286"/>
      <c r="Q351" s="1317"/>
    </row>
    <row r="352" spans="1:17" s="824" customFormat="1" ht="47.25" customHeight="1" thickBot="1">
      <c r="A352" s="919" t="s">
        <v>197</v>
      </c>
      <c r="B352" s="920"/>
      <c r="C352" s="847" t="str">
        <f>PrSchr1</f>
        <v>Stage 1: Moldshop Process</v>
      </c>
      <c r="D352" s="359">
        <v>10</v>
      </c>
      <c r="E352" s="1345" t="str">
        <f t="shared" ref="E352:E361" si="27">IF(ISBLANK(D352),$L$13,IF(D352=10,$L$14,$L$15))</f>
        <v>No weak points identified</v>
      </c>
      <c r="F352" s="1201"/>
      <c r="G352" s="1185" t="str">
        <f>IF('Input Form - EingabeMaske'!$C$54="x","OK","")</f>
        <v>OK</v>
      </c>
      <c r="H352" s="969" t="str">
        <f>IF('Input Form - EingabeMaske'!$D$54="x","OK","")</f>
        <v/>
      </c>
      <c r="I352" s="969" t="str">
        <f>IF('Input Form - EingabeMaske'!$E$54="x","OK","")</f>
        <v/>
      </c>
      <c r="J352" s="45" t="str">
        <f>IF('Input Form - EingabeMaske'!$F$54="x","OK","")</f>
        <v/>
      </c>
      <c r="M352" s="1400" t="s">
        <v>900</v>
      </c>
      <c r="N352" s="1412" t="s">
        <v>974</v>
      </c>
      <c r="O352" s="1421" t="s">
        <v>975</v>
      </c>
      <c r="P352" s="1406"/>
      <c r="Q352" s="1409"/>
    </row>
    <row r="353" spans="1:17" s="824" customFormat="1" ht="47.25" hidden="1" customHeight="1">
      <c r="A353" s="919" t="s">
        <v>198</v>
      </c>
      <c r="B353" s="920"/>
      <c r="C353" s="847" t="str">
        <f>PrSchr2</f>
        <v>Stage 2:</v>
      </c>
      <c r="D353" s="359">
        <v>10</v>
      </c>
      <c r="E353" s="952" t="str">
        <f t="shared" si="27"/>
        <v>No weak points identified</v>
      </c>
      <c r="F353" s="1201"/>
      <c r="G353" s="1185" t="str">
        <f>IF('Input Form - EingabeMaske'!$C$55="x","OK","")</f>
        <v>OK</v>
      </c>
      <c r="H353" s="969" t="str">
        <f>IF('Input Form - EingabeMaske'!$D$55="x","OK","")</f>
        <v/>
      </c>
      <c r="I353" s="969" t="str">
        <f>IF('Input Form - EingabeMaske'!$E$55="x","OK","")</f>
        <v/>
      </c>
      <c r="J353" s="45" t="str">
        <f>IF('Input Form - EingabeMaske'!$F$55="x","OK","")</f>
        <v/>
      </c>
      <c r="M353" s="1401" t="s">
        <v>900</v>
      </c>
      <c r="N353" s="1413"/>
      <c r="O353" s="1422"/>
      <c r="P353" s="1407"/>
      <c r="Q353" s="1410"/>
    </row>
    <row r="354" spans="1:17" s="824" customFormat="1" ht="47.25" hidden="1" customHeight="1">
      <c r="A354" s="919" t="s">
        <v>199</v>
      </c>
      <c r="B354" s="920"/>
      <c r="C354" s="847" t="str">
        <f>PrSchr3</f>
        <v>Stage 3</v>
      </c>
      <c r="D354" s="359" t="s">
        <v>514</v>
      </c>
      <c r="E354" s="952" t="str">
        <f t="shared" si="27"/>
        <v>Enter text</v>
      </c>
      <c r="F354" s="1201"/>
      <c r="G354" s="1185" t="str">
        <f>IF('Input Form - EingabeMaske'!$C$56="x","OK","")</f>
        <v>OK</v>
      </c>
      <c r="H354" s="969" t="str">
        <f>IF('Input Form - EingabeMaske'!$D$56="x","OK","")</f>
        <v/>
      </c>
      <c r="I354" s="969" t="str">
        <f>IF('Input Form - EingabeMaske'!$E$56="x","OK","")</f>
        <v/>
      </c>
      <c r="J354" s="45" t="str">
        <f>IF('Input Form - EingabeMaske'!$F$56="x","OK","")</f>
        <v/>
      </c>
      <c r="M354" s="1401" t="s">
        <v>900</v>
      </c>
      <c r="N354" s="1413"/>
      <c r="O354" s="1422"/>
      <c r="P354" s="1407"/>
      <c r="Q354" s="1410"/>
    </row>
    <row r="355" spans="1:17" s="824" customFormat="1" ht="47.25" hidden="1" customHeight="1">
      <c r="A355" s="919" t="s">
        <v>767</v>
      </c>
      <c r="B355" s="920"/>
      <c r="C355" s="847" t="str">
        <f>PrSchr4</f>
        <v>Stage 4</v>
      </c>
      <c r="D355" s="359" t="s">
        <v>514</v>
      </c>
      <c r="E355" s="952" t="str">
        <f t="shared" si="27"/>
        <v>Enter text</v>
      </c>
      <c r="F355" s="1201"/>
      <c r="G355" s="1185" t="str">
        <f>IF('Input Form - EingabeMaske'!$C$57="x","OK","")</f>
        <v>OK</v>
      </c>
      <c r="H355" s="969" t="str">
        <f>IF('Input Form - EingabeMaske'!$D$57="x","OK","")</f>
        <v/>
      </c>
      <c r="I355" s="969" t="str">
        <f>IF('Input Form - EingabeMaske'!$E$57="x","OK","")</f>
        <v/>
      </c>
      <c r="J355" s="45" t="str">
        <f>IF('Input Form - EingabeMaske'!$F$57="x","OK","")</f>
        <v/>
      </c>
      <c r="M355" s="1401" t="s">
        <v>900</v>
      </c>
      <c r="N355" s="1413"/>
      <c r="O355" s="1422"/>
      <c r="P355" s="1407"/>
      <c r="Q355" s="1410"/>
    </row>
    <row r="356" spans="1:17" s="824" customFormat="1" ht="47.25" hidden="1" customHeight="1">
      <c r="A356" s="919" t="s">
        <v>768</v>
      </c>
      <c r="B356" s="920"/>
      <c r="C356" s="847" t="str">
        <f>PrSchr5</f>
        <v>Stage 5</v>
      </c>
      <c r="D356" s="359" t="s">
        <v>514</v>
      </c>
      <c r="E356" s="952" t="str">
        <f t="shared" si="27"/>
        <v>Enter text</v>
      </c>
      <c r="F356" s="1201"/>
      <c r="G356" s="1185" t="str">
        <f>IF('Input Form - EingabeMaske'!$C$58="x","OK","")</f>
        <v>OK</v>
      </c>
      <c r="H356" s="969" t="str">
        <f>IF('Input Form - EingabeMaske'!$D$58="x","OK","")</f>
        <v/>
      </c>
      <c r="I356" s="969" t="str">
        <f>IF('Input Form - EingabeMaske'!$E$58="x","OK","")</f>
        <v/>
      </c>
      <c r="J356" s="45" t="str">
        <f>IF('Input Form - EingabeMaske'!$F$58="x","OK","")</f>
        <v/>
      </c>
      <c r="M356" s="1401" t="s">
        <v>900</v>
      </c>
      <c r="N356" s="1413"/>
      <c r="O356" s="1423"/>
      <c r="P356" s="1407"/>
      <c r="Q356" s="1410"/>
    </row>
    <row r="357" spans="1:17" s="824" customFormat="1" ht="15.75" hidden="1" customHeight="1">
      <c r="A357" s="919" t="s">
        <v>769</v>
      </c>
      <c r="B357" s="920"/>
      <c r="C357" s="847" t="str">
        <f>PrSchr6</f>
        <v>Stage 6</v>
      </c>
      <c r="D357" s="359" t="s">
        <v>514</v>
      </c>
      <c r="E357" s="952" t="str">
        <f t="shared" si="27"/>
        <v>Enter text</v>
      </c>
      <c r="F357" s="1201"/>
      <c r="G357" s="1185" t="str">
        <f>IF('Input Form - EingabeMaske'!$C$59="x","OK","")</f>
        <v/>
      </c>
      <c r="H357" s="969" t="str">
        <f>IF('Input Form - EingabeMaske'!$D$59="x","OK","")</f>
        <v/>
      </c>
      <c r="I357" s="969" t="str">
        <f>IF('Input Form - EingabeMaske'!$E$59="x","OK","")</f>
        <v/>
      </c>
      <c r="J357" s="45" t="str">
        <f>IF('Input Form - EingabeMaske'!$F$59="x","OK","")</f>
        <v/>
      </c>
      <c r="M357" s="1401" t="s">
        <v>900</v>
      </c>
      <c r="N357" s="1413"/>
      <c r="O357" s="1316"/>
      <c r="P357" s="1407"/>
      <c r="Q357" s="1410"/>
    </row>
    <row r="358" spans="1:17" s="824" customFormat="1" ht="15.75" hidden="1" customHeight="1">
      <c r="A358" s="919" t="s">
        <v>770</v>
      </c>
      <c r="B358" s="920"/>
      <c r="C358" s="847" t="str">
        <f>PrSchr7</f>
        <v>Stage 7</v>
      </c>
      <c r="D358" s="359" t="s">
        <v>514</v>
      </c>
      <c r="E358" s="952" t="str">
        <f t="shared" si="27"/>
        <v>Enter text</v>
      </c>
      <c r="F358" s="1201"/>
      <c r="G358" s="1185" t="str">
        <f>IF('Input Form - EingabeMaske'!$C$60="x","OK","")</f>
        <v/>
      </c>
      <c r="H358" s="969" t="str">
        <f>IF('Input Form - EingabeMaske'!$D$60="x","OK","")</f>
        <v/>
      </c>
      <c r="I358" s="969" t="str">
        <f>IF('Input Form - EingabeMaske'!$E$60="x","OK","")</f>
        <v/>
      </c>
      <c r="J358" s="45" t="str">
        <f>IF('Input Form - EingabeMaske'!$F$60="x","OK","")</f>
        <v/>
      </c>
      <c r="M358" s="1401" t="s">
        <v>900</v>
      </c>
      <c r="N358" s="1413"/>
      <c r="O358" s="1316"/>
      <c r="P358" s="1407"/>
      <c r="Q358" s="1410"/>
    </row>
    <row r="359" spans="1:17" s="824" customFormat="1" ht="15.75" hidden="1" customHeight="1">
      <c r="A359" s="919" t="s">
        <v>771</v>
      </c>
      <c r="B359" s="920"/>
      <c r="C359" s="847" t="str">
        <f>PrSchr8</f>
        <v>Stage 8</v>
      </c>
      <c r="D359" s="359" t="s">
        <v>514</v>
      </c>
      <c r="E359" s="952" t="str">
        <f t="shared" si="27"/>
        <v>Enter text</v>
      </c>
      <c r="F359" s="1201"/>
      <c r="G359" s="1185" t="str">
        <f>IF('Input Form - EingabeMaske'!$C$61="x","OK","")</f>
        <v/>
      </c>
      <c r="H359" s="969" t="str">
        <f>IF('Input Form - EingabeMaske'!$D$61="x","OK","")</f>
        <v/>
      </c>
      <c r="I359" s="969" t="str">
        <f>IF('Input Form - EingabeMaske'!$E$61="x","OK","")</f>
        <v/>
      </c>
      <c r="J359" s="45" t="str">
        <f>IF('Input Form - EingabeMaske'!$F$61="x","OK","")</f>
        <v/>
      </c>
      <c r="M359" s="1401" t="s">
        <v>900</v>
      </c>
      <c r="N359" s="1413"/>
      <c r="O359" s="1316"/>
      <c r="P359" s="1407"/>
      <c r="Q359" s="1410"/>
    </row>
    <row r="360" spans="1:17" s="824" customFormat="1" ht="15.75" hidden="1" customHeight="1">
      <c r="A360" s="919" t="s">
        <v>772</v>
      </c>
      <c r="B360" s="920"/>
      <c r="C360" s="847" t="str">
        <f>PrSchr9</f>
        <v>Stage 9</v>
      </c>
      <c r="D360" s="359" t="s">
        <v>514</v>
      </c>
      <c r="E360" s="952" t="str">
        <f t="shared" si="27"/>
        <v>Enter text</v>
      </c>
      <c r="F360" s="1201"/>
      <c r="G360" s="1185" t="str">
        <f>IF('Input Form - EingabeMaske'!$C$62="x","OK","")</f>
        <v/>
      </c>
      <c r="H360" s="969" t="str">
        <f>IF('Input Form - EingabeMaske'!$D$62="x","OK","")</f>
        <v/>
      </c>
      <c r="I360" s="969" t="str">
        <f>IF('Input Form - EingabeMaske'!$E$62="x","OK","")</f>
        <v/>
      </c>
      <c r="J360" s="45" t="str">
        <f>IF('Input Form - EingabeMaske'!$F$62="x","OK","")</f>
        <v/>
      </c>
      <c r="M360" s="1401" t="s">
        <v>900</v>
      </c>
      <c r="N360" s="1413"/>
      <c r="O360" s="1316"/>
      <c r="P360" s="1407"/>
      <c r="Q360" s="1410"/>
    </row>
    <row r="361" spans="1:17" s="824" customFormat="1" ht="16.5" hidden="1" customHeight="1" thickBot="1">
      <c r="A361" s="919" t="s">
        <v>773</v>
      </c>
      <c r="B361" s="920"/>
      <c r="C361" s="847" t="str">
        <f>PrSchr10</f>
        <v>Stage 10</v>
      </c>
      <c r="D361" s="359" t="s">
        <v>514</v>
      </c>
      <c r="E361" s="952" t="str">
        <f t="shared" si="27"/>
        <v>Enter text</v>
      </c>
      <c r="F361" s="1201"/>
      <c r="G361" s="1185" t="str">
        <f>IF('Input Form - EingabeMaske'!$C$63="x","OK","")</f>
        <v/>
      </c>
      <c r="H361" s="969" t="str">
        <f>IF('Input Form - EingabeMaske'!$D$63="x","OK","")</f>
        <v/>
      </c>
      <c r="I361" s="969" t="str">
        <f>IF('Input Form - EingabeMaske'!$E$63="x","OK","")</f>
        <v/>
      </c>
      <c r="J361" s="45" t="str">
        <f>IF('Input Form - EingabeMaske'!$F$63="x","OK","")</f>
        <v/>
      </c>
      <c r="M361" s="1402" t="s">
        <v>900</v>
      </c>
      <c r="N361" s="1414"/>
      <c r="O361" s="1323"/>
      <c r="P361" s="1408"/>
      <c r="Q361" s="1411"/>
    </row>
    <row r="362" spans="1:17" s="858" customFormat="1" ht="51.75" thickBot="1">
      <c r="A362" s="891" t="s">
        <v>101</v>
      </c>
      <c r="B362" s="892" t="str">
        <f>'Evaluation-Bewertung'!ek</f>
        <v>n.e.</v>
      </c>
      <c r="C362" s="893" t="str">
        <f>VLOOKUP(pos(C362),'Language-Sprachen'!$A$200:$G$461,'Language-Sprachen'!$A$3,0)</f>
        <v>Customer care / customer satisfaction / service</v>
      </c>
      <c r="D362" s="843" t="str">
        <f>D12</f>
        <v>General</v>
      </c>
      <c r="E362" s="894" t="str">
        <f>L2&amp;" "&amp;'Evaluation-Bewertung'!AB66&amp;"
"&amp;L3&amp;" "&amp;'Evaluation-Bewertung'!AA66&amp;" /  5"</f>
        <v>Questions to be answered: 4
Questions answered: 0 /  5</v>
      </c>
      <c r="F362" s="1197"/>
      <c r="G362" s="1186"/>
      <c r="H362" s="1187"/>
      <c r="I362" s="1187"/>
      <c r="J362" s="1188"/>
      <c r="M362" s="1283" t="s">
        <v>900</v>
      </c>
      <c r="N362" s="1284"/>
      <c r="O362" s="1285"/>
      <c r="P362" s="1317"/>
      <c r="Q362" s="1317"/>
    </row>
    <row r="363" spans="1:17" s="824" customFormat="1" ht="15.75" hidden="1" customHeight="1">
      <c r="A363" s="895" t="s">
        <v>127</v>
      </c>
      <c r="B363" s="853"/>
      <c r="C363" s="896" t="str">
        <f>VLOOKUP(pos(C363),'Language-Sprachen'!$A$200:$G$461,'Language-Sprachen'!$A$3,0)</f>
        <v>Are all requirements related to QM-System, product and process fulfilled?</v>
      </c>
      <c r="D363" s="359" t="s">
        <v>658</v>
      </c>
      <c r="E363" s="956" t="str">
        <f>IF(ISBLANK(D363),$L$13,IF(D363=10,$L$14,$L$15))</f>
        <v>Enter text</v>
      </c>
      <c r="F363" s="1201"/>
      <c r="G363" s="1189"/>
      <c r="H363" s="1184"/>
      <c r="I363" s="1184"/>
      <c r="J363" s="1190"/>
      <c r="M363" s="1293" t="s">
        <v>900</v>
      </c>
      <c r="N363" s="1294" t="s">
        <v>976</v>
      </c>
      <c r="O363" s="1315" t="s">
        <v>977</v>
      </c>
      <c r="P363" s="1291" t="s">
        <v>978</v>
      </c>
      <c r="Q363" s="1292">
        <v>4140</v>
      </c>
    </row>
    <row r="364" spans="1:17" s="824" customFormat="1" ht="15.75" hidden="1" customHeight="1">
      <c r="A364" s="897" t="s">
        <v>128</v>
      </c>
      <c r="B364" s="898"/>
      <c r="C364" s="849" t="str">
        <f>VLOOKUP(pos(C364),'Language-Sprachen'!$A$200:$G$461,'Language-Sprachen'!$A$3,0)</f>
        <v xml:space="preserve">Is customer service guaranteed? </v>
      </c>
      <c r="D364" s="358" t="s">
        <v>658</v>
      </c>
      <c r="E364" s="952" t="str">
        <f>IF(ISBLANK(D364),$L$13,IF(D364=10,$L$14,$L$15))</f>
        <v>Enter text</v>
      </c>
      <c r="F364" s="1201"/>
      <c r="G364" s="1189"/>
      <c r="H364" s="1184"/>
      <c r="I364" s="1184"/>
      <c r="J364" s="1190"/>
      <c r="M364" s="1293" t="s">
        <v>900</v>
      </c>
      <c r="N364" s="1294" t="s">
        <v>979</v>
      </c>
      <c r="O364" s="1315" t="s">
        <v>980</v>
      </c>
      <c r="P364" s="1291" t="s">
        <v>981</v>
      </c>
      <c r="Q364" s="1296" t="s">
        <v>962</v>
      </c>
    </row>
    <row r="365" spans="1:17" s="824" customFormat="1" ht="15.75" hidden="1" customHeight="1">
      <c r="A365" s="933" t="s">
        <v>129</v>
      </c>
      <c r="B365" s="934" t="s">
        <v>7</v>
      </c>
      <c r="C365" s="901" t="str">
        <f>VLOOKUP(pos(C365),'Language-Sprachen'!$A$200:$G$461,'Language-Sprachen'!$A$3,0)</f>
        <v xml:space="preserve">Is the supply of parts guaranteed? </v>
      </c>
      <c r="D365" s="357" t="s">
        <v>658</v>
      </c>
      <c r="E365" s="952" t="str">
        <f>IF(ISBLANK(D365),$L$13,IF(D365=10,$L$14,$L$15))</f>
        <v>Enter text</v>
      </c>
      <c r="F365" s="1201"/>
      <c r="G365" s="1189"/>
      <c r="H365" s="1184"/>
      <c r="I365" s="1184"/>
      <c r="J365" s="1190"/>
      <c r="M365" s="1293" t="s">
        <v>900</v>
      </c>
      <c r="N365" s="1294" t="s">
        <v>982</v>
      </c>
      <c r="O365" s="1315" t="s">
        <v>983</v>
      </c>
      <c r="P365" s="1291"/>
      <c r="Q365" s="1292">
        <v>4140</v>
      </c>
    </row>
    <row r="366" spans="1:17" s="824" customFormat="1" ht="183" hidden="1" customHeight="1">
      <c r="A366" s="935" t="s">
        <v>130</v>
      </c>
      <c r="B366" s="936" t="s">
        <v>7</v>
      </c>
      <c r="C366" s="849" t="str">
        <f>VLOOKUP(pos(C366),'Language-Sprachen'!$A$200:$G$461,'Language-Sprachen'!$A$3,0)</f>
        <v>If there are deviations from quality requirements or complaints, are failure analyses carried out and corrective actions implemented effectively?</v>
      </c>
      <c r="D366" s="394" t="s">
        <v>658</v>
      </c>
      <c r="E366" s="952" t="str">
        <f>IF(ISBLANK(D366),$L$13,IF(D366=10,$L$14,$L$15))</f>
        <v>Enter text</v>
      </c>
      <c r="F366" s="1201"/>
      <c r="G366" s="1189"/>
      <c r="H366" s="1184"/>
      <c r="I366" s="1184"/>
      <c r="J366" s="1190"/>
      <c r="M366" s="1293" t="s">
        <v>900</v>
      </c>
      <c r="N366" s="1294" t="s">
        <v>984</v>
      </c>
      <c r="O366" s="1315" t="s">
        <v>985</v>
      </c>
      <c r="P366" s="1291" t="s">
        <v>986</v>
      </c>
      <c r="Q366" s="1292">
        <v>5030</v>
      </c>
    </row>
    <row r="367" spans="1:17" s="824" customFormat="1" ht="30.75" hidden="1" customHeight="1" thickBot="1">
      <c r="A367" s="895" t="s">
        <v>131</v>
      </c>
      <c r="B367" s="853"/>
      <c r="C367" s="901" t="str">
        <f>VLOOKUP(pos(C367),'Language-Sprachen'!$A$200:$G$461,'Language-Sprachen'!$A$3,0)</f>
        <v>Are personnel qualified for their respective tasks and are responsibilities defined?</v>
      </c>
      <c r="D367" s="360" t="s">
        <v>658</v>
      </c>
      <c r="E367" s="952" t="str">
        <f>IF(ISBLANK(D367),$L$13,IF(D367=10,$L$14,$L$15))</f>
        <v>Enter text</v>
      </c>
      <c r="F367" s="1202"/>
      <c r="G367" s="1194"/>
      <c r="H367" s="1195"/>
      <c r="I367" s="1195"/>
      <c r="J367" s="1196"/>
      <c r="M367" s="1329" t="s">
        <v>900</v>
      </c>
      <c r="N367" s="1330" t="s">
        <v>987</v>
      </c>
      <c r="O367" s="1331" t="s">
        <v>988</v>
      </c>
      <c r="P367" s="1332" t="s">
        <v>128</v>
      </c>
      <c r="Q367" s="1333">
        <v>3170</v>
      </c>
    </row>
    <row r="368" spans="1:17" ht="13.5" hidden="1" customHeight="1" thickTop="1">
      <c r="A368" s="937"/>
      <c r="B368" s="938"/>
      <c r="C368" s="937"/>
      <c r="D368" s="937"/>
      <c r="E368" s="937"/>
      <c r="F368" s="1230"/>
      <c r="G368" s="937"/>
      <c r="H368" s="937"/>
      <c r="I368" s="937"/>
      <c r="J368" s="937"/>
    </row>
    <row r="369" spans="1:17" s="818" customFormat="1" ht="12.75" hidden="1" customHeight="1">
      <c r="A369" s="939"/>
      <c r="B369" s="940"/>
      <c r="C369" s="941"/>
      <c r="D369" s="942"/>
      <c r="E369" s="943"/>
      <c r="F369"/>
      <c r="G369" s="16"/>
      <c r="H369" s="16"/>
      <c r="I369" s="16"/>
      <c r="J369" s="16"/>
      <c r="M369" s="335"/>
      <c r="N369" s="1259"/>
      <c r="O369" s="335"/>
      <c r="P369" s="1260"/>
      <c r="Q369" s="335"/>
    </row>
    <row r="370" spans="1:17" s="818" customFormat="1" ht="12.75" hidden="1" customHeight="1">
      <c r="A370" s="939"/>
      <c r="B370" s="940"/>
      <c r="C370" s="941"/>
      <c r="D370" s="942"/>
      <c r="E370" s="943"/>
      <c r="F370"/>
      <c r="G370" s="16"/>
      <c r="H370" s="16"/>
      <c r="I370" s="16"/>
      <c r="J370" s="16"/>
      <c r="M370" s="335"/>
      <c r="N370" s="1259"/>
      <c r="O370" s="335"/>
      <c r="P370" s="1260"/>
      <c r="Q370" s="335"/>
    </row>
    <row r="371" spans="1:17" s="818" customFormat="1" ht="12.75" hidden="1" customHeight="1">
      <c r="A371" s="939"/>
      <c r="B371" s="940"/>
      <c r="C371" s="941"/>
      <c r="D371" s="942"/>
      <c r="E371" s="943"/>
      <c r="F371"/>
      <c r="G371" s="16"/>
      <c r="H371" s="16"/>
      <c r="I371" s="16"/>
      <c r="J371" s="16"/>
      <c r="M371" s="335"/>
      <c r="N371" s="1259"/>
      <c r="O371" s="335"/>
      <c r="P371" s="1260"/>
      <c r="Q371" s="335"/>
    </row>
    <row r="372" spans="1:17" s="818" customFormat="1" ht="12.75" hidden="1" customHeight="1">
      <c r="A372" s="939"/>
      <c r="B372" s="940"/>
      <c r="C372" s="941"/>
      <c r="D372" s="942"/>
      <c r="E372" s="943"/>
      <c r="F372"/>
      <c r="G372" s="16"/>
      <c r="H372" s="16"/>
      <c r="I372" s="16"/>
      <c r="J372" s="16"/>
      <c r="M372" s="335"/>
      <c r="N372" s="1259"/>
      <c r="O372" s="335"/>
      <c r="P372" s="1260"/>
      <c r="Q372" s="335"/>
    </row>
    <row r="373" spans="1:17" s="818" customFormat="1" ht="12.75" hidden="1" customHeight="1">
      <c r="A373" s="939"/>
      <c r="B373" s="940"/>
      <c r="C373" s="941"/>
      <c r="D373" s="942"/>
      <c r="E373" s="943"/>
      <c r="F373"/>
      <c r="G373" s="16"/>
      <c r="H373" s="16"/>
      <c r="I373" s="16"/>
      <c r="J373" s="16"/>
      <c r="M373" s="335"/>
      <c r="N373" s="1259"/>
      <c r="O373" s="335"/>
      <c r="P373" s="1260"/>
      <c r="Q373" s="335"/>
    </row>
    <row r="374" spans="1:17" s="818" customFormat="1" ht="12.75" hidden="1" customHeight="1">
      <c r="A374" s="939"/>
      <c r="B374" s="940"/>
      <c r="C374" s="941"/>
      <c r="D374" s="942"/>
      <c r="E374" s="943"/>
      <c r="F374"/>
      <c r="G374" s="16"/>
      <c r="H374" s="16"/>
      <c r="I374" s="16"/>
      <c r="J374" s="16"/>
      <c r="M374" s="335"/>
      <c r="N374" s="1259"/>
      <c r="O374" s="335"/>
      <c r="P374" s="1260"/>
      <c r="Q374" s="335"/>
    </row>
    <row r="375" spans="1:17" s="818" customFormat="1" ht="12.75" hidden="1" customHeight="1">
      <c r="A375" s="939"/>
      <c r="B375" s="940"/>
      <c r="C375" s="941"/>
      <c r="D375" s="942"/>
      <c r="E375" s="943"/>
      <c r="F375"/>
      <c r="G375" s="16"/>
      <c r="H375" s="16"/>
      <c r="I375" s="16"/>
      <c r="J375" s="16"/>
      <c r="M375" s="335"/>
      <c r="N375" s="1259"/>
      <c r="O375" s="335"/>
      <c r="P375" s="1260"/>
      <c r="Q375" s="335"/>
    </row>
    <row r="376" spans="1:17" s="818" customFormat="1" ht="15" hidden="1" customHeight="1">
      <c r="A376" s="939"/>
      <c r="B376" s="940"/>
      <c r="C376" s="941"/>
      <c r="D376" s="942"/>
      <c r="E376" s="944"/>
      <c r="F376"/>
      <c r="G376" s="16"/>
      <c r="H376" s="16"/>
      <c r="I376" s="16"/>
      <c r="J376" s="16"/>
      <c r="M376" s="335"/>
      <c r="N376" s="1259"/>
      <c r="O376" s="335"/>
      <c r="P376" s="1260"/>
      <c r="Q376" s="335"/>
    </row>
    <row r="377" spans="1:17" s="818" customFormat="1" ht="15" hidden="1" customHeight="1">
      <c r="A377" s="939"/>
      <c r="B377" s="940"/>
      <c r="C377" s="945"/>
      <c r="D377" s="942">
        <v>0</v>
      </c>
      <c r="E377" s="943"/>
      <c r="F377"/>
      <c r="G377" s="16"/>
      <c r="H377" s="16"/>
      <c r="I377" s="16"/>
      <c r="J377" s="16"/>
      <c r="M377" s="335"/>
      <c r="N377" s="1259"/>
      <c r="O377" s="335"/>
      <c r="P377" s="1260"/>
      <c r="Q377" s="335"/>
    </row>
    <row r="378" spans="1:17" s="818" customFormat="1" ht="12.75" hidden="1" customHeight="1">
      <c r="A378" s="939"/>
      <c r="B378" s="940"/>
      <c r="C378" s="941"/>
      <c r="D378" s="942">
        <v>4</v>
      </c>
      <c r="E378" s="946"/>
      <c r="F378"/>
      <c r="G378" s="16"/>
      <c r="H378" s="16"/>
      <c r="I378" s="16"/>
      <c r="J378" s="16"/>
      <c r="M378" s="335"/>
      <c r="N378" s="1259"/>
      <c r="O378" s="335"/>
      <c r="P378" s="1260"/>
      <c r="Q378" s="335"/>
    </row>
    <row r="379" spans="1:17" s="818" customFormat="1" ht="12.75" hidden="1" customHeight="1">
      <c r="A379" s="939"/>
      <c r="B379" s="940"/>
      <c r="C379" s="941"/>
      <c r="D379" s="942">
        <v>6</v>
      </c>
      <c r="E379" s="946"/>
      <c r="F379"/>
      <c r="G379" s="16"/>
      <c r="H379" s="16"/>
      <c r="I379" s="16"/>
      <c r="J379" s="16"/>
      <c r="M379" s="335"/>
      <c r="N379" s="1259"/>
      <c r="O379" s="335"/>
      <c r="P379" s="1260"/>
      <c r="Q379" s="335"/>
    </row>
    <row r="380" spans="1:17" s="818" customFormat="1" ht="12.75" hidden="1" customHeight="1">
      <c r="A380" s="939"/>
      <c r="B380" s="940"/>
      <c r="C380" s="941"/>
      <c r="D380" s="942">
        <v>8</v>
      </c>
      <c r="E380" s="943"/>
      <c r="F380"/>
      <c r="G380" s="16"/>
      <c r="H380" s="16"/>
      <c r="I380" s="16"/>
      <c r="J380" s="16"/>
      <c r="M380" s="335"/>
      <c r="N380" s="1259"/>
      <c r="O380" s="335"/>
      <c r="P380" s="1260"/>
      <c r="Q380" s="335"/>
    </row>
    <row r="381" spans="1:17" s="818" customFormat="1" ht="12.75" hidden="1" customHeight="1">
      <c r="A381" s="939"/>
      <c r="B381" s="940"/>
      <c r="C381" s="941"/>
      <c r="D381" s="942">
        <v>10</v>
      </c>
      <c r="E381" s="943"/>
      <c r="F381"/>
      <c r="G381" s="16"/>
      <c r="H381" s="16"/>
      <c r="I381" s="16"/>
      <c r="J381" s="16"/>
      <c r="M381" s="335"/>
      <c r="N381" s="1259"/>
      <c r="O381" s="335"/>
      <c r="P381" s="1260"/>
      <c r="Q381" s="335"/>
    </row>
    <row r="382" spans="1:17" s="818" customFormat="1" ht="12.75" hidden="1" customHeight="1">
      <c r="A382" s="939"/>
      <c r="B382" s="940"/>
      <c r="C382" s="941"/>
      <c r="D382" s="947" t="str">
        <f>VLOOKUP(pos(D382),'Language-Sprachen'!$A$200:$G$461,'Language-Sprachen'!$A$3,0)</f>
        <v>n.e.</v>
      </c>
      <c r="E382" s="943"/>
      <c r="F382"/>
      <c r="G382" s="16"/>
      <c r="H382" s="16"/>
      <c r="I382" s="16"/>
      <c r="J382" s="16"/>
      <c r="M382" s="335"/>
      <c r="N382" s="1259"/>
      <c r="O382" s="335"/>
      <c r="P382" s="1260"/>
      <c r="Q382" s="335"/>
    </row>
    <row r="383" spans="1:17" s="818" customFormat="1" ht="12.75" hidden="1" customHeight="1">
      <c r="A383" s="939"/>
      <c r="B383" s="940"/>
      <c r="C383" s="941"/>
      <c r="D383" s="942"/>
      <c r="E383" s="943"/>
      <c r="F383"/>
      <c r="G383" s="16"/>
      <c r="H383" s="16"/>
      <c r="I383" s="16"/>
      <c r="J383" s="16"/>
      <c r="M383" s="335"/>
      <c r="N383" s="1259"/>
      <c r="O383" s="335"/>
      <c r="P383" s="1260"/>
      <c r="Q383" s="335"/>
    </row>
    <row r="384" spans="1:17" s="818" customFormat="1" ht="12.75" hidden="1" customHeight="1">
      <c r="A384" s="939"/>
      <c r="B384" s="940"/>
      <c r="C384" s="941"/>
      <c r="D384" s="942"/>
      <c r="E384" s="943"/>
      <c r="F384"/>
      <c r="G384" s="16"/>
      <c r="H384" s="16"/>
      <c r="I384" s="16"/>
      <c r="J384" s="16"/>
      <c r="M384" s="335"/>
      <c r="N384" s="1259"/>
      <c r="O384" s="335"/>
      <c r="P384" s="1260"/>
      <c r="Q384" s="335"/>
    </row>
    <row r="385" spans="1:17" s="818" customFormat="1" ht="12.75" hidden="1" customHeight="1">
      <c r="A385" s="939"/>
      <c r="B385" s="940"/>
      <c r="C385" s="941"/>
      <c r="D385" s="942"/>
      <c r="E385" s="943"/>
      <c r="F385"/>
      <c r="G385" s="16"/>
      <c r="H385" s="16"/>
      <c r="I385" s="16"/>
      <c r="J385" s="16"/>
      <c r="M385" s="335"/>
      <c r="N385" s="1259"/>
      <c r="O385" s="335"/>
      <c r="P385" s="1260"/>
      <c r="Q385" s="335"/>
    </row>
    <row r="386" spans="1:17" s="818" customFormat="1">
      <c r="A386" s="939"/>
      <c r="B386" s="940"/>
      <c r="C386" s="941"/>
      <c r="D386" s="942"/>
      <c r="E386" s="943"/>
      <c r="F386"/>
      <c r="G386" s="16"/>
      <c r="H386" s="16"/>
      <c r="I386" s="16"/>
      <c r="J386" s="16"/>
      <c r="M386" s="335"/>
      <c r="N386" s="1259"/>
      <c r="O386" s="335"/>
      <c r="P386" s="1260"/>
      <c r="Q386" s="335"/>
    </row>
    <row r="387" spans="1:17" s="818" customFormat="1">
      <c r="A387" s="939"/>
      <c r="B387" s="940"/>
      <c r="C387" s="941"/>
      <c r="D387" s="942"/>
      <c r="E387" s="943"/>
      <c r="F387"/>
      <c r="G387" s="16"/>
      <c r="H387" s="16"/>
      <c r="I387" s="16"/>
      <c r="J387" s="16"/>
      <c r="M387" s="335"/>
      <c r="N387" s="1259"/>
      <c r="O387" s="335"/>
      <c r="P387" s="1260"/>
      <c r="Q387" s="335"/>
    </row>
    <row r="388" spans="1:17" s="818" customFormat="1">
      <c r="A388" s="939"/>
      <c r="B388" s="940"/>
      <c r="C388" s="941"/>
      <c r="D388" s="942"/>
      <c r="E388" s="943"/>
      <c r="F388"/>
      <c r="G388" s="16"/>
      <c r="H388" s="16"/>
      <c r="I388" s="16"/>
      <c r="J388" s="16"/>
      <c r="M388" s="335"/>
      <c r="N388" s="1259"/>
      <c r="O388" s="335"/>
      <c r="P388" s="1260"/>
      <c r="Q388" s="335"/>
    </row>
    <row r="389" spans="1:17" s="818" customFormat="1">
      <c r="A389" s="939"/>
      <c r="B389" s="940"/>
      <c r="C389" s="941"/>
      <c r="D389" s="942"/>
      <c r="E389" s="943"/>
      <c r="F389"/>
      <c r="G389" s="16"/>
      <c r="H389" s="16"/>
      <c r="I389" s="16"/>
      <c r="J389" s="16"/>
      <c r="M389" s="335"/>
      <c r="N389" s="1259"/>
      <c r="O389" s="335"/>
      <c r="P389" s="1260"/>
      <c r="Q389" s="335"/>
    </row>
    <row r="390" spans="1:17" s="818" customFormat="1">
      <c r="A390" s="939"/>
      <c r="B390" s="940"/>
      <c r="C390" s="941"/>
      <c r="D390" s="942"/>
      <c r="E390" s="943"/>
      <c r="F390"/>
      <c r="G390" s="16"/>
      <c r="H390" s="16"/>
      <c r="I390" s="16"/>
      <c r="J390" s="16"/>
      <c r="M390" s="335"/>
      <c r="N390" s="1259"/>
      <c r="O390" s="335"/>
      <c r="P390" s="1260"/>
      <c r="Q390" s="335"/>
    </row>
    <row r="391" spans="1:17" s="818" customFormat="1">
      <c r="A391" s="939"/>
      <c r="B391" s="940"/>
      <c r="C391" s="941"/>
      <c r="D391" s="942"/>
      <c r="E391" s="943"/>
      <c r="F391"/>
      <c r="G391" s="16"/>
      <c r="H391" s="16"/>
      <c r="I391" s="16"/>
      <c r="J391" s="16"/>
      <c r="M391" s="335"/>
      <c r="N391" s="1259"/>
      <c r="O391" s="335"/>
      <c r="P391" s="1260"/>
      <c r="Q391" s="335"/>
    </row>
    <row r="392" spans="1:17" s="818" customFormat="1">
      <c r="A392" s="939"/>
      <c r="B392" s="940"/>
      <c r="C392" s="941"/>
      <c r="D392" s="942"/>
      <c r="E392" s="943"/>
      <c r="F392"/>
      <c r="G392" s="16"/>
      <c r="H392" s="16"/>
      <c r="I392" s="16"/>
      <c r="J392" s="16"/>
      <c r="M392" s="335"/>
      <c r="N392" s="1259"/>
      <c r="O392" s="335"/>
      <c r="P392" s="1260"/>
      <c r="Q392" s="335"/>
    </row>
    <row r="393" spans="1:17" s="818" customFormat="1">
      <c r="A393" s="939"/>
      <c r="B393" s="940"/>
      <c r="C393" s="941"/>
      <c r="D393" s="942"/>
      <c r="E393" s="943"/>
      <c r="F393"/>
      <c r="G393" s="16"/>
      <c r="H393" s="16"/>
      <c r="I393" s="16"/>
      <c r="J393" s="16"/>
      <c r="M393" s="335"/>
      <c r="N393" s="1259"/>
      <c r="O393" s="335"/>
      <c r="P393" s="1260"/>
      <c r="Q393" s="335"/>
    </row>
    <row r="394" spans="1:17" s="818" customFormat="1">
      <c r="A394" s="939"/>
      <c r="B394" s="940"/>
      <c r="C394" s="941"/>
      <c r="D394" s="942"/>
      <c r="E394" s="943"/>
      <c r="F394"/>
      <c r="G394" s="16"/>
      <c r="H394" s="16"/>
      <c r="I394" s="16"/>
      <c r="J394" s="16"/>
      <c r="M394" s="335"/>
      <c r="N394" s="1259"/>
      <c r="O394" s="335"/>
      <c r="P394" s="1260"/>
      <c r="Q394" s="335"/>
    </row>
    <row r="395" spans="1:17" s="818" customFormat="1">
      <c r="A395" s="939"/>
      <c r="B395" s="940"/>
      <c r="C395" s="941"/>
      <c r="D395" s="942"/>
      <c r="E395" s="943"/>
      <c r="F395"/>
      <c r="G395" s="16"/>
      <c r="H395" s="16"/>
      <c r="I395" s="16"/>
      <c r="J395" s="16"/>
      <c r="M395" s="335"/>
      <c r="N395" s="1259"/>
      <c r="O395" s="335"/>
      <c r="P395" s="1260"/>
      <c r="Q395" s="335"/>
    </row>
    <row r="396" spans="1:17" s="818" customFormat="1">
      <c r="A396" s="939"/>
      <c r="B396" s="940"/>
      <c r="C396" s="941"/>
      <c r="D396" s="942"/>
      <c r="E396" s="943"/>
      <c r="F396"/>
      <c r="G396" s="16"/>
      <c r="H396" s="16"/>
      <c r="I396" s="16"/>
      <c r="J396" s="16"/>
      <c r="M396" s="335"/>
      <c r="N396" s="1259"/>
      <c r="O396" s="335"/>
      <c r="P396" s="1260"/>
      <c r="Q396" s="335"/>
    </row>
    <row r="545" spans="4:4" ht="12.75" hidden="1" customHeight="1">
      <c r="D545" s="832" t="s">
        <v>83</v>
      </c>
    </row>
    <row r="546" spans="4:4" ht="12.75" hidden="1" customHeight="1">
      <c r="D546" s="832" t="s">
        <v>83</v>
      </c>
    </row>
    <row r="547" spans="4:4" ht="12.75" hidden="1" customHeight="1">
      <c r="D547" s="832" t="s">
        <v>83</v>
      </c>
    </row>
    <row r="548" spans="4:4" ht="12.75" hidden="1" customHeight="1">
      <c r="D548" s="832" t="s">
        <v>83</v>
      </c>
    </row>
    <row r="549" spans="4:4" ht="12.75" hidden="1" customHeight="1">
      <c r="D549" s="832" t="s">
        <v>83</v>
      </c>
    </row>
  </sheetData>
  <sheetProtection formatColumns="0" formatRows="0" selectLockedCells="1"/>
  <mergeCells count="159">
    <mergeCell ref="J2:J9"/>
    <mergeCell ref="D182:E182"/>
    <mergeCell ref="F8:F9"/>
    <mergeCell ref="A20:A21"/>
    <mergeCell ref="C20:C21"/>
    <mergeCell ref="A37:A38"/>
    <mergeCell ref="C37:C38"/>
    <mergeCell ref="B2:B7"/>
    <mergeCell ref="I2:I9"/>
    <mergeCell ref="D216:E216"/>
    <mergeCell ref="D272:E272"/>
    <mergeCell ref="G2:G9"/>
    <mergeCell ref="H2:H9"/>
    <mergeCell ref="D317:E317"/>
    <mergeCell ref="D34:E34"/>
    <mergeCell ref="D70:E70"/>
    <mergeCell ref="D126:E126"/>
    <mergeCell ref="D31:E31"/>
    <mergeCell ref="D39:E39"/>
    <mergeCell ref="D42:E42"/>
    <mergeCell ref="D45:E45"/>
    <mergeCell ref="D48:E48"/>
    <mergeCell ref="D51:E51"/>
    <mergeCell ref="D54:E54"/>
    <mergeCell ref="D58:E58"/>
    <mergeCell ref="D56:E56"/>
    <mergeCell ref="M72:M81"/>
    <mergeCell ref="N72:N81"/>
    <mergeCell ref="P72:P81"/>
    <mergeCell ref="Q72:Q81"/>
    <mergeCell ref="M83:M92"/>
    <mergeCell ref="N83:N92"/>
    <mergeCell ref="P83:P92"/>
    <mergeCell ref="Q83:Q92"/>
    <mergeCell ref="D22:E22"/>
    <mergeCell ref="D25:E25"/>
    <mergeCell ref="D28:E28"/>
    <mergeCell ref="O72:O76"/>
    <mergeCell ref="O83:O87"/>
    <mergeCell ref="M116:M125"/>
    <mergeCell ref="N116:N125"/>
    <mergeCell ref="P116:P125"/>
    <mergeCell ref="Q116:Q125"/>
    <mergeCell ref="M128:M137"/>
    <mergeCell ref="N128:N137"/>
    <mergeCell ref="P128:P137"/>
    <mergeCell ref="Q128:Q137"/>
    <mergeCell ref="M94:M103"/>
    <mergeCell ref="N94:N103"/>
    <mergeCell ref="P94:P103"/>
    <mergeCell ref="Q94:Q103"/>
    <mergeCell ref="M105:M114"/>
    <mergeCell ref="N105:N114"/>
    <mergeCell ref="P105:P114"/>
    <mergeCell ref="Q105:Q114"/>
    <mergeCell ref="O94:O98"/>
    <mergeCell ref="O105:O109"/>
    <mergeCell ref="O116:O120"/>
    <mergeCell ref="O128:O132"/>
    <mergeCell ref="M161:M170"/>
    <mergeCell ref="N161:N170"/>
    <mergeCell ref="P161:P170"/>
    <mergeCell ref="Q161:Q170"/>
    <mergeCell ref="M172:M181"/>
    <mergeCell ref="N172:N181"/>
    <mergeCell ref="P172:P181"/>
    <mergeCell ref="Q172:Q181"/>
    <mergeCell ref="M139:M148"/>
    <mergeCell ref="N139:N148"/>
    <mergeCell ref="P139:P148"/>
    <mergeCell ref="Q139:Q148"/>
    <mergeCell ref="M150:M159"/>
    <mergeCell ref="N150:N159"/>
    <mergeCell ref="P150:P159"/>
    <mergeCell ref="Q150:Q159"/>
    <mergeCell ref="O139:O143"/>
    <mergeCell ref="O150:O154"/>
    <mergeCell ref="O161:O165"/>
    <mergeCell ref="O172:O176"/>
    <mergeCell ref="M206:M215"/>
    <mergeCell ref="N206:N215"/>
    <mergeCell ref="P206:P215"/>
    <mergeCell ref="Q206:Q215"/>
    <mergeCell ref="M218:M227"/>
    <mergeCell ref="N218:N227"/>
    <mergeCell ref="P218:P227"/>
    <mergeCell ref="Q218:Q227"/>
    <mergeCell ref="M184:M193"/>
    <mergeCell ref="N184:N193"/>
    <mergeCell ref="P184:P193"/>
    <mergeCell ref="Q184:Q193"/>
    <mergeCell ref="M195:M204"/>
    <mergeCell ref="N195:N204"/>
    <mergeCell ref="P195:P204"/>
    <mergeCell ref="Q195:Q204"/>
    <mergeCell ref="O184:O188"/>
    <mergeCell ref="O195:O199"/>
    <mergeCell ref="O206:O210"/>
    <mergeCell ref="O218:O222"/>
    <mergeCell ref="M251:M260"/>
    <mergeCell ref="N251:N260"/>
    <mergeCell ref="P251:P260"/>
    <mergeCell ref="Q251:Q260"/>
    <mergeCell ref="M262:M271"/>
    <mergeCell ref="N262:N271"/>
    <mergeCell ref="P262:P271"/>
    <mergeCell ref="Q262:Q271"/>
    <mergeCell ref="M229:M238"/>
    <mergeCell ref="N229:N238"/>
    <mergeCell ref="P229:P238"/>
    <mergeCell ref="Q229:Q238"/>
    <mergeCell ref="M240:M249"/>
    <mergeCell ref="N240:N249"/>
    <mergeCell ref="P240:P249"/>
    <mergeCell ref="Q240:Q249"/>
    <mergeCell ref="O229:O233"/>
    <mergeCell ref="O240:O244"/>
    <mergeCell ref="O251:O255"/>
    <mergeCell ref="O262:O266"/>
    <mergeCell ref="M296:M305"/>
    <mergeCell ref="N296:N305"/>
    <mergeCell ref="P296:P305"/>
    <mergeCell ref="Q296:Q305"/>
    <mergeCell ref="M307:M316"/>
    <mergeCell ref="N307:N316"/>
    <mergeCell ref="P307:P316"/>
    <mergeCell ref="Q307:Q316"/>
    <mergeCell ref="M274:M283"/>
    <mergeCell ref="N274:N283"/>
    <mergeCell ref="P274:P283"/>
    <mergeCell ref="Q274:Q283"/>
    <mergeCell ref="M285:M294"/>
    <mergeCell ref="N285:N294"/>
    <mergeCell ref="P285:P294"/>
    <mergeCell ref="Q285:Q294"/>
    <mergeCell ref="O274:O278"/>
    <mergeCell ref="O285:O289"/>
    <mergeCell ref="O296:O300"/>
    <mergeCell ref="O307:O311"/>
    <mergeCell ref="M341:M350"/>
    <mergeCell ref="N341:N350"/>
    <mergeCell ref="P341:P350"/>
    <mergeCell ref="Q341:Q350"/>
    <mergeCell ref="M352:M361"/>
    <mergeCell ref="N352:N361"/>
    <mergeCell ref="P352:P361"/>
    <mergeCell ref="Q352:Q361"/>
    <mergeCell ref="M319:M328"/>
    <mergeCell ref="N319:N328"/>
    <mergeCell ref="P319:P328"/>
    <mergeCell ref="Q319:Q328"/>
    <mergeCell ref="M330:M339"/>
    <mergeCell ref="N330:N339"/>
    <mergeCell ref="P330:P339"/>
    <mergeCell ref="Q330:Q339"/>
    <mergeCell ref="O319:O323"/>
    <mergeCell ref="O330:O334"/>
    <mergeCell ref="O341:O345"/>
    <mergeCell ref="O352:O356"/>
  </mergeCells>
  <phoneticPr fontId="13" type="noConversion"/>
  <conditionalFormatting sqref="E362 E61 E12 E37:E38 E20:E21 E69">
    <cfRule type="expression" dxfId="75" priority="103">
      <formula>$B12=$D$382</formula>
    </cfRule>
  </conditionalFormatting>
  <conditionalFormatting sqref="E13:E70 E116:E126 E128:E137 E139:E148 E150:E159 E184:E186 E182 E206:E216 E218:E227 E229:E238 E274:E283 E285:E294 E296:E305 E319:E328 E352:E367 E72:E81 E251 E195:E204 E254:E260 E262:E272 E307:E317 E341:E350 E161:E170 E172:E174 E330:E339 E240:E249 E105:E114 E94:E103 E83:E92">
    <cfRule type="expression" dxfId="74" priority="92">
      <formula>ISBLANK($D13)</formula>
    </cfRule>
  </conditionalFormatting>
  <conditionalFormatting sqref="D13:D19 D23:D24 D26:D27 D29:D30 D32:D33 D35:D36 D40:D41 D43:D44 D46:D47 D49:D50 D52:D53 D55 D62:D68 D363:D367 D59:D60 D57 D161:D170 D195:D204 D229:D238 D116:D125 D128:D137 D139:D148 D262:D271 D251:D260 D274:D283 D285:D294 D307:D316 D319:D328 D330:D339 D341:D350 D352:D361 D296:D305 D240:D249 D218:D227 D206:D215 D150:D159 D105:D114 D94:D103 D83:D92 D72:D81">
    <cfRule type="cellIs" dxfId="73" priority="104" operator="between">
      <formula>0</formula>
      <formula>4</formula>
    </cfRule>
    <cfRule type="cellIs" dxfId="72" priority="105" operator="between">
      <formula>6</formula>
      <formula>8</formula>
    </cfRule>
    <cfRule type="cellIs" dxfId="71" priority="106" operator="equal">
      <formula>10</formula>
    </cfRule>
  </conditionalFormatting>
  <conditionalFormatting sqref="E187:E193">
    <cfRule type="expression" dxfId="70" priority="45">
      <formula>ISBLANK($D187)</formula>
    </cfRule>
  </conditionalFormatting>
  <conditionalFormatting sqref="E175:E181">
    <cfRule type="expression" dxfId="69" priority="37">
      <formula>ISBLANK($D175)</formula>
    </cfRule>
  </conditionalFormatting>
  <conditionalFormatting sqref="D177:D181">
    <cfRule type="cellIs" dxfId="68" priority="16" operator="between">
      <formula>0</formula>
      <formula>4</formula>
    </cfRule>
    <cfRule type="cellIs" dxfId="67" priority="17" operator="between">
      <formula>6</formula>
      <formula>8</formula>
    </cfRule>
    <cfRule type="cellIs" dxfId="66" priority="18" operator="equal">
      <formula>10</formula>
    </cfRule>
  </conditionalFormatting>
  <conditionalFormatting sqref="D189:D193">
    <cfRule type="cellIs" dxfId="65" priority="13" operator="between">
      <formula>0</formula>
      <formula>4</formula>
    </cfRule>
    <cfRule type="cellIs" dxfId="64" priority="14" operator="between">
      <formula>6</formula>
      <formula>8</formula>
    </cfRule>
    <cfRule type="cellIs" dxfId="63" priority="15" operator="equal">
      <formula>10</formula>
    </cfRule>
  </conditionalFormatting>
  <conditionalFormatting sqref="D172:D173">
    <cfRule type="cellIs" dxfId="62" priority="10" operator="between">
      <formula>0</formula>
      <formula>4</formula>
    </cfRule>
    <cfRule type="cellIs" dxfId="61" priority="11" operator="between">
      <formula>6</formula>
      <formula>8</formula>
    </cfRule>
    <cfRule type="cellIs" dxfId="60" priority="12" operator="equal">
      <formula>10</formula>
    </cfRule>
  </conditionalFormatting>
  <conditionalFormatting sqref="D184:D185">
    <cfRule type="cellIs" dxfId="59" priority="7" operator="between">
      <formula>0</formula>
      <formula>4</formula>
    </cfRule>
    <cfRule type="cellIs" dxfId="58" priority="8" operator="between">
      <formula>6</formula>
      <formula>8</formula>
    </cfRule>
    <cfRule type="cellIs" dxfId="57" priority="9" operator="equal">
      <formula>10</formula>
    </cfRule>
  </conditionalFormatting>
  <conditionalFormatting sqref="D186:D188">
    <cfRule type="cellIs" dxfId="56" priority="4" operator="between">
      <formula>0</formula>
      <formula>4</formula>
    </cfRule>
    <cfRule type="cellIs" dxfId="55" priority="5" operator="between">
      <formula>6</formula>
      <formula>8</formula>
    </cfRule>
    <cfRule type="cellIs" dxfId="54" priority="6" operator="equal">
      <formula>10</formula>
    </cfRule>
  </conditionalFormatting>
  <conditionalFormatting sqref="D174:D176">
    <cfRule type="cellIs" dxfId="53" priority="1" operator="between">
      <formula>0</formula>
      <formula>4</formula>
    </cfRule>
    <cfRule type="cellIs" dxfId="52" priority="2" operator="between">
      <formula>6</formula>
      <formula>8</formula>
    </cfRule>
    <cfRule type="cellIs" dxfId="51" priority="3" operator="equal">
      <formula>10</formula>
    </cfRule>
  </conditionalFormatting>
  <dataValidations count="4">
    <dataValidation type="list" allowBlank="1" showInputMessage="1" showErrorMessage="1" sqref="D59:D60 D274:D283 D55 D40:D41 D296:D305 D43:D44 D307:D316 D105:D114 D62:D68 D218:D227 D285:D294 D94:D103 D341:D350 D29:D30 D150:D159 D229:D238 D13:D19 D128:D137 D172:D181 D330:D339 D262:D271 D57 D251:D260 D161:D170 D240:D249 D35:D36 D139:D148 D352:D361 D116:D125 D195:D204 D26:D27 D83:D92 D52:D53 D23:D24 D49:D50 D206:D215 D363:D367 D319:D328 D32:D33 D46:D47 D184:D193 D72:D81" xr:uid="{00000000-0002-0000-0300-000000000000}">
      <formula1>$D$377:$D$382</formula1>
    </dataValidation>
    <dataValidation type="list" allowBlank="1" showInputMessage="1" showErrorMessage="1" sqref="F13:F19 F23:F24 F26:F27 F29:F30 F32:F33 F35:F36 F40:F41 F43:F44 F46:F47 F49:F50 F52:F53 F55 F57 F59:F60 F62:F68 F72:F81 F83:F92 F94:F103 F105:F114 F116:F125 F128:F137 F139:F148 F150:F159 F161:F170 F172:F181 F184:F193 F195:F204 F206:F215 F218:F227 F229:F238 F240:F249 F251:F260 F262:F271 F274:F283 F285:F294 F296:F305 F307:F316 F319:F328 F330:F339 F341:F350 F352:F361 F363:F367" xr:uid="{00000000-0002-0000-0300-000001000000}">
      <formula1>"X"</formula1>
    </dataValidation>
    <dataValidation showInputMessage="1" showErrorMessage="1" sqref="N9 P13:P72 P362:P367 P351:P352 P82:P330 P340:P341" xr:uid="{4A6521FD-D2BD-41FF-8A85-D0F5F29635B7}"/>
    <dataValidation type="textLength" showInputMessage="1" showErrorMessage="1" sqref="O14:O16 O18 M9" xr:uid="{F9849118-F43D-49BF-91FD-8887356C4736}">
      <formula1>0</formula1>
      <formula2>0</formula2>
    </dataValidation>
  </dataValidations>
  <hyperlinks>
    <hyperlink ref="Q19" r:id="rId1" display="http://mbpf/process/companystandards/wi/WIPublished/WI_2467.pdf" xr:uid="{67A0C2A8-A180-404F-AB0E-6ED03D4A2E46}"/>
    <hyperlink ref="Q18" r:id="rId2" display="http://mbpf/process/companystandards/sp/SPPublished/SP05-02.pdf" xr:uid="{EC302ED4-E117-4E56-B401-B2531C6D93D3}"/>
  </hyperlinks>
  <pageMargins left="0.59055118110236227" right="0.39370078740157483" top="0.59055118110236227" bottom="0.39370078740157483" header="0.19685039370078741" footer="0.19685039370078741"/>
  <pageSetup paperSize="9" scale="47" fitToHeight="2" orientation="portrait" r:id="rId3"/>
  <headerFooter scaleWithDoc="0">
    <oddHeader>&amp;L&amp;12Аудит процесса</oddHeader>
    <oddFooter>&amp;RСтраница &amp;P из &amp;N</oddFooter>
  </headerFooter>
  <ignoredErrors>
    <ignoredError sqref="E362"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1505" r:id="rId6" name="Button 1">
              <controlPr defaultSize="0" print="0" autoFill="0" autoPict="0" macro="[0]!AllesZehn">
                <anchor moveWithCells="1" sizeWithCells="1">
                  <from>
                    <xdr:col>2</xdr:col>
                    <xdr:colOff>5391150</xdr:colOff>
                    <xdr:row>2</xdr:row>
                    <xdr:rowOff>247650</xdr:rowOff>
                  </from>
                  <to>
                    <xdr:col>4</xdr:col>
                    <xdr:colOff>847725</xdr:colOff>
                    <xdr:row>6</xdr:row>
                    <xdr:rowOff>95250</xdr:rowOff>
                  </to>
                </anchor>
              </controlPr>
            </control>
          </mc:Choice>
        </mc:AlternateContent>
        <mc:AlternateContent xmlns:mc="http://schemas.openxmlformats.org/markup-compatibility/2006">
          <mc:Choice Requires="x14">
            <control shapeId="21506" r:id="rId7" name="Button 2">
              <controlPr defaultSize="0" print="0" autoFill="0" autoPict="0" macro="[0]!AllesNB">
                <anchor moveWithCells="1" sizeWithCells="1">
                  <from>
                    <xdr:col>2</xdr:col>
                    <xdr:colOff>5391150</xdr:colOff>
                    <xdr:row>1</xdr:row>
                    <xdr:rowOff>38100</xdr:rowOff>
                  </from>
                  <to>
                    <xdr:col>4</xdr:col>
                    <xdr:colOff>866775</xdr:colOff>
                    <xdr:row>2</xdr:row>
                    <xdr:rowOff>200025</xdr:rowOff>
                  </to>
                </anchor>
              </controlPr>
            </control>
          </mc:Choice>
        </mc:AlternateContent>
        <mc:AlternateContent xmlns:mc="http://schemas.openxmlformats.org/markup-compatibility/2006">
          <mc:Choice Requires="x14">
            <control shapeId="21507" r:id="rId8" name="Check Box 3">
              <controlPr defaultSize="0" autoFill="0" autoLine="0" autoPict="0" macro="[0]!AuditP2">
                <anchor moveWithCells="1">
                  <from>
                    <xdr:col>2</xdr:col>
                    <xdr:colOff>76200</xdr:colOff>
                    <xdr:row>11</xdr:row>
                    <xdr:rowOff>152400</xdr:rowOff>
                  </from>
                  <to>
                    <xdr:col>2</xdr:col>
                    <xdr:colOff>5210175</xdr:colOff>
                    <xdr:row>68</xdr:row>
                    <xdr:rowOff>666750</xdr:rowOff>
                  </to>
                </anchor>
              </controlPr>
            </control>
          </mc:Choice>
        </mc:AlternateContent>
        <mc:AlternateContent xmlns:mc="http://schemas.openxmlformats.org/markup-compatibility/2006">
          <mc:Choice Requires="x14">
            <control shapeId="21509" r:id="rId9" name="Check Box 5">
              <controlPr defaultSize="0" autoFill="0" autoLine="0" autoPict="0" macro="[0]!AuditP3">
                <anchor moveWithCells="1">
                  <from>
                    <xdr:col>2</xdr:col>
                    <xdr:colOff>9525</xdr:colOff>
                    <xdr:row>19</xdr:row>
                    <xdr:rowOff>285750</xdr:rowOff>
                  </from>
                  <to>
                    <xdr:col>2</xdr:col>
                    <xdr:colOff>5343525</xdr:colOff>
                    <xdr:row>68</xdr:row>
                    <xdr:rowOff>485775</xdr:rowOff>
                  </to>
                </anchor>
              </controlPr>
            </control>
          </mc:Choice>
        </mc:AlternateContent>
        <mc:AlternateContent xmlns:mc="http://schemas.openxmlformats.org/markup-compatibility/2006">
          <mc:Choice Requires="x14">
            <control shapeId="21510" r:id="rId10" name="Check Box 6">
              <controlPr defaultSize="0" autoFill="0" autoLine="0" autoPict="0" macro="[0]!AuditP4">
                <anchor moveWithCells="1">
                  <from>
                    <xdr:col>2</xdr:col>
                    <xdr:colOff>38100</xdr:colOff>
                    <xdr:row>36</xdr:row>
                    <xdr:rowOff>38100</xdr:rowOff>
                  </from>
                  <to>
                    <xdr:col>2</xdr:col>
                    <xdr:colOff>5372100</xdr:colOff>
                    <xdr:row>68</xdr:row>
                    <xdr:rowOff>704850</xdr:rowOff>
                  </to>
                </anchor>
              </controlPr>
            </control>
          </mc:Choice>
        </mc:AlternateContent>
        <mc:AlternateContent xmlns:mc="http://schemas.openxmlformats.org/markup-compatibility/2006">
          <mc:Choice Requires="x14">
            <control shapeId="21511" r:id="rId11" name="Check Box 7">
              <controlPr defaultSize="0" autoFill="0" autoLine="0" autoPict="0" macro="[0]!AuditP5">
                <anchor moveWithCells="1">
                  <from>
                    <xdr:col>2</xdr:col>
                    <xdr:colOff>38100</xdr:colOff>
                    <xdr:row>60</xdr:row>
                    <xdr:rowOff>66675</xdr:rowOff>
                  </from>
                  <to>
                    <xdr:col>2</xdr:col>
                    <xdr:colOff>5372100</xdr:colOff>
                    <xdr:row>68</xdr:row>
                    <xdr:rowOff>542925</xdr:rowOff>
                  </to>
                </anchor>
              </controlPr>
            </control>
          </mc:Choice>
        </mc:AlternateContent>
        <mc:AlternateContent xmlns:mc="http://schemas.openxmlformats.org/markup-compatibility/2006">
          <mc:Choice Requires="x14">
            <control shapeId="21512" r:id="rId12" name="Check Box 8">
              <controlPr defaultSize="0" autoFill="0" autoLine="0" autoPict="0" macro="[0]!AuditP6">
                <anchor moveWithCells="1">
                  <from>
                    <xdr:col>2</xdr:col>
                    <xdr:colOff>38100</xdr:colOff>
                    <xdr:row>68</xdr:row>
                    <xdr:rowOff>123825</xdr:rowOff>
                  </from>
                  <to>
                    <xdr:col>2</xdr:col>
                    <xdr:colOff>2009775</xdr:colOff>
                    <xdr:row>68</xdr:row>
                    <xdr:rowOff>609600</xdr:rowOff>
                  </to>
                </anchor>
              </controlPr>
            </control>
          </mc:Choice>
        </mc:AlternateContent>
        <mc:AlternateContent xmlns:mc="http://schemas.openxmlformats.org/markup-compatibility/2006">
          <mc:Choice Requires="x14">
            <control shapeId="21513" r:id="rId13" name="Check Box 9">
              <controlPr defaultSize="0" autoFill="0" autoLine="0" autoPict="0" macro="[0]!AuditP7">
                <anchor moveWithCells="1">
                  <from>
                    <xdr:col>2</xdr:col>
                    <xdr:colOff>38100</xdr:colOff>
                    <xdr:row>361</xdr:row>
                    <xdr:rowOff>133350</xdr:rowOff>
                  </from>
                  <to>
                    <xdr:col>2</xdr:col>
                    <xdr:colOff>5372100</xdr:colOff>
                    <xdr:row>361</xdr:row>
                    <xdr:rowOff>609600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7" id="{654AF661-8CE0-41E2-A289-36F9DBEA983B}">
            <xm:f>'Evaluation-Bewertung'!$A$5=FALSE</xm:f>
            <x14:dxf>
              <font>
                <color theme="0" tint="-0.499984740745262"/>
              </font>
              <fill>
                <patternFill>
                  <bgColor theme="0" tint="-0.499984740745262"/>
                </patternFill>
              </fill>
            </x14:dxf>
          </x14:cfRule>
          <xm:sqref>E12</xm:sqref>
        </x14:conditionalFormatting>
        <x14:conditionalFormatting xmlns:xm="http://schemas.microsoft.com/office/excel/2006/main">
          <x14:cfRule type="expression" priority="108" id="{DA229A0C-5E03-4CC1-B803-0AD6F362001B}">
            <xm:f>'Evaluation-Bewertung'!$A$10=FALSE</xm:f>
            <x14:dxf>
              <font>
                <color theme="0" tint="-0.499984740745262"/>
              </font>
              <fill>
                <patternFill>
                  <bgColor theme="0" tint="-0.499984740745262"/>
                </patternFill>
              </fill>
            </x14:dxf>
          </x14:cfRule>
          <xm:sqref>E20:E21</xm:sqref>
        </x14:conditionalFormatting>
        <x14:conditionalFormatting xmlns:xm="http://schemas.microsoft.com/office/excel/2006/main">
          <x14:cfRule type="expression" priority="109" id="{76F1D75F-D24E-4504-8D33-A819DB9DBFB2}">
            <xm:f>'Evaluation-Bewertung'!$A$27=FALSE</xm:f>
            <x14:dxf>
              <font>
                <color theme="0" tint="-0.499984740745262"/>
              </font>
              <fill>
                <patternFill>
                  <bgColor theme="0" tint="-0.499984740745262"/>
                </patternFill>
              </fill>
            </x14:dxf>
          </x14:cfRule>
          <xm:sqref>E61</xm:sqref>
        </x14:conditionalFormatting>
        <x14:conditionalFormatting xmlns:xm="http://schemas.microsoft.com/office/excel/2006/main">
          <x14:cfRule type="expression" priority="110" id="{30BC54C9-6C5A-4F8C-8975-393DCCDAC5CB}">
            <xm:f>'Evaluation-Bewertung'!$A$31=FALSE</xm:f>
            <x14:dxf>
              <font>
                <color theme="0" tint="-0.499984740745262"/>
              </font>
              <fill>
                <patternFill>
                  <bgColor theme="0" tint="-0.499984740745262"/>
                </patternFill>
              </fill>
            </x14:dxf>
          </x14:cfRule>
          <xm:sqref>E69</xm:sqref>
        </x14:conditionalFormatting>
        <x14:conditionalFormatting xmlns:xm="http://schemas.microsoft.com/office/excel/2006/main">
          <x14:cfRule type="expression" priority="111" id="{071D5F85-963A-4C5D-B798-0C80A193122B}">
            <xm:f>'Evaluation-Bewertung'!$A$67=FALSE</xm:f>
            <x14:dxf>
              <font>
                <color theme="0" tint="-0.499984740745262"/>
              </font>
              <fill>
                <patternFill>
                  <bgColor theme="0" tint="-0.499984740745262"/>
                </patternFill>
              </fill>
            </x14:dxf>
          </x14:cfRule>
          <xm:sqref>E362</xm:sqref>
        </x14:conditionalFormatting>
        <x14:conditionalFormatting xmlns:xm="http://schemas.microsoft.com/office/excel/2006/main">
          <x14:cfRule type="expression" priority="112" id="{D3FA6D89-B4BE-4860-A6B8-95B5E6FCF50C}">
            <xm:f>'Evaluation-Bewertung'!$A$18=FALSE</xm:f>
            <x14:dxf>
              <font>
                <color theme="0" tint="-0.499984740745262"/>
              </font>
              <fill>
                <patternFill>
                  <bgColor theme="0" tint="-0.499984740745262"/>
                </patternFill>
              </fill>
            </x14:dxf>
          </x14:cfRule>
          <xm:sqref>E37:E38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7">
    <tabColor indexed="17"/>
    <pageSetUpPr fitToPage="1"/>
  </sheetPr>
  <dimension ref="A1:BI252"/>
  <sheetViews>
    <sheetView showGridLines="0" view="pageBreakPreview" topLeftCell="B1" zoomScaleNormal="70" zoomScaleSheetLayoutView="100" workbookViewId="0">
      <selection activeCell="I1" sqref="I1:BC2"/>
    </sheetView>
  </sheetViews>
  <sheetFormatPr defaultColWidth="11.42578125" defaultRowHeight="14.25"/>
  <cols>
    <col min="1" max="1" width="5.42578125" style="241" hidden="1" customWidth="1"/>
    <col min="2" max="2" width="5" style="32" customWidth="1"/>
    <col min="3" max="3" width="3.42578125" style="32" customWidth="1"/>
    <col min="4" max="27" width="5.7109375" style="32" customWidth="1"/>
    <col min="28" max="28" width="6.85546875" style="32" customWidth="1"/>
    <col min="29" max="35" width="5.7109375" style="32" customWidth="1"/>
    <col min="36" max="36" width="13.7109375" style="32" bestFit="1" customWidth="1"/>
    <col min="37" max="37" width="10.140625" style="32" bestFit="1" customWidth="1"/>
    <col min="38" max="38" width="15.28515625" style="32" customWidth="1"/>
    <col min="39" max="39" width="13.7109375" style="32" bestFit="1" customWidth="1"/>
    <col min="40" max="41" width="5.7109375" style="32" customWidth="1"/>
    <col min="42" max="42" width="7.140625" style="32" customWidth="1"/>
    <col min="43" max="43" width="3" style="32" customWidth="1"/>
    <col min="44" max="44" width="4.5703125" style="32" customWidth="1"/>
    <col min="45" max="45" width="3.140625" style="32" customWidth="1"/>
    <col min="46" max="46" width="10.42578125" style="32" customWidth="1"/>
    <col min="47" max="47" width="2.85546875" style="32" customWidth="1"/>
    <col min="48" max="48" width="2.5703125" style="32" customWidth="1"/>
    <col min="49" max="49" width="2" style="32" customWidth="1"/>
    <col min="50" max="56" width="5.42578125" style="32" customWidth="1"/>
    <col min="57" max="57" width="6" style="32" customWidth="1"/>
    <col min="58" max="58" width="8.42578125" style="32" customWidth="1"/>
    <col min="59" max="59" width="3.28515625" style="32" customWidth="1"/>
    <col min="60" max="60" width="1.42578125" style="32" customWidth="1"/>
    <col min="61" max="61" width="3" style="32" customWidth="1"/>
    <col min="62" max="16384" width="11.42578125" style="32"/>
  </cols>
  <sheetData>
    <row r="1" spans="1:61" ht="19.5" customHeight="1">
      <c r="B1" s="1503"/>
      <c r="C1" s="1504"/>
      <c r="D1" s="1504"/>
      <c r="E1" s="1504"/>
      <c r="F1" s="1504"/>
      <c r="G1" s="1504"/>
      <c r="H1" s="1505"/>
      <c r="I1" s="1509" t="str">
        <f>VLOOKUP(pos(I1),'Language-Sprachen'!$A$120:$G$159,'Language-Sprachen'!$A$3,0)</f>
        <v>Process Audit VDA 6.3 evaluation matrix including total score for product groups</v>
      </c>
      <c r="J1" s="1510" t="e">
        <f>VLOOKUP(pos(J1),'Language-Sprachen'!$A$120:$G$159,'Language-Sprachen'!$A$3,0)</f>
        <v>#N/A</v>
      </c>
      <c r="K1" s="1510" t="e">
        <f>VLOOKUP(pos(K1),'Language-Sprachen'!$A$120:$G$159,'Language-Sprachen'!$A$3,0)</f>
        <v>#N/A</v>
      </c>
      <c r="L1" s="1510" t="e">
        <f>VLOOKUP(pos(L1),'Language-Sprachen'!$A$120:$G$159,'Language-Sprachen'!$A$3,0)</f>
        <v>#N/A</v>
      </c>
      <c r="M1" s="1510" t="e">
        <f>VLOOKUP(pos(M1),'Language-Sprachen'!$A$120:$G$159,'Language-Sprachen'!$A$3,0)</f>
        <v>#N/A</v>
      </c>
      <c r="N1" s="1510" t="e">
        <f>VLOOKUP(pos(N1),'Language-Sprachen'!$A$120:$G$159,'Language-Sprachen'!$A$3,0)</f>
        <v>#N/A</v>
      </c>
      <c r="O1" s="1510" t="e">
        <f>VLOOKUP(pos(O1),'Language-Sprachen'!$A$120:$G$159,'Language-Sprachen'!$A$3,0)</f>
        <v>#N/A</v>
      </c>
      <c r="P1" s="1510" t="e">
        <f>VLOOKUP(pos(P1),'Language-Sprachen'!$A$120:$G$159,'Language-Sprachen'!$A$3,0)</f>
        <v>#N/A</v>
      </c>
      <c r="Q1" s="1510" t="e">
        <f>VLOOKUP(pos(Q1),'Language-Sprachen'!$A$120:$G$159,'Language-Sprachen'!$A$3,0)</f>
        <v>#N/A</v>
      </c>
      <c r="R1" s="1510" t="e">
        <f>VLOOKUP(pos(R1),'Language-Sprachen'!$A$120:$G$159,'Language-Sprachen'!$A$3,0)</f>
        <v>#N/A</v>
      </c>
      <c r="S1" s="1510" t="e">
        <f>VLOOKUP(pos(S1),'Language-Sprachen'!$A$120:$G$159,'Language-Sprachen'!$A$3,0)</f>
        <v>#N/A</v>
      </c>
      <c r="T1" s="1510" t="e">
        <f>VLOOKUP(pos(T1),'Language-Sprachen'!$A$120:$G$159,'Language-Sprachen'!$A$3,0)</f>
        <v>#N/A</v>
      </c>
      <c r="U1" s="1510" t="e">
        <f>VLOOKUP(pos(U1),'Language-Sprachen'!$A$120:$G$159,'Language-Sprachen'!$A$3,0)</f>
        <v>#N/A</v>
      </c>
      <c r="V1" s="1510" t="e">
        <f>VLOOKUP(pos(V1),'Language-Sprachen'!$A$120:$G$159,'Language-Sprachen'!$A$3,0)</f>
        <v>#N/A</v>
      </c>
      <c r="W1" s="1510" t="e">
        <f>VLOOKUP(pos(W1),'Language-Sprachen'!$A$120:$G$159,'Language-Sprachen'!$A$3,0)</f>
        <v>#N/A</v>
      </c>
      <c r="X1" s="1510" t="e">
        <f>VLOOKUP(pos(X1),'Language-Sprachen'!$A$120:$G$159,'Language-Sprachen'!$A$3,0)</f>
        <v>#N/A</v>
      </c>
      <c r="Y1" s="1510" t="e">
        <f>VLOOKUP(pos(Y1),'Language-Sprachen'!$A$120:$G$159,'Language-Sprachen'!$A$3,0)</f>
        <v>#N/A</v>
      </c>
      <c r="Z1" s="1510" t="e">
        <f>VLOOKUP(pos(Z1),'Language-Sprachen'!$A$120:$G$159,'Language-Sprachen'!$A$3,0)</f>
        <v>#N/A</v>
      </c>
      <c r="AA1" s="1510" t="e">
        <f>VLOOKUP(pos(AA1),'Language-Sprachen'!$A$120:$G$159,'Language-Sprachen'!$A$3,0)</f>
        <v>#N/A</v>
      </c>
      <c r="AB1" s="1510" t="e">
        <f>VLOOKUP(pos(AB1),'Language-Sprachen'!$A$120:$G$159,'Language-Sprachen'!$A$3,0)</f>
        <v>#N/A</v>
      </c>
      <c r="AC1" s="1510" t="e">
        <f>VLOOKUP(pos(AC1),'Language-Sprachen'!$A$120:$G$159,'Language-Sprachen'!$A$3,0)</f>
        <v>#N/A</v>
      </c>
      <c r="AD1" s="1510" t="e">
        <f>VLOOKUP(pos(AD1),'Language-Sprachen'!$A$120:$G$159,'Language-Sprachen'!$A$3,0)</f>
        <v>#N/A</v>
      </c>
      <c r="AE1" s="1510" t="e">
        <f>VLOOKUP(pos(AE1),'Language-Sprachen'!$A$120:$G$159,'Language-Sprachen'!$A$3,0)</f>
        <v>#N/A</v>
      </c>
      <c r="AF1" s="1510" t="e">
        <f>VLOOKUP(pos(AF1),'Language-Sprachen'!$A$120:$G$159,'Language-Sprachen'!$A$3,0)</f>
        <v>#N/A</v>
      </c>
      <c r="AG1" s="1510" t="e">
        <f>VLOOKUP(pos(AG1),'Language-Sprachen'!$A$120:$G$159,'Language-Sprachen'!$A$3,0)</f>
        <v>#N/A</v>
      </c>
      <c r="AH1" s="1510" t="e">
        <f>VLOOKUP(pos(AH1),'Language-Sprachen'!$A$120:$G$159,'Language-Sprachen'!$A$3,0)</f>
        <v>#N/A</v>
      </c>
      <c r="AI1" s="1510" t="e">
        <f>VLOOKUP(pos(AI1),'Language-Sprachen'!$A$120:$G$159,'Language-Sprachen'!$A$3,0)</f>
        <v>#N/A</v>
      </c>
      <c r="AJ1" s="1510" t="e">
        <f>VLOOKUP(pos(AJ1),'Language-Sprachen'!$A$120:$G$159,'Language-Sprachen'!$A$3,0)</f>
        <v>#N/A</v>
      </c>
      <c r="AK1" s="1510" t="e">
        <f>VLOOKUP(pos(AK1),'Language-Sprachen'!$A$120:$G$159,'Language-Sprachen'!$A$3,0)</f>
        <v>#N/A</v>
      </c>
      <c r="AL1" s="1510" t="e">
        <f>VLOOKUP(pos(AL1),'Language-Sprachen'!$A$120:$G$159,'Language-Sprachen'!$A$3,0)</f>
        <v>#N/A</v>
      </c>
      <c r="AM1" s="1510" t="e">
        <f>VLOOKUP(pos(AM1),'Language-Sprachen'!$A$120:$G$159,'Language-Sprachen'!$A$3,0)</f>
        <v>#N/A</v>
      </c>
      <c r="AN1" s="1510" t="e">
        <f>VLOOKUP(pos(AN1),'Language-Sprachen'!$A$120:$G$159,'Language-Sprachen'!$A$3,0)</f>
        <v>#N/A</v>
      </c>
      <c r="AO1" s="1510" t="e">
        <f>VLOOKUP(pos(AO1),'Language-Sprachen'!$A$120:$G$159,'Language-Sprachen'!$A$3,0)</f>
        <v>#N/A</v>
      </c>
      <c r="AP1" s="1510" t="e">
        <f>VLOOKUP(pos(AP1),'Language-Sprachen'!$A$120:$G$159,'Language-Sprachen'!$A$3,0)</f>
        <v>#N/A</v>
      </c>
      <c r="AQ1" s="1510" t="e">
        <f>VLOOKUP(pos(AQ1),'Language-Sprachen'!$A$120:$G$159,'Language-Sprachen'!$A$3,0)</f>
        <v>#N/A</v>
      </c>
      <c r="AR1" s="1510" t="e">
        <f>VLOOKUP(pos(AR1),'Language-Sprachen'!$A$120:$G$159,'Language-Sprachen'!$A$3,0)</f>
        <v>#N/A</v>
      </c>
      <c r="AS1" s="1510" t="e">
        <f>VLOOKUP(pos(AS1),'Language-Sprachen'!$A$120:$G$159,'Language-Sprachen'!$A$3,0)</f>
        <v>#N/A</v>
      </c>
      <c r="AT1" s="1510" t="e">
        <f>VLOOKUP(pos(AT1),'Language-Sprachen'!$A$120:$G$159,'Language-Sprachen'!$A$3,0)</f>
        <v>#N/A</v>
      </c>
      <c r="AU1" s="1510" t="e">
        <f>VLOOKUP(pos(AU1),'Language-Sprachen'!$A$120:$G$159,'Language-Sprachen'!$A$3,0)</f>
        <v>#N/A</v>
      </c>
      <c r="AV1" s="1510" t="e">
        <f>VLOOKUP(pos(AV1),'Language-Sprachen'!$A$120:$G$159,'Language-Sprachen'!$A$3,0)</f>
        <v>#N/A</v>
      </c>
      <c r="AW1" s="1510" t="e">
        <f>VLOOKUP(pos(AW1),'Language-Sprachen'!$A$120:$G$159,'Language-Sprachen'!$A$3,0)</f>
        <v>#N/A</v>
      </c>
      <c r="AX1" s="1510" t="e">
        <f>VLOOKUP(pos(AX1),'Language-Sprachen'!$A$120:$G$159,'Language-Sprachen'!$A$3,0)</f>
        <v>#N/A</v>
      </c>
      <c r="AY1" s="1510" t="e">
        <f>VLOOKUP(pos(AY1),'Language-Sprachen'!$A$120:$G$159,'Language-Sprachen'!$A$3,0)</f>
        <v>#N/A</v>
      </c>
      <c r="AZ1" s="1510" t="e">
        <f>VLOOKUP(pos(AZ1),'Language-Sprachen'!$A$120:$G$159,'Language-Sprachen'!$A$3,0)</f>
        <v>#N/A</v>
      </c>
      <c r="BA1" s="1510" t="e">
        <f>VLOOKUP(pos(BA1),'Language-Sprachen'!$A$120:$G$159,'Language-Sprachen'!$A$3,0)</f>
        <v>#N/A</v>
      </c>
      <c r="BB1" s="1510" t="e">
        <f>VLOOKUP(pos(BB1),'Language-Sprachen'!$A$120:$G$159,'Language-Sprachen'!$A$3,0)</f>
        <v>#N/A</v>
      </c>
      <c r="BC1" s="1511" t="e">
        <f>VLOOKUP(pos(BC1),'Language-Sprachen'!$A$120:$G$159,'Language-Sprachen'!$A$3,0)</f>
        <v>#N/A</v>
      </c>
      <c r="BD1" s="389" t="str">
        <f>'Input Form - EingabeMaske'!B9</f>
        <v>Order No.:</v>
      </c>
      <c r="BE1" s="164"/>
      <c r="BF1" s="1574" t="str">
        <f>IF('Input Form - EingabeMaske'!C9="","",'Input Form - EingabeMaske'!C9)</f>
        <v/>
      </c>
      <c r="BG1" s="1574"/>
      <c r="BH1" s="1575"/>
      <c r="BI1" s="28"/>
    </row>
    <row r="2" spans="1:61" ht="11.25" customHeight="1" thickBot="1">
      <c r="B2" s="1506"/>
      <c r="C2" s="1507"/>
      <c r="D2" s="1507"/>
      <c r="E2" s="1507"/>
      <c r="F2" s="1507"/>
      <c r="G2" s="1507"/>
      <c r="H2" s="1508"/>
      <c r="I2" s="1512" t="e">
        <f>VLOOKUP(pos(I2),'Language-Sprachen'!$A$120:$G$159,'Language-Sprachen'!$A$3,0)</f>
        <v>#N/A</v>
      </c>
      <c r="J2" s="1513" t="e">
        <f>VLOOKUP(pos(J2),'Language-Sprachen'!$A$120:$G$159,'Language-Sprachen'!$A$3,0)</f>
        <v>#N/A</v>
      </c>
      <c r="K2" s="1513" t="e">
        <f>VLOOKUP(pos(K2),'Language-Sprachen'!$A$120:$G$159,'Language-Sprachen'!$A$3,0)</f>
        <v>#N/A</v>
      </c>
      <c r="L2" s="1513" t="e">
        <f>VLOOKUP(pos(L2),'Language-Sprachen'!$A$120:$G$159,'Language-Sprachen'!$A$3,0)</f>
        <v>#N/A</v>
      </c>
      <c r="M2" s="1513" t="e">
        <f>VLOOKUP(pos(M2),'Language-Sprachen'!$A$120:$G$159,'Language-Sprachen'!$A$3,0)</f>
        <v>#N/A</v>
      </c>
      <c r="N2" s="1513" t="e">
        <f>VLOOKUP(pos(N2),'Language-Sprachen'!$A$120:$G$159,'Language-Sprachen'!$A$3,0)</f>
        <v>#N/A</v>
      </c>
      <c r="O2" s="1513" t="e">
        <f>VLOOKUP(pos(O2),'Language-Sprachen'!$A$120:$G$159,'Language-Sprachen'!$A$3,0)</f>
        <v>#N/A</v>
      </c>
      <c r="P2" s="1513" t="e">
        <f>VLOOKUP(pos(P2),'Language-Sprachen'!$A$120:$G$159,'Language-Sprachen'!$A$3,0)</f>
        <v>#N/A</v>
      </c>
      <c r="Q2" s="1513" t="e">
        <f>VLOOKUP(pos(Q2),'Language-Sprachen'!$A$120:$G$159,'Language-Sprachen'!$A$3,0)</f>
        <v>#N/A</v>
      </c>
      <c r="R2" s="1513" t="e">
        <f>VLOOKUP(pos(R2),'Language-Sprachen'!$A$120:$G$159,'Language-Sprachen'!$A$3,0)</f>
        <v>#N/A</v>
      </c>
      <c r="S2" s="1513" t="e">
        <f>VLOOKUP(pos(S2),'Language-Sprachen'!$A$120:$G$159,'Language-Sprachen'!$A$3,0)</f>
        <v>#N/A</v>
      </c>
      <c r="T2" s="1513" t="e">
        <f>VLOOKUP(pos(T2),'Language-Sprachen'!$A$120:$G$159,'Language-Sprachen'!$A$3,0)</f>
        <v>#N/A</v>
      </c>
      <c r="U2" s="1513" t="e">
        <f>VLOOKUP(pos(U2),'Language-Sprachen'!$A$120:$G$159,'Language-Sprachen'!$A$3,0)</f>
        <v>#N/A</v>
      </c>
      <c r="V2" s="1513" t="e">
        <f>VLOOKUP(pos(V2),'Language-Sprachen'!$A$120:$G$159,'Language-Sprachen'!$A$3,0)</f>
        <v>#N/A</v>
      </c>
      <c r="W2" s="1513" t="e">
        <f>VLOOKUP(pos(W2),'Language-Sprachen'!$A$120:$G$159,'Language-Sprachen'!$A$3,0)</f>
        <v>#N/A</v>
      </c>
      <c r="X2" s="1513" t="e">
        <f>VLOOKUP(pos(X2),'Language-Sprachen'!$A$120:$G$159,'Language-Sprachen'!$A$3,0)</f>
        <v>#N/A</v>
      </c>
      <c r="Y2" s="1513" t="e">
        <f>VLOOKUP(pos(Y2),'Language-Sprachen'!$A$120:$G$159,'Language-Sprachen'!$A$3,0)</f>
        <v>#N/A</v>
      </c>
      <c r="Z2" s="1513" t="e">
        <f>VLOOKUP(pos(Z2),'Language-Sprachen'!$A$120:$G$159,'Language-Sprachen'!$A$3,0)</f>
        <v>#N/A</v>
      </c>
      <c r="AA2" s="1513" t="e">
        <f>VLOOKUP(pos(AA2),'Language-Sprachen'!$A$120:$G$159,'Language-Sprachen'!$A$3,0)</f>
        <v>#N/A</v>
      </c>
      <c r="AB2" s="1513" t="e">
        <f>VLOOKUP(pos(AB2),'Language-Sprachen'!$A$120:$G$159,'Language-Sprachen'!$A$3,0)</f>
        <v>#N/A</v>
      </c>
      <c r="AC2" s="1513" t="e">
        <f>VLOOKUP(pos(AC2),'Language-Sprachen'!$A$120:$G$159,'Language-Sprachen'!$A$3,0)</f>
        <v>#N/A</v>
      </c>
      <c r="AD2" s="1513" t="e">
        <f>VLOOKUP(pos(AD2),'Language-Sprachen'!$A$120:$G$159,'Language-Sprachen'!$A$3,0)</f>
        <v>#N/A</v>
      </c>
      <c r="AE2" s="1513" t="e">
        <f>VLOOKUP(pos(AE2),'Language-Sprachen'!$A$120:$G$159,'Language-Sprachen'!$A$3,0)</f>
        <v>#N/A</v>
      </c>
      <c r="AF2" s="1513" t="e">
        <f>VLOOKUP(pos(AF2),'Language-Sprachen'!$A$120:$G$159,'Language-Sprachen'!$A$3,0)</f>
        <v>#N/A</v>
      </c>
      <c r="AG2" s="1513" t="e">
        <f>VLOOKUP(pos(AG2),'Language-Sprachen'!$A$120:$G$159,'Language-Sprachen'!$A$3,0)</f>
        <v>#N/A</v>
      </c>
      <c r="AH2" s="1513" t="e">
        <f>VLOOKUP(pos(AH2),'Language-Sprachen'!$A$120:$G$159,'Language-Sprachen'!$A$3,0)</f>
        <v>#N/A</v>
      </c>
      <c r="AI2" s="1513" t="e">
        <f>VLOOKUP(pos(AI2),'Language-Sprachen'!$A$120:$G$159,'Language-Sprachen'!$A$3,0)</f>
        <v>#N/A</v>
      </c>
      <c r="AJ2" s="1513" t="e">
        <f>VLOOKUP(pos(AJ2),'Language-Sprachen'!$A$120:$G$159,'Language-Sprachen'!$A$3,0)</f>
        <v>#N/A</v>
      </c>
      <c r="AK2" s="1513" t="e">
        <f>VLOOKUP(pos(AK2),'Language-Sprachen'!$A$120:$G$159,'Language-Sprachen'!$A$3,0)</f>
        <v>#N/A</v>
      </c>
      <c r="AL2" s="1513" t="e">
        <f>VLOOKUP(pos(AL2),'Language-Sprachen'!$A$120:$G$159,'Language-Sprachen'!$A$3,0)</f>
        <v>#N/A</v>
      </c>
      <c r="AM2" s="1513" t="e">
        <f>VLOOKUP(pos(AM2),'Language-Sprachen'!$A$120:$G$159,'Language-Sprachen'!$A$3,0)</f>
        <v>#N/A</v>
      </c>
      <c r="AN2" s="1513" t="e">
        <f>VLOOKUP(pos(AN2),'Language-Sprachen'!$A$120:$G$159,'Language-Sprachen'!$A$3,0)</f>
        <v>#N/A</v>
      </c>
      <c r="AO2" s="1513" t="e">
        <f>VLOOKUP(pos(AO2),'Language-Sprachen'!$A$120:$G$159,'Language-Sprachen'!$A$3,0)</f>
        <v>#N/A</v>
      </c>
      <c r="AP2" s="1513" t="e">
        <f>VLOOKUP(pos(AP2),'Language-Sprachen'!$A$120:$G$159,'Language-Sprachen'!$A$3,0)</f>
        <v>#N/A</v>
      </c>
      <c r="AQ2" s="1513" t="e">
        <f>VLOOKUP(pos(AQ2),'Language-Sprachen'!$A$120:$G$159,'Language-Sprachen'!$A$3,0)</f>
        <v>#N/A</v>
      </c>
      <c r="AR2" s="1513" t="e">
        <f>VLOOKUP(pos(AR2),'Language-Sprachen'!$A$120:$G$159,'Language-Sprachen'!$A$3,0)</f>
        <v>#N/A</v>
      </c>
      <c r="AS2" s="1513" t="e">
        <f>VLOOKUP(pos(AS2),'Language-Sprachen'!$A$120:$G$159,'Language-Sprachen'!$A$3,0)</f>
        <v>#N/A</v>
      </c>
      <c r="AT2" s="1513" t="e">
        <f>VLOOKUP(pos(AT2),'Language-Sprachen'!$A$120:$G$159,'Language-Sprachen'!$A$3,0)</f>
        <v>#N/A</v>
      </c>
      <c r="AU2" s="1513" t="e">
        <f>VLOOKUP(pos(AU2),'Language-Sprachen'!$A$120:$G$159,'Language-Sprachen'!$A$3,0)</f>
        <v>#N/A</v>
      </c>
      <c r="AV2" s="1513" t="e">
        <f>VLOOKUP(pos(AV2),'Language-Sprachen'!$A$120:$G$159,'Language-Sprachen'!$A$3,0)</f>
        <v>#N/A</v>
      </c>
      <c r="AW2" s="1513" t="e">
        <f>VLOOKUP(pos(AW2),'Language-Sprachen'!$A$120:$G$159,'Language-Sprachen'!$A$3,0)</f>
        <v>#N/A</v>
      </c>
      <c r="AX2" s="1513" t="e">
        <f>VLOOKUP(pos(AX2),'Language-Sprachen'!$A$120:$G$159,'Language-Sprachen'!$A$3,0)</f>
        <v>#N/A</v>
      </c>
      <c r="AY2" s="1513" t="e">
        <f>VLOOKUP(pos(AY2),'Language-Sprachen'!$A$120:$G$159,'Language-Sprachen'!$A$3,0)</f>
        <v>#N/A</v>
      </c>
      <c r="AZ2" s="1513" t="e">
        <f>VLOOKUP(pos(AZ2),'Language-Sprachen'!$A$120:$G$159,'Language-Sprachen'!$A$3,0)</f>
        <v>#N/A</v>
      </c>
      <c r="BA2" s="1513" t="e">
        <f>VLOOKUP(pos(BA2),'Language-Sprachen'!$A$120:$G$159,'Language-Sprachen'!$A$3,0)</f>
        <v>#N/A</v>
      </c>
      <c r="BB2" s="1513" t="e">
        <f>VLOOKUP(pos(BB2),'Language-Sprachen'!$A$120:$G$159,'Language-Sprachen'!$A$3,0)</f>
        <v>#N/A</v>
      </c>
      <c r="BC2" s="1514" t="e">
        <f>VLOOKUP(pos(BC2),'Language-Sprachen'!$A$120:$G$159,'Language-Sprachen'!$A$3,0)</f>
        <v>#N/A</v>
      </c>
      <c r="BD2" s="168"/>
      <c r="BE2" s="169"/>
      <c r="BF2" s="169"/>
      <c r="BG2" s="169"/>
      <c r="BH2" s="170"/>
      <c r="BI2" s="28"/>
    </row>
    <row r="3" spans="1:61" ht="21.75" customHeight="1">
      <c r="A3" s="245" t="s">
        <v>145</v>
      </c>
      <c r="B3" s="48"/>
      <c r="C3" s="172" t="s">
        <v>10</v>
      </c>
      <c r="D3" s="31"/>
      <c r="E3" s="225" t="str">
        <f>VLOOKUP(pos(E3),'Language-Sprachen'!$A$120:$G$159,'Language-Sprachen'!$A$3,0)</f>
        <v>Development</v>
      </c>
      <c r="F3" s="31"/>
      <c r="G3" s="31"/>
      <c r="H3" s="31"/>
      <c r="I3" s="31"/>
      <c r="J3" s="31"/>
      <c r="K3" s="31"/>
      <c r="L3" s="31"/>
      <c r="M3" s="31"/>
      <c r="N3" s="31"/>
      <c r="O3" s="36"/>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49"/>
      <c r="BI3" s="34"/>
    </row>
    <row r="4" spans="1:61" ht="8.25" customHeight="1">
      <c r="B4" s="48"/>
      <c r="C4" s="33"/>
      <c r="D4" s="31"/>
      <c r="E4" s="31"/>
      <c r="F4" s="173"/>
      <c r="G4" s="31"/>
      <c r="H4" s="31"/>
      <c r="I4" s="31"/>
      <c r="J4" s="31"/>
      <c r="K4" s="31"/>
      <c r="L4" s="31"/>
      <c r="M4" s="31"/>
      <c r="N4" s="31"/>
      <c r="O4" s="36"/>
      <c r="P4" s="31"/>
      <c r="Q4" s="31"/>
      <c r="R4" s="31"/>
      <c r="S4" s="31"/>
      <c r="T4" s="31"/>
      <c r="U4" s="31"/>
      <c r="V4" s="31"/>
      <c r="W4" s="31"/>
      <c r="X4" s="31"/>
      <c r="Y4" s="31"/>
      <c r="Z4" s="31"/>
      <c r="AA4" s="31"/>
      <c r="AB4" s="31"/>
      <c r="AC4" s="31"/>
      <c r="AD4" s="31"/>
      <c r="AE4" s="31"/>
      <c r="AF4" s="31"/>
      <c r="AG4" s="31"/>
      <c r="AI4" s="31"/>
      <c r="AJ4" s="31"/>
      <c r="AK4" s="31"/>
      <c r="AL4" s="31"/>
      <c r="AM4" s="31"/>
      <c r="AN4" s="31"/>
      <c r="AO4" s="31"/>
      <c r="AP4" s="31"/>
      <c r="AQ4" s="31"/>
      <c r="AR4" s="31"/>
      <c r="AS4" s="31"/>
      <c r="AT4" s="31"/>
      <c r="AU4" s="31"/>
      <c r="AV4" s="31"/>
      <c r="AW4" s="31"/>
      <c r="AX4" s="31"/>
      <c r="AY4" s="31"/>
      <c r="AZ4" s="31"/>
      <c r="BA4" s="31"/>
      <c r="BB4" s="31"/>
      <c r="BC4" s="31"/>
      <c r="BD4" s="31"/>
      <c r="BE4" s="16"/>
      <c r="BF4" s="16"/>
      <c r="BG4" s="16"/>
      <c r="BH4" s="49"/>
      <c r="BI4" s="34"/>
    </row>
    <row r="5" spans="1:61" ht="16.149999999999999" customHeight="1">
      <c r="A5" s="970" t="b">
        <v>0</v>
      </c>
      <c r="B5" s="48"/>
      <c r="C5" s="224" t="s">
        <v>96</v>
      </c>
      <c r="D5" s="70" t="str">
        <f>'Questions - Fragen'!C12</f>
        <v>Project management</v>
      </c>
      <c r="E5" s="38"/>
      <c r="F5" s="33"/>
      <c r="G5" s="31"/>
      <c r="H5" s="31"/>
      <c r="I5" s="31"/>
      <c r="J5" s="31"/>
      <c r="K5" s="31"/>
      <c r="L5" s="31"/>
      <c r="M5" s="31"/>
      <c r="N5" s="31"/>
      <c r="O5" s="36"/>
      <c r="P5" s="31"/>
      <c r="Q5" s="31"/>
      <c r="R5" s="31"/>
      <c r="S5" s="31"/>
      <c r="T5" s="31"/>
      <c r="U5" s="31"/>
      <c r="V5" s="31"/>
      <c r="W5" s="31"/>
      <c r="X5" s="31"/>
      <c r="Y5" s="31"/>
      <c r="Z5" s="31"/>
      <c r="AA5" s="31"/>
      <c r="AB5" s="31"/>
      <c r="AC5" s="31"/>
      <c r="AD5" s="31"/>
      <c r="AE5" s="31"/>
      <c r="AF5" s="31"/>
      <c r="AG5" s="31"/>
      <c r="AM5" s="31"/>
      <c r="AN5" s="31"/>
      <c r="AO5" s="31"/>
      <c r="AP5" s="31"/>
      <c r="AQ5" s="166" t="str">
        <f>VLOOKUP(pos(AQ5),'Language-Sprachen'!$A$120:$G$159,'Language-Sprachen'!$A$3,0)</f>
        <v>Level of compliance [%]</v>
      </c>
      <c r="AR5" s="31"/>
      <c r="AS5" s="31"/>
      <c r="AT5" s="31"/>
      <c r="AU5" s="31"/>
      <c r="AV5" s="31"/>
      <c r="AW5" s="31"/>
      <c r="AX5" s="31"/>
      <c r="AY5" s="31"/>
      <c r="AZ5" s="31"/>
      <c r="BA5" s="31"/>
      <c r="BB5" s="31"/>
      <c r="BC5" s="31"/>
      <c r="BD5" s="31"/>
      <c r="BE5" s="16"/>
      <c r="BF5" s="16"/>
      <c r="BG5" s="16"/>
      <c r="BH5" s="49"/>
      <c r="BI5" s="34"/>
    </row>
    <row r="6" spans="1:61" ht="6.75" customHeight="1">
      <c r="B6" s="48"/>
      <c r="C6" s="35"/>
      <c r="D6" s="31"/>
      <c r="E6" s="174"/>
      <c r="F6" s="33"/>
      <c r="G6" s="31"/>
      <c r="H6" s="31"/>
      <c r="I6" s="31"/>
      <c r="J6" s="31"/>
      <c r="K6" s="31"/>
      <c r="L6" s="31"/>
      <c r="M6" s="31"/>
      <c r="N6" s="31"/>
      <c r="O6" s="36"/>
      <c r="P6" s="31"/>
      <c r="Q6" s="31"/>
      <c r="R6" s="31"/>
      <c r="S6" s="31"/>
      <c r="T6" s="31"/>
      <c r="U6" s="31"/>
      <c r="V6" s="31"/>
      <c r="W6" s="31"/>
      <c r="X6" s="31"/>
      <c r="Y6" s="31"/>
      <c r="Z6" s="31"/>
      <c r="AA6" s="31"/>
      <c r="AB6" s="31"/>
      <c r="AC6" s="31"/>
      <c r="AD6" s="31"/>
      <c r="AE6" s="31"/>
      <c r="AF6" s="31"/>
      <c r="AG6" s="31"/>
      <c r="AH6" s="15"/>
      <c r="AI6" s="31"/>
      <c r="AJ6" s="31"/>
      <c r="AK6" s="31"/>
      <c r="AL6" s="31"/>
      <c r="AM6" s="31"/>
      <c r="AN6" s="31"/>
      <c r="AO6" s="31"/>
      <c r="AP6" s="31"/>
      <c r="AQ6" s="31"/>
      <c r="AR6" s="31"/>
      <c r="AS6" s="31"/>
      <c r="AT6" s="31"/>
      <c r="AU6" s="31"/>
      <c r="AV6" s="31"/>
      <c r="AW6" s="31"/>
      <c r="AX6" s="31"/>
      <c r="AY6" s="31"/>
      <c r="AZ6" s="31"/>
      <c r="BA6" s="31"/>
      <c r="BB6" s="31"/>
      <c r="BC6" s="31"/>
      <c r="BD6" s="31"/>
      <c r="BE6" s="16"/>
      <c r="BF6" s="16"/>
      <c r="BG6" s="16"/>
      <c r="BH6" s="49"/>
      <c r="BI6" s="34"/>
    </row>
    <row r="7" spans="1:61" ht="15" customHeight="1" thickBot="1">
      <c r="A7" s="241" t="s">
        <v>225</v>
      </c>
      <c r="B7" s="48"/>
      <c r="C7" s="35"/>
      <c r="D7" s="390" t="s">
        <v>30</v>
      </c>
      <c r="E7" s="390" t="s">
        <v>132</v>
      </c>
      <c r="F7" s="390" t="s">
        <v>133</v>
      </c>
      <c r="G7" s="390" t="s">
        <v>74</v>
      </c>
      <c r="H7" s="628" t="s">
        <v>201</v>
      </c>
      <c r="I7" s="628" t="s">
        <v>206</v>
      </c>
      <c r="J7" s="390" t="s">
        <v>136</v>
      </c>
      <c r="K7" s="728" t="str">
        <f>'Questions - Fragen'!$D$382</f>
        <v>n.e.</v>
      </c>
      <c r="L7" s="643" t="str">
        <f>VLOOKUP(pos(L7),'Language-Sprachen'!$A$120:$G$159,'Language-Sprachen'!$A$3,0)</f>
        <v>Act.</v>
      </c>
      <c r="M7" s="643" t="str">
        <f>VLOOKUP(pos(M7),'Language-Sprachen'!$A$120:$G$159,'Language-Sprachen'!$A$3,0)</f>
        <v>Target</v>
      </c>
      <c r="N7" s="643" t="str">
        <f>VLOOKUP(pos(N7),'Language-Sprachen'!$A$120:$G$159,'Language-Sprachen'!$A$3,0)</f>
        <v>Max.</v>
      </c>
      <c r="O7" s="643" t="str">
        <f>$L$7</f>
        <v>Act.</v>
      </c>
      <c r="Q7" s="175"/>
      <c r="R7" s="175"/>
      <c r="S7" s="176"/>
      <c r="T7" s="31"/>
      <c r="U7" s="31"/>
      <c r="V7" s="31"/>
      <c r="W7" s="31"/>
      <c r="X7" s="31"/>
      <c r="Y7" s="31"/>
      <c r="Z7" s="31"/>
      <c r="AA7" s="31"/>
      <c r="AB7" s="31"/>
      <c r="AC7" s="31"/>
      <c r="AD7" s="31"/>
      <c r="AE7" s="31"/>
      <c r="AF7" s="31"/>
      <c r="AG7" s="31"/>
      <c r="AH7" s="15"/>
      <c r="AI7" s="31"/>
      <c r="AJ7" s="31"/>
      <c r="AK7" s="31"/>
      <c r="AL7" s="31"/>
      <c r="AM7" s="31"/>
      <c r="AN7" s="31"/>
      <c r="AO7" s="31"/>
      <c r="AP7" s="31"/>
      <c r="AQ7" s="31"/>
      <c r="AR7" s="31"/>
      <c r="AS7" s="31"/>
      <c r="AT7" s="31"/>
      <c r="AU7" s="31"/>
      <c r="AV7" s="31"/>
      <c r="AW7" s="31"/>
      <c r="AX7" s="31"/>
      <c r="AY7" s="31"/>
      <c r="AZ7" s="31"/>
      <c r="BA7" s="31"/>
      <c r="BB7" s="31"/>
      <c r="BC7" s="31"/>
      <c r="BD7" s="31"/>
      <c r="BE7" s="16"/>
      <c r="BF7" s="16"/>
      <c r="BG7" s="16"/>
      <c r="BH7" s="49"/>
      <c r="BI7" s="34"/>
    </row>
    <row r="8" spans="1:61" ht="15" customHeight="1" thickBot="1">
      <c r="A8" s="243" t="str">
        <f>IF(COUNT(D8:J8)=0,$AI$35,IF(MIN(D8:J8)=0,"B","A"))</f>
        <v>n.e.</v>
      </c>
      <c r="B8" s="48"/>
      <c r="C8" s="35"/>
      <c r="D8" s="232" t="str">
        <f>IF(A5=FALSE,$K$7,IF(ISBLANK('Questions - Fragen'!D13),"--",'Questions - Fragen'!D13))</f>
        <v>n.e.</v>
      </c>
      <c r="E8" s="232" t="str">
        <f>IF(A5=FALSE,$K$7,IF(ISBLANK('Questions - Fragen'!D14),"--",'Questions - Fragen'!D14))</f>
        <v>n.e.</v>
      </c>
      <c r="F8" s="232" t="str">
        <f>IF(A5=FALSE,$K$7,IF(ISBLANK('Questions - Fragen'!D15),"--",'Questions - Fragen'!D15))</f>
        <v>n.e.</v>
      </c>
      <c r="G8" s="232" t="str">
        <f>IF(A5=FALSE,$K$7,IF(ISBLANK('Questions - Fragen'!D16),"--",'Questions - Fragen'!D16))</f>
        <v>n.e.</v>
      </c>
      <c r="H8" s="633" t="str">
        <f>IF(A5=FALSE,$K$7,IF(ISBLANK('Questions - Fragen'!D17),"--",'Questions - Fragen'!D17))</f>
        <v>n.e.</v>
      </c>
      <c r="I8" s="633" t="str">
        <f>IF(A5=FALSE,$K$7,IF(ISBLANK('Questions - Fragen'!D18),"--",'Questions - Fragen'!D18))</f>
        <v>n.e.</v>
      </c>
      <c r="J8" s="232" t="str">
        <f>IF(A5=FALSE,$K$7,IF(ISBLANK('Questions - Fragen'!D19),"--",'Questions - Fragen'!D19))</f>
        <v>n.e.</v>
      </c>
      <c r="K8" s="753">
        <f>COUNTIF(D8:J8,"&gt;-")</f>
        <v>7</v>
      </c>
      <c r="L8" s="753">
        <f>COUNT(D8:J8)</f>
        <v>0</v>
      </c>
      <c r="M8" s="753">
        <v>5</v>
      </c>
      <c r="N8" s="753" t="str">
        <f>IF(AND($A5,L8&gt;=M8),L8*10,"--")</f>
        <v>--</v>
      </c>
      <c r="O8" s="753" t="str">
        <f>IF(AND($A5,L8&gt;=M8),SUM(D8:J8),"--")</f>
        <v>--</v>
      </c>
      <c r="Q8" s="176"/>
      <c r="R8" s="176"/>
      <c r="S8" s="176"/>
      <c r="T8" s="31"/>
      <c r="U8" s="31"/>
      <c r="V8" s="31"/>
      <c r="W8" s="31"/>
      <c r="X8" s="31"/>
      <c r="Y8" s="31"/>
      <c r="Z8" s="31"/>
      <c r="AA8" s="31"/>
      <c r="AB8" s="31"/>
      <c r="AC8" s="31"/>
      <c r="AD8" s="31"/>
      <c r="AE8" s="31"/>
      <c r="AF8" s="31"/>
      <c r="AG8" s="31"/>
      <c r="AH8" s="15"/>
      <c r="AI8" s="31"/>
      <c r="AJ8" s="31"/>
      <c r="AK8" s="31"/>
      <c r="AL8" s="31"/>
      <c r="AM8" s="31"/>
      <c r="AN8" s="31"/>
      <c r="AO8" s="31"/>
      <c r="AP8" s="31"/>
      <c r="AQ8" s="1518" t="s">
        <v>299</v>
      </c>
      <c r="AR8" s="1519"/>
      <c r="AS8" s="1515" t="str">
        <f>IF(AND(A5,L8&gt;=M8),ROUND(O8/N8,2),K7)</f>
        <v>n.e.</v>
      </c>
      <c r="AT8" s="1516"/>
      <c r="AU8" s="16"/>
      <c r="AV8" s="31"/>
      <c r="AW8" s="31"/>
      <c r="AX8" s="31"/>
      <c r="AY8" s="31"/>
      <c r="AZ8" s="31"/>
      <c r="BA8" s="31"/>
      <c r="BB8" s="31"/>
      <c r="BC8" s="31"/>
      <c r="BD8" s="31"/>
      <c r="BE8" s="16"/>
      <c r="BF8" s="16"/>
      <c r="BG8" s="16"/>
      <c r="BH8" s="49"/>
      <c r="BI8" s="34"/>
    </row>
    <row r="9" spans="1:61" ht="6.75" customHeight="1">
      <c r="B9" s="1046"/>
      <c r="C9" s="33"/>
      <c r="D9" s="31"/>
      <c r="E9" s="31"/>
      <c r="F9" s="31"/>
      <c r="G9" s="31"/>
      <c r="H9" s="176"/>
      <c r="I9" s="176"/>
      <c r="J9" s="176"/>
      <c r="K9" s="176"/>
      <c r="L9" s="176"/>
      <c r="M9" s="176"/>
      <c r="N9" s="176"/>
      <c r="O9" s="178"/>
      <c r="P9" s="176"/>
      <c r="Q9" s="176"/>
      <c r="R9" s="176"/>
      <c r="S9" s="176"/>
      <c r="T9" s="31"/>
      <c r="U9" s="31"/>
      <c r="V9" s="31"/>
      <c r="W9" s="31"/>
      <c r="X9" s="31"/>
      <c r="Y9" s="31"/>
      <c r="Z9" s="31"/>
      <c r="AA9" s="31"/>
      <c r="AB9" s="31"/>
      <c r="AC9" s="31"/>
      <c r="AD9" s="31"/>
      <c r="AE9" s="31"/>
      <c r="AF9" s="31"/>
      <c r="AG9" s="31"/>
      <c r="AH9" s="38"/>
      <c r="AI9" s="31"/>
      <c r="AJ9" s="31"/>
      <c r="AK9" s="31"/>
      <c r="AL9" s="31"/>
      <c r="AM9" s="31"/>
      <c r="AN9" s="31"/>
      <c r="AO9" s="31"/>
      <c r="AP9" s="31"/>
      <c r="AQ9" s="31"/>
      <c r="AR9" s="31"/>
      <c r="AS9" s="31"/>
      <c r="AT9" s="31"/>
      <c r="AU9" s="31"/>
      <c r="AV9" s="31"/>
      <c r="AW9" s="31"/>
      <c r="AX9" s="31"/>
      <c r="AY9" s="31"/>
      <c r="AZ9" s="31"/>
      <c r="BA9" s="31"/>
      <c r="BB9" s="31"/>
      <c r="BC9" s="31"/>
      <c r="BD9" s="31"/>
      <c r="BE9" s="16"/>
      <c r="BF9" s="16"/>
      <c r="BG9" s="16"/>
      <c r="BH9" s="49"/>
      <c r="BI9" s="34"/>
    </row>
    <row r="10" spans="1:61" ht="18" customHeight="1">
      <c r="A10" s="971" t="b">
        <v>0</v>
      </c>
      <c r="B10" s="48"/>
      <c r="C10" s="655" t="s">
        <v>97</v>
      </c>
      <c r="D10" s="655" t="str">
        <f>'Questions - Fragen'!C20</f>
        <v>Planning the product and process development</v>
      </c>
      <c r="E10" s="656"/>
      <c r="F10" s="656"/>
      <c r="G10" s="656"/>
      <c r="H10" s="656"/>
      <c r="I10" s="656"/>
      <c r="J10" s="656"/>
      <c r="K10" s="656"/>
      <c r="L10" s="656"/>
      <c r="M10" s="656"/>
      <c r="N10" s="656"/>
      <c r="O10" s="657"/>
      <c r="P10" s="656"/>
      <c r="Q10" s="656"/>
      <c r="R10" s="656"/>
      <c r="S10" s="656"/>
      <c r="T10" s="656"/>
      <c r="U10" s="656"/>
      <c r="V10" s="656"/>
      <c r="W10" s="656"/>
      <c r="X10" s="656"/>
      <c r="Y10" s="656"/>
      <c r="Z10" s="656"/>
      <c r="AA10" s="656"/>
      <c r="AB10" s="656"/>
      <c r="AC10" s="656"/>
      <c r="AD10" s="656"/>
      <c r="AE10" s="656"/>
      <c r="AF10" s="656"/>
      <c r="AG10" s="656"/>
      <c r="AH10" s="656"/>
      <c r="AI10" s="656"/>
      <c r="AJ10" s="656"/>
      <c r="AK10" s="656"/>
      <c r="AL10" s="656"/>
      <c r="AM10" s="656"/>
      <c r="AN10" s="656"/>
      <c r="AO10" s="656"/>
      <c r="AP10" s="656"/>
      <c r="AQ10" s="656"/>
      <c r="AR10" s="656"/>
      <c r="AS10" s="656"/>
      <c r="AT10" s="656"/>
      <c r="AU10" s="656"/>
      <c r="AV10" s="656"/>
      <c r="AW10" s="656"/>
      <c r="AX10" s="656"/>
      <c r="AY10" s="656"/>
      <c r="AZ10" s="656"/>
      <c r="BA10" s="656"/>
      <c r="BB10" s="656"/>
      <c r="BC10" s="656"/>
      <c r="BD10" s="656"/>
      <c r="BE10" s="661"/>
      <c r="BF10" s="661"/>
      <c r="BG10" s="661"/>
      <c r="BH10" s="658"/>
      <c r="BI10" s="34"/>
    </row>
    <row r="11" spans="1:61" ht="6" customHeight="1">
      <c r="A11" s="659"/>
      <c r="B11" s="48"/>
      <c r="C11" s="36"/>
      <c r="D11" s="36"/>
      <c r="E11" s="31"/>
      <c r="F11" s="31"/>
      <c r="G11" s="31"/>
      <c r="H11" s="31"/>
      <c r="I11" s="31"/>
      <c r="J11" s="31"/>
      <c r="K11" s="31"/>
      <c r="L11" s="31"/>
      <c r="M11" s="31"/>
      <c r="N11" s="31"/>
      <c r="O11" s="36"/>
      <c r="P11" s="31"/>
      <c r="Q11" s="31"/>
      <c r="R11" s="31"/>
      <c r="S11" s="31"/>
      <c r="T11" s="31"/>
      <c r="U11" s="31"/>
      <c r="V11" s="31"/>
      <c r="W11" s="31"/>
      <c r="X11" s="31"/>
      <c r="Y11" s="31"/>
      <c r="Z11" s="31"/>
      <c r="AA11" s="31"/>
      <c r="AB11" s="31"/>
      <c r="AC11" s="38"/>
      <c r="AD11" s="38"/>
      <c r="AE11" s="38"/>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15"/>
      <c r="BF11" s="15"/>
      <c r="BG11" s="15"/>
      <c r="BH11" s="49"/>
      <c r="BI11" s="34"/>
    </row>
    <row r="12" spans="1:61" ht="14.1" customHeight="1">
      <c r="B12" s="48"/>
      <c r="C12" s="36"/>
      <c r="D12" s="180" t="str">
        <f>'Questions - Fragen'!C23</f>
        <v>Product</v>
      </c>
      <c r="E12" s="38"/>
      <c r="F12" s="31"/>
      <c r="G12" s="31"/>
      <c r="H12" s="31"/>
      <c r="I12" s="31"/>
      <c r="K12" s="31"/>
      <c r="L12" s="31"/>
      <c r="M12" s="31"/>
      <c r="N12" s="31"/>
      <c r="O12" s="180" t="str">
        <f>'Questions - Fragen'!C24</f>
        <v>Process</v>
      </c>
      <c r="P12" s="31"/>
      <c r="R12" s="180"/>
      <c r="S12" s="180"/>
      <c r="T12" s="180"/>
      <c r="U12" s="180"/>
      <c r="V12" s="180"/>
      <c r="W12" s="180"/>
      <c r="X12" s="180"/>
      <c r="AM12" s="31"/>
      <c r="AN12" s="31"/>
      <c r="AO12" s="31"/>
      <c r="AP12" s="31"/>
      <c r="AQ12" s="31"/>
      <c r="AR12" s="31"/>
      <c r="AS12" s="31"/>
      <c r="AT12" s="31"/>
      <c r="AU12" s="31"/>
      <c r="AV12" s="31"/>
      <c r="AW12" s="31"/>
      <c r="AX12" s="31"/>
      <c r="AY12" s="31"/>
      <c r="AZ12" s="31"/>
      <c r="BA12" s="31"/>
      <c r="BB12" s="31"/>
      <c r="BC12" s="31"/>
      <c r="BD12" s="31"/>
      <c r="BE12" s="16"/>
      <c r="BF12" s="16"/>
      <c r="BG12" s="16"/>
      <c r="BH12" s="49"/>
      <c r="BI12" s="34"/>
    </row>
    <row r="13" spans="1:61" ht="16.5" customHeight="1" thickBot="1">
      <c r="A13" s="241" t="s">
        <v>226</v>
      </c>
      <c r="B13" s="48"/>
      <c r="C13" s="33"/>
      <c r="D13" s="1032" t="s">
        <v>78</v>
      </c>
      <c r="E13" s="1033" t="s">
        <v>203</v>
      </c>
      <c r="F13" s="1032" t="s">
        <v>80</v>
      </c>
      <c r="G13" s="1032" t="s">
        <v>81</v>
      </c>
      <c r="H13" s="1032" t="s">
        <v>82</v>
      </c>
      <c r="I13" s="643" t="str">
        <f>$K$7</f>
        <v>n.e.</v>
      </c>
      <c r="J13" s="643" t="str">
        <f>$L$7</f>
        <v>Act.</v>
      </c>
      <c r="K13" s="643" t="str">
        <f>$M$7</f>
        <v>Target</v>
      </c>
      <c r="L13" s="643" t="str">
        <f>+N7</f>
        <v>Max.</v>
      </c>
      <c r="M13" s="643" t="str">
        <f>$O$7</f>
        <v>Act.</v>
      </c>
      <c r="N13" s="1037"/>
      <c r="O13" s="1032" t="s">
        <v>78</v>
      </c>
      <c r="P13" s="1033" t="s">
        <v>203</v>
      </c>
      <c r="Q13" s="1032" t="s">
        <v>80</v>
      </c>
      <c r="R13" s="1032" t="s">
        <v>81</v>
      </c>
      <c r="S13" s="1032" t="s">
        <v>82</v>
      </c>
      <c r="T13" s="643" t="str">
        <f>$K$7</f>
        <v>n.e.</v>
      </c>
      <c r="U13" s="643" t="str">
        <f>$L$7</f>
        <v>Act.</v>
      </c>
      <c r="V13" s="643" t="str">
        <f>$M$7</f>
        <v>Target</v>
      </c>
      <c r="W13" s="643" t="str">
        <f>$N$7</f>
        <v>Max.</v>
      </c>
      <c r="X13" s="643" t="str">
        <f>$O$7</f>
        <v>Act.</v>
      </c>
      <c r="Y13" s="1036"/>
      <c r="Z13" s="1032" t="s">
        <v>78</v>
      </c>
      <c r="AA13" s="1033" t="s">
        <v>203</v>
      </c>
      <c r="AB13" s="1032" t="s">
        <v>80</v>
      </c>
      <c r="AC13" s="1032" t="s">
        <v>81</v>
      </c>
      <c r="AD13" s="1032" t="s">
        <v>82</v>
      </c>
      <c r="AE13" s="643" t="str">
        <f>$K$7</f>
        <v>n.e.</v>
      </c>
      <c r="AF13" s="643" t="str">
        <f>$L$7</f>
        <v>Act.</v>
      </c>
      <c r="AG13" s="643" t="str">
        <f>$M$7</f>
        <v>Target</v>
      </c>
      <c r="AH13" s="643" t="str">
        <f>$N$7</f>
        <v>Max.</v>
      </c>
      <c r="AI13" s="643" t="str">
        <f>$O$7</f>
        <v>Act.</v>
      </c>
      <c r="AJ13" s="31"/>
      <c r="AM13" s="31"/>
      <c r="AN13" s="31"/>
      <c r="AO13" s="31"/>
      <c r="AP13" s="31"/>
      <c r="AQ13" s="31"/>
      <c r="AR13" s="31"/>
      <c r="AS13" s="31"/>
      <c r="AT13" s="31"/>
      <c r="AU13" s="31"/>
      <c r="AV13" s="31"/>
      <c r="AW13" s="31"/>
      <c r="AX13" s="31"/>
      <c r="AY13" s="31"/>
      <c r="AZ13" s="31"/>
      <c r="BA13" s="31"/>
      <c r="BB13" s="31"/>
      <c r="BC13" s="31"/>
      <c r="BD13" s="31"/>
      <c r="BE13" s="16"/>
      <c r="BF13" s="16"/>
      <c r="BG13" s="16"/>
      <c r="BH13" s="49"/>
      <c r="BI13" s="34"/>
    </row>
    <row r="14" spans="1:61" s="1041" customFormat="1" ht="18.75" customHeight="1" thickBot="1">
      <c r="A14" s="1038" t="str">
        <f>IF(COUNT(D14:H14)+COUNT(O14:S14)=0,$AI$35,IF(MIN(D14:H14,O14:S14)=0,"B","A"))</f>
        <v>n.e.</v>
      </c>
      <c r="B14" s="1039"/>
      <c r="C14" s="174"/>
      <c r="D14" s="232" t="str">
        <f>IF($A$10=FALSE,$I$13,IF(ISBLANK('Questions - Fragen'!$D23),"--",'Questions - Fragen'!$D23))</f>
        <v>n.e.</v>
      </c>
      <c r="E14" s="633" t="str">
        <f>IF($A$10=FALSE,$I$13,IF(ISBLANK('Questions - Fragen'!$D26),"--",'Questions - Fragen'!$D26))</f>
        <v>n.e.</v>
      </c>
      <c r="F14" s="232" t="str">
        <f>IF($A$10=FALSE,$I$13,IF(ISBLANK('Questions - Fragen'!$D29),"--",'Questions - Fragen'!$D29))</f>
        <v>n.e.</v>
      </c>
      <c r="G14" s="232" t="str">
        <f>IF($A$10=FALSE,$I$13,IF(ISBLANK('Questions - Fragen'!$D32),"--",'Questions - Fragen'!$D32))</f>
        <v>n.e.</v>
      </c>
      <c r="H14" s="232" t="str">
        <f>IF($A$10=FALSE,$I$13,IF(ISBLANK('Questions - Fragen'!$D35),"--",'Questions - Fragen'!$D35))</f>
        <v>n.e.</v>
      </c>
      <c r="I14" s="1040">
        <f>COUNTIF(D14:H14,"&gt;-")</f>
        <v>5</v>
      </c>
      <c r="J14" s="1040">
        <f>COUNT(D14:H14)</f>
        <v>0</v>
      </c>
      <c r="K14" s="1040">
        <v>4</v>
      </c>
      <c r="L14" s="1040" t="str">
        <f>IF(AND($A10,J14&gt;=K14),J14*10,"--")</f>
        <v>--</v>
      </c>
      <c r="M14" s="1040" t="str">
        <f>IF(AND($A10,J14&gt;=K14),SUM(D14:H14),"--")</f>
        <v>--</v>
      </c>
      <c r="O14" s="232" t="str">
        <f>IF($A$10=FALSE,$T$13,IF(ISBLANK('Questions - Fragen'!$D24),"--",'Questions - Fragen'!$D24))</f>
        <v>n.e.</v>
      </c>
      <c r="P14" s="633" t="str">
        <f>IF($A$10=FALSE,$T$13,IF(ISBLANK('Questions - Fragen'!$D27),"--",'Questions - Fragen'!$D27))</f>
        <v>n.e.</v>
      </c>
      <c r="Q14" s="232" t="str">
        <f>IF($A$10=FALSE,$T$13,IF(ISBLANK('Questions - Fragen'!$D30),"--",'Questions - Fragen'!$D30))</f>
        <v>n.e.</v>
      </c>
      <c r="R14" s="232" t="str">
        <f>IF($A$10=FALSE,$T$13,IF(ISBLANK('Questions - Fragen'!$D33),"--",'Questions - Fragen'!$D33))</f>
        <v>n.e.</v>
      </c>
      <c r="S14" s="232" t="str">
        <f>IF($A$10=FALSE,$T$13,IF(ISBLANK('Questions - Fragen'!$D36),"--",'Questions - Fragen'!$D36))</f>
        <v>n.e.</v>
      </c>
      <c r="T14" s="1040">
        <f>COUNTIF(O14:S14,"&gt;-")</f>
        <v>5</v>
      </c>
      <c r="U14" s="1040">
        <f>COUNT(O14:S14)</f>
        <v>0</v>
      </c>
      <c r="V14" s="1040">
        <v>4</v>
      </c>
      <c r="W14" s="1040" t="str">
        <f>IF(AND($A10,U14&gt;=V14),U14*10,"--")</f>
        <v>--</v>
      </c>
      <c r="X14" s="1040" t="str">
        <f>IF(AND($A10,U14&gt;=V14),SUM(O14:S14),"--")</f>
        <v>--</v>
      </c>
      <c r="Z14" s="957" t="str">
        <f>IF(AND(D14=$I$13,O14=$T$13),$AE$13,IF(AND(D14="--",O14="--"),"--",IF(COUNT(D14,O14)&gt;0,ROUND(AVERAGE(D14,O14),2),"/")))</f>
        <v>n.e.</v>
      </c>
      <c r="AA14" s="958" t="str">
        <f t="shared" ref="AA14:AD14" si="0">IF(AND(E14=$I$13,P14=$T$13),$AE$13,IF(AND(E14="--",P14="--"),"--",IF(COUNT(E14,P14)&gt;0,ROUND(AVERAGE(E14,P14),2),"/")))</f>
        <v>n.e.</v>
      </c>
      <c r="AB14" s="957" t="str">
        <f t="shared" si="0"/>
        <v>n.e.</v>
      </c>
      <c r="AC14" s="957" t="str">
        <f t="shared" si="0"/>
        <v>n.e.</v>
      </c>
      <c r="AD14" s="957" t="str">
        <f t="shared" si="0"/>
        <v>n.e.</v>
      </c>
      <c r="AE14" s="1040">
        <f>COUNTIF(Z14:AD14,"&gt;-")</f>
        <v>5</v>
      </c>
      <c r="AF14" s="1040">
        <f>COUNT(Z14:AD14)</f>
        <v>0</v>
      </c>
      <c r="AG14" s="1040">
        <v>4</v>
      </c>
      <c r="AH14" s="1040" t="str">
        <f>IF(AND($A10,AF14&gt;=AG14),AF14*10,"--")</f>
        <v>--</v>
      </c>
      <c r="AI14" s="1040" t="str">
        <f>IF(AND($A10,AF14&gt;=AG14),SUM(Z14:AD14),"--")</f>
        <v>--</v>
      </c>
      <c r="AJ14" s="33"/>
      <c r="AM14" s="1042"/>
      <c r="AN14" s="1042"/>
      <c r="AO14" s="1042"/>
      <c r="AP14" s="1042"/>
      <c r="AQ14" s="1522" t="s">
        <v>435</v>
      </c>
      <c r="AR14" s="1523"/>
      <c r="AS14" s="1520" t="str">
        <f>IF(AND(L16=I13,W16=T13),I13,ROUND(AI14/AH14,2))</f>
        <v>n.e.</v>
      </c>
      <c r="AT14" s="1521"/>
      <c r="AU14" s="1043"/>
      <c r="AV14" s="1044"/>
      <c r="AW14" s="1044"/>
      <c r="AX14" s="1044"/>
      <c r="AY14" s="1044"/>
      <c r="AZ14" s="1044"/>
      <c r="BA14" s="1044"/>
      <c r="BB14" s="1044"/>
      <c r="BC14" s="1044"/>
      <c r="BD14" s="1044"/>
      <c r="BE14" s="1043"/>
      <c r="BF14" s="1043"/>
      <c r="BG14" s="1043"/>
      <c r="BH14" s="1045"/>
      <c r="BI14" s="1043"/>
    </row>
    <row r="15" spans="1:61" ht="15" thickBot="1">
      <c r="B15" s="48"/>
      <c r="C15" s="33"/>
      <c r="D15" s="38"/>
      <c r="E15" s="38"/>
      <c r="F15" s="38"/>
      <c r="G15" s="38"/>
      <c r="H15" s="38"/>
      <c r="N15" s="180"/>
      <c r="O15" s="31"/>
      <c r="P15" s="31"/>
      <c r="T15" s="31"/>
      <c r="V15" s="31"/>
      <c r="W15" s="176"/>
      <c r="X15" s="179"/>
      <c r="Y15" s="179"/>
      <c r="Z15" s="179"/>
      <c r="AA15" s="179"/>
      <c r="AB15" s="179"/>
      <c r="AC15" s="179"/>
      <c r="AD15" s="15"/>
      <c r="AE15" s="15"/>
      <c r="AF15" s="15"/>
      <c r="AJ15" s="15"/>
      <c r="AK15" s="15"/>
      <c r="AL15" s="15"/>
      <c r="AM15" s="15"/>
      <c r="AN15" s="15"/>
      <c r="AO15" s="15"/>
      <c r="AP15" s="15"/>
      <c r="AQ15" s="15"/>
      <c r="AR15" s="31"/>
      <c r="AS15" s="31"/>
      <c r="AT15" s="31"/>
      <c r="AU15" s="15"/>
      <c r="AV15" s="15"/>
      <c r="AW15" s="15"/>
      <c r="AX15" s="15"/>
      <c r="AY15" s="15"/>
      <c r="AZ15" s="15"/>
      <c r="BA15" s="15"/>
      <c r="BB15" s="15"/>
      <c r="BC15" s="15"/>
      <c r="BD15" s="15"/>
      <c r="BE15" s="16"/>
      <c r="BF15" s="16"/>
      <c r="BG15" s="16"/>
      <c r="BH15" s="51"/>
      <c r="BI15" s="16"/>
    </row>
    <row r="16" spans="1:61" ht="15.75" thickBot="1">
      <c r="B16" s="48"/>
      <c r="C16" s="33"/>
      <c r="D16" s="38"/>
      <c r="E16" s="38"/>
      <c r="F16" s="38"/>
      <c r="G16" s="38"/>
      <c r="H16" s="38"/>
      <c r="K16" s="183" t="s">
        <v>66</v>
      </c>
      <c r="L16" s="1471" t="str">
        <f>IF(AND(A10,J14&gt;=K14),ROUND(M14/L14,2),I13)</f>
        <v>n.e.</v>
      </c>
      <c r="M16" s="1472"/>
      <c r="N16" s="29"/>
      <c r="O16" s="38"/>
      <c r="P16" s="38"/>
      <c r="T16" s="182"/>
      <c r="V16" s="183" t="s">
        <v>59</v>
      </c>
      <c r="W16" s="1471" t="str">
        <f>IF(AND(A10,U14&gt;=V14),ROUND(X14/W14,2),T13)</f>
        <v>n.e.</v>
      </c>
      <c r="X16" s="1472"/>
      <c r="Y16" s="179"/>
      <c r="Z16" s="179"/>
      <c r="AA16" s="179"/>
      <c r="AB16" s="179"/>
      <c r="AC16" s="179"/>
      <c r="AD16" s="15"/>
      <c r="AE16" s="15"/>
      <c r="AF16" s="15"/>
      <c r="AJ16" s="15"/>
      <c r="AK16" s="15"/>
      <c r="AL16" s="15"/>
      <c r="AM16" s="15"/>
      <c r="AN16" s="15"/>
      <c r="AO16" s="15"/>
      <c r="AP16" s="15"/>
      <c r="AQ16" s="15"/>
      <c r="AR16" s="38"/>
      <c r="AS16" s="182"/>
      <c r="AT16" s="182"/>
      <c r="AU16" s="15"/>
      <c r="AV16" s="15"/>
      <c r="AW16" s="15"/>
      <c r="AX16" s="15"/>
      <c r="AY16" s="15"/>
      <c r="AZ16" s="15"/>
      <c r="BA16" s="15"/>
      <c r="BB16" s="15"/>
      <c r="BC16" s="15"/>
      <c r="BD16" s="15"/>
      <c r="BE16" s="16"/>
      <c r="BF16" s="16"/>
      <c r="BG16" s="16"/>
      <c r="BH16" s="51"/>
      <c r="BI16" s="16"/>
    </row>
    <row r="17" spans="1:61" ht="15">
      <c r="B17" s="48"/>
      <c r="C17" s="33"/>
      <c r="D17" s="31"/>
      <c r="E17" s="31"/>
      <c r="F17" s="31"/>
      <c r="G17" s="31"/>
      <c r="H17" s="31"/>
      <c r="I17" s="31"/>
      <c r="J17" s="31"/>
      <c r="K17" s="31"/>
      <c r="L17" s="31"/>
      <c r="M17" s="31"/>
      <c r="N17" s="31"/>
      <c r="O17" s="36"/>
      <c r="P17" s="31"/>
      <c r="Q17" s="31"/>
      <c r="V17" s="31"/>
      <c r="W17" s="31"/>
      <c r="X17" s="15"/>
      <c r="Y17" s="15"/>
      <c r="Z17" s="15"/>
      <c r="AA17" s="15"/>
      <c r="AB17" s="15"/>
      <c r="AC17" s="15"/>
      <c r="AD17" s="15"/>
      <c r="AE17" s="15"/>
      <c r="AF17" s="15"/>
      <c r="AJ17" s="15"/>
      <c r="AK17" s="15"/>
      <c r="AL17" s="15"/>
      <c r="AM17" s="15"/>
      <c r="AN17" s="15"/>
      <c r="AO17" s="15"/>
      <c r="AP17" s="15"/>
      <c r="AQ17" s="15"/>
      <c r="AR17" s="15"/>
      <c r="AS17" s="15"/>
      <c r="AT17" s="15"/>
      <c r="AU17" s="15"/>
      <c r="AV17" s="15"/>
      <c r="AW17" s="15"/>
      <c r="AX17" s="15"/>
      <c r="AY17" s="15"/>
      <c r="AZ17" s="15"/>
      <c r="BA17" s="15"/>
      <c r="BB17" s="15"/>
      <c r="BC17" s="15"/>
      <c r="BD17" s="15"/>
      <c r="BE17" s="16"/>
      <c r="BF17" s="16"/>
      <c r="BG17" s="16"/>
      <c r="BH17" s="51"/>
      <c r="BI17" s="16"/>
    </row>
    <row r="18" spans="1:61" ht="15.75">
      <c r="A18" s="971" t="b">
        <v>0</v>
      </c>
      <c r="B18" s="654"/>
      <c r="C18" s="655" t="s">
        <v>98</v>
      </c>
      <c r="D18" s="655" t="str">
        <f>'Questions - Fragen'!C37</f>
        <v>Implementation of the product and process development</v>
      </c>
      <c r="E18" s="656"/>
      <c r="F18" s="656"/>
      <c r="G18" s="656"/>
      <c r="H18" s="656"/>
      <c r="I18" s="656"/>
      <c r="J18" s="656"/>
      <c r="K18" s="656"/>
      <c r="L18" s="656"/>
      <c r="M18" s="656"/>
      <c r="N18" s="656"/>
      <c r="O18" s="657"/>
      <c r="P18" s="656"/>
      <c r="Q18" s="656"/>
      <c r="R18" s="660"/>
      <c r="S18" s="660"/>
      <c r="T18" s="660"/>
      <c r="U18" s="660"/>
      <c r="V18" s="656"/>
      <c r="W18" s="656"/>
      <c r="X18" s="661"/>
      <c r="Y18" s="661"/>
      <c r="Z18" s="661"/>
      <c r="AA18" s="661"/>
      <c r="AB18" s="661"/>
      <c r="AC18" s="661"/>
      <c r="AD18" s="661"/>
      <c r="AE18" s="661"/>
      <c r="AF18" s="661"/>
      <c r="AG18" s="660"/>
      <c r="AH18" s="660"/>
      <c r="AI18" s="660"/>
      <c r="AJ18" s="661"/>
      <c r="AK18" s="661"/>
      <c r="AL18" s="661"/>
      <c r="AM18" s="661"/>
      <c r="AN18" s="661"/>
      <c r="AO18" s="661"/>
      <c r="AP18" s="661"/>
      <c r="AQ18" s="661"/>
      <c r="AR18" s="661"/>
      <c r="AS18" s="661"/>
      <c r="AT18" s="661"/>
      <c r="AU18" s="661"/>
      <c r="AV18" s="661"/>
      <c r="AW18" s="661"/>
      <c r="AX18" s="661"/>
      <c r="AY18" s="661"/>
      <c r="AZ18" s="661"/>
      <c r="BA18" s="661"/>
      <c r="BB18" s="661"/>
      <c r="BC18" s="661"/>
      <c r="BD18" s="661"/>
      <c r="BE18" s="661"/>
      <c r="BF18" s="661"/>
      <c r="BG18" s="661"/>
      <c r="BH18" s="662"/>
      <c r="BI18" s="16"/>
    </row>
    <row r="19" spans="1:61" ht="6.75" customHeight="1">
      <c r="B19" s="48"/>
      <c r="C19" s="36"/>
      <c r="D19" s="36"/>
      <c r="E19" s="31"/>
      <c r="F19" s="31"/>
      <c r="G19" s="31"/>
      <c r="H19" s="31"/>
      <c r="I19" s="31"/>
      <c r="J19" s="31"/>
      <c r="K19" s="31"/>
      <c r="L19" s="31"/>
      <c r="M19" s="31"/>
      <c r="N19" s="31"/>
      <c r="O19" s="36"/>
      <c r="P19" s="31"/>
      <c r="Q19" s="31"/>
      <c r="V19" s="31"/>
      <c r="W19" s="31"/>
      <c r="X19" s="15"/>
      <c r="Y19" s="15"/>
      <c r="Z19" s="15"/>
      <c r="AA19" s="15"/>
      <c r="AB19" s="15"/>
      <c r="AC19" s="15"/>
      <c r="AD19" s="15"/>
      <c r="AE19" s="15"/>
      <c r="AF19" s="15"/>
      <c r="AJ19" s="15"/>
      <c r="AK19" s="15"/>
      <c r="AL19" s="15"/>
      <c r="AM19" s="15"/>
      <c r="AN19" s="15"/>
      <c r="AO19" s="15"/>
      <c r="AP19" s="15"/>
      <c r="AQ19" s="15"/>
      <c r="AR19" s="15"/>
      <c r="AS19" s="15"/>
      <c r="AT19" s="15"/>
      <c r="AU19" s="15"/>
      <c r="AV19" s="15"/>
      <c r="AW19" s="15"/>
      <c r="AX19" s="15"/>
      <c r="AY19" s="15"/>
      <c r="AZ19" s="15"/>
      <c r="BA19" s="15"/>
      <c r="BB19" s="15"/>
      <c r="BC19" s="15"/>
      <c r="BD19" s="15"/>
      <c r="BE19" s="16"/>
      <c r="BF19" s="16"/>
      <c r="BG19" s="16"/>
      <c r="BH19" s="51"/>
      <c r="BI19" s="16"/>
    </row>
    <row r="20" spans="1:61" ht="14.1" customHeight="1">
      <c r="B20" s="48"/>
      <c r="C20" s="36"/>
      <c r="D20" s="180" t="str">
        <f>D12</f>
        <v>Product</v>
      </c>
      <c r="E20" s="31"/>
      <c r="F20" s="31"/>
      <c r="G20" s="31"/>
      <c r="H20" s="31"/>
      <c r="I20" s="31"/>
      <c r="K20" s="31"/>
      <c r="L20" s="31"/>
      <c r="M20" s="31"/>
      <c r="O20" s="36"/>
      <c r="P20" s="49"/>
      <c r="Q20" s="180" t="str">
        <f>O12</f>
        <v>Process</v>
      </c>
      <c r="R20" s="31"/>
      <c r="T20" s="15"/>
      <c r="U20" s="15"/>
      <c r="V20" s="15"/>
      <c r="W20" s="15"/>
      <c r="X20" s="15"/>
      <c r="Y20" s="15"/>
      <c r="Z20" s="15"/>
      <c r="AA20" s="15"/>
      <c r="AB20" s="38"/>
      <c r="AC20" s="54"/>
      <c r="AJ20" s="38"/>
      <c r="AK20" s="15"/>
      <c r="AL20" s="15"/>
      <c r="AM20" s="15"/>
      <c r="AN20" s="15"/>
      <c r="AO20" s="15"/>
      <c r="AP20" s="15"/>
      <c r="AQ20" s="15"/>
      <c r="AR20" s="15"/>
      <c r="AS20" s="15"/>
      <c r="AT20" s="15"/>
      <c r="AU20" s="15"/>
      <c r="AV20" s="15"/>
      <c r="AW20" s="15"/>
      <c r="AX20" s="15"/>
      <c r="AY20" s="15"/>
      <c r="AZ20" s="15"/>
      <c r="BA20" s="15"/>
      <c r="BB20" s="15"/>
      <c r="BC20" s="15"/>
      <c r="BD20" s="15"/>
      <c r="BE20" s="16"/>
      <c r="BF20" s="16"/>
      <c r="BG20" s="16"/>
      <c r="BH20" s="51"/>
      <c r="BI20" s="16"/>
    </row>
    <row r="21" spans="1:61" ht="16.5" customHeight="1" thickBot="1">
      <c r="A21" s="241" t="s">
        <v>227</v>
      </c>
      <c r="B21" s="48"/>
      <c r="C21" s="33"/>
      <c r="D21" s="1033" t="s">
        <v>207</v>
      </c>
      <c r="E21" s="1032" t="s">
        <v>137</v>
      </c>
      <c r="F21" s="1032" t="s">
        <v>138</v>
      </c>
      <c r="G21" s="1033" t="s">
        <v>208</v>
      </c>
      <c r="H21" s="1032" t="s">
        <v>140</v>
      </c>
      <c r="I21" s="1032" t="s">
        <v>141</v>
      </c>
      <c r="J21" s="1032" t="s">
        <v>142</v>
      </c>
      <c r="K21" s="1032" t="s">
        <v>434</v>
      </c>
      <c r="L21" s="643" t="str">
        <f>$K$7</f>
        <v>n.e.</v>
      </c>
      <c r="M21" s="643" t="str">
        <f>$L$7</f>
        <v>Act.</v>
      </c>
      <c r="N21" s="643" t="str">
        <f>$M$7</f>
        <v>Target</v>
      </c>
      <c r="O21" s="751" t="str">
        <f>$N$7</f>
        <v>Max.</v>
      </c>
      <c r="P21" s="759" t="str">
        <f>$O$7</f>
        <v>Act.</v>
      </c>
      <c r="Q21" s="1033" t="s">
        <v>207</v>
      </c>
      <c r="R21" s="1032" t="s">
        <v>137</v>
      </c>
      <c r="S21" s="1032" t="s">
        <v>138</v>
      </c>
      <c r="T21" s="1033" t="s">
        <v>208</v>
      </c>
      <c r="U21" s="1032" t="s">
        <v>140</v>
      </c>
      <c r="V21" s="1032" t="s">
        <v>141</v>
      </c>
      <c r="W21" s="1032" t="s">
        <v>142</v>
      </c>
      <c r="X21" s="1033" t="s">
        <v>434</v>
      </c>
      <c r="Y21" s="643" t="str">
        <f>$K$7</f>
        <v>n.e.</v>
      </c>
      <c r="Z21" s="643" t="str">
        <f>$L$7</f>
        <v>Act.</v>
      </c>
      <c r="AA21" s="643" t="str">
        <f>$M$7</f>
        <v>Target</v>
      </c>
      <c r="AB21" s="751" t="str">
        <f>$N$7</f>
        <v>Max.</v>
      </c>
      <c r="AC21" s="759" t="str">
        <f>$O$7</f>
        <v>Act.</v>
      </c>
      <c r="AD21" s="1033" t="s">
        <v>207</v>
      </c>
      <c r="AE21" s="1032" t="s">
        <v>137</v>
      </c>
      <c r="AF21" s="1032" t="s">
        <v>138</v>
      </c>
      <c r="AG21" s="1033" t="s">
        <v>208</v>
      </c>
      <c r="AH21" s="1032" t="s">
        <v>140</v>
      </c>
      <c r="AI21" s="1032" t="s">
        <v>141</v>
      </c>
      <c r="AJ21" s="1032" t="s">
        <v>142</v>
      </c>
      <c r="AK21" s="1033" t="s">
        <v>434</v>
      </c>
      <c r="AL21" s="643" t="str">
        <f>$K$7</f>
        <v>n.e.</v>
      </c>
      <c r="AM21" s="643" t="str">
        <f>$L$7</f>
        <v>Act.</v>
      </c>
      <c r="AN21" s="643" t="str">
        <f>$M$7</f>
        <v>Target</v>
      </c>
      <c r="AO21" s="643" t="str">
        <f>$N$7</f>
        <v>Max.</v>
      </c>
      <c r="AP21" s="643" t="str">
        <f>$O$7</f>
        <v>Act.</v>
      </c>
      <c r="AQ21" s="15"/>
      <c r="AR21" s="15"/>
      <c r="AS21" s="15"/>
      <c r="AT21" s="15"/>
      <c r="AU21" s="15"/>
      <c r="AV21" s="15"/>
      <c r="AW21" s="15"/>
      <c r="AX21" s="15"/>
      <c r="AY21" s="15"/>
      <c r="AZ21" s="15"/>
      <c r="BA21" s="15"/>
      <c r="BB21" s="15"/>
      <c r="BC21" s="15"/>
      <c r="BD21" s="15"/>
      <c r="BE21" s="16"/>
      <c r="BF21" s="16"/>
      <c r="BG21" s="16"/>
      <c r="BH21" s="51"/>
      <c r="BI21" s="16"/>
    </row>
    <row r="22" spans="1:61" s="37" customFormat="1" ht="15" customHeight="1" thickBot="1">
      <c r="A22" s="243" t="str">
        <f>IF(COUNT(D22:K22)+COUNT(Q22:X22)=0,$AI$35,IF(MIN(D22:K22,Q22:X22)=0,"B","A"))</f>
        <v>n.e.</v>
      </c>
      <c r="B22" s="50"/>
      <c r="C22" s="180"/>
      <c r="D22" s="633" t="str">
        <f>IF($A$18=FALSE,$L$21,IF(ISBLANK('Questions - Fragen'!$D40),"--",'Questions - Fragen'!$D40))</f>
        <v>n.e.</v>
      </c>
      <c r="E22" s="232" t="str">
        <f>IF($A$18=FALSE,$L$21,IF(ISBLANK('Questions - Fragen'!$D43),"--",'Questions - Fragen'!$D43))</f>
        <v>n.e.</v>
      </c>
      <c r="F22" s="232" t="str">
        <f>IF($A$18=FALSE,$L$21,IF(ISBLANK('Questions - Fragen'!$D46),"--",'Questions - Fragen'!$D46))</f>
        <v>n.e.</v>
      </c>
      <c r="G22" s="633" t="str">
        <f>IF($A$18=FALSE,$L$21,IF(ISBLANK('Questions - Fragen'!$D49),"--",'Questions - Fragen'!$D49))</f>
        <v>n.e.</v>
      </c>
      <c r="H22" s="232" t="str">
        <f>IF($A$18=FALSE,$L$21,IF(ISBLANK('Questions - Fragen'!$D52),"--",'Questions - Fragen'!$D52))</f>
        <v>n.e.</v>
      </c>
      <c r="I22" s="959" t="str">
        <f>L21</f>
        <v>n.e.</v>
      </c>
      <c r="J22" s="959" t="str">
        <f>L21</f>
        <v>n.e.</v>
      </c>
      <c r="K22" s="232" t="str">
        <f>IF($A$18=FALSE,$L$21,IF(ISBLANK('Questions - Fragen'!$D59),"--",'Questions - Fragen'!$D59))</f>
        <v>n.e.</v>
      </c>
      <c r="L22" s="753">
        <f>COUNTIF(D22:K22,"&gt;-")</f>
        <v>8</v>
      </c>
      <c r="M22" s="753">
        <f>COUNT(D22:K22)</f>
        <v>0</v>
      </c>
      <c r="N22" s="753">
        <v>4</v>
      </c>
      <c r="O22" s="754" t="str">
        <f>IF(AND($A18,M22&gt;=N22),M22*10,"--")</f>
        <v>--</v>
      </c>
      <c r="P22" s="760" t="str">
        <f>IF(AND($A18,M22&gt;=N22),SUM(D22:K22),"--")</f>
        <v>--</v>
      </c>
      <c r="Q22" s="1025" t="str">
        <f>IF($A$18=FALSE,$Y$21,IF(ISBLANK('Questions - Fragen'!$D41),"--",'Questions - Fragen'!$D41))</f>
        <v>n.e.</v>
      </c>
      <c r="R22" s="232" t="str">
        <f>IF($A$18=FALSE,$Y$21,IF(ISBLANK('Questions - Fragen'!$D44),"--",'Questions - Fragen'!$D44))</f>
        <v>n.e.</v>
      </c>
      <c r="S22" s="232" t="str">
        <f>IF($A$18=FALSE,$Y$21,IF(ISBLANK('Questions - Fragen'!$D47),"--",'Questions - Fragen'!$D47))</f>
        <v>n.e.</v>
      </c>
      <c r="T22" s="633" t="str">
        <f>IF($A$18=FALSE,$Y$21,IF(ISBLANK('Questions - Fragen'!$D50),"--",'Questions - Fragen'!$D50))</f>
        <v>n.e.</v>
      </c>
      <c r="U22" s="232" t="str">
        <f>IF($A$18=FALSE,$Y$21,IF(ISBLANK('Questions - Fragen'!$D53),"--",'Questions - Fragen'!$D53))</f>
        <v>n.e.</v>
      </c>
      <c r="V22" s="232" t="str">
        <f>IF($A$18=FALSE,$Y$21,IF(ISBLANK('Questions - Fragen'!$D55),"--",'Questions - Fragen'!$D55))</f>
        <v>n.e.</v>
      </c>
      <c r="W22" s="232" t="str">
        <f>IF($A$18=FALSE,$Y$21,IF(ISBLANK('Questions - Fragen'!$D57),"--",'Questions - Fragen'!$D57))</f>
        <v>n.e.</v>
      </c>
      <c r="X22" s="633" t="str">
        <f>IF($A$18=FALSE,$Y$21,IF(ISBLANK('Questions - Fragen'!$D60),"--",'Questions - Fragen'!$D60))</f>
        <v>n.e.</v>
      </c>
      <c r="Y22" s="753">
        <f>COUNTIF(Q22:X22,"&gt;-")</f>
        <v>8</v>
      </c>
      <c r="Z22" s="753">
        <f>COUNT(Q22:X22)</f>
        <v>0</v>
      </c>
      <c r="AA22" s="753">
        <v>6</v>
      </c>
      <c r="AB22" s="754" t="str">
        <f>IF(AND($A18,Z22&gt;=AA22),Z22*10,"--")</f>
        <v>--</v>
      </c>
      <c r="AC22" s="760" t="str">
        <f>IF(AND($A18,Z22&gt;=AA22),SUM(Q22:X22),"--")</f>
        <v>--</v>
      </c>
      <c r="AD22" s="1027" t="str">
        <f>IF(AND(D22=$L$21,Q22=$Y$21),$AL$21,IF(AND(D22="--",Q22="--"),"--",IF(COUNT(D22,Q22)&gt;0,ROUND(AVERAGE(D22,Q22),2),"/")))</f>
        <v>n.e.</v>
      </c>
      <c r="AE22" s="957" t="str">
        <f t="shared" ref="AE22:AK22" si="1">IF(AND(E22=$L$21,R22=$Y$21),$AL$21,IF(AND(E22="--",R22="--"),"--",IF(COUNT(E22,R22)&gt;0,ROUND(AVERAGE(E22,R22),2),"/")))</f>
        <v>n.e.</v>
      </c>
      <c r="AF22" s="957" t="str">
        <f t="shared" si="1"/>
        <v>n.e.</v>
      </c>
      <c r="AG22" s="958" t="str">
        <f t="shared" si="1"/>
        <v>n.e.</v>
      </c>
      <c r="AH22" s="957" t="str">
        <f t="shared" si="1"/>
        <v>n.e.</v>
      </c>
      <c r="AI22" s="957" t="str">
        <f t="shared" si="1"/>
        <v>n.e.</v>
      </c>
      <c r="AJ22" s="957" t="str">
        <f t="shared" si="1"/>
        <v>n.e.</v>
      </c>
      <c r="AK22" s="958" t="str">
        <f t="shared" si="1"/>
        <v>n.e.</v>
      </c>
      <c r="AL22" s="753">
        <f>COUNTIF(AD22:AK22,"&gt;-")</f>
        <v>8</v>
      </c>
      <c r="AM22" s="753">
        <f>COUNT(AD22:AK22)</f>
        <v>0</v>
      </c>
      <c r="AN22" s="753">
        <v>6</v>
      </c>
      <c r="AO22" s="753" t="str">
        <f>IF(AND($A18,AM22&gt;=AN22),AM22*10,"--")</f>
        <v>--</v>
      </c>
      <c r="AP22" s="753" t="str">
        <f>IF(AND($A18,AM22&gt;=AN22),SUM(AD22:AK22),"--")</f>
        <v>--</v>
      </c>
      <c r="AQ22" s="1518" t="s">
        <v>301</v>
      </c>
      <c r="AR22" s="1519"/>
      <c r="AS22" s="1471" t="str">
        <f>IF(AND(O24=L21,AB24=Y21),L21,ROUND(AP22/AO22,2))</f>
        <v>n.e.</v>
      </c>
      <c r="AT22" s="1472"/>
      <c r="AU22" s="16"/>
      <c r="AV22" s="184"/>
      <c r="AW22" s="184"/>
      <c r="AX22" s="184"/>
      <c r="AY22" s="184"/>
      <c r="AZ22" s="184"/>
      <c r="BA22" s="184"/>
      <c r="BB22" s="184"/>
      <c r="BC22" s="184"/>
      <c r="BD22" s="184"/>
      <c r="BE22" s="16"/>
      <c r="BF22" s="16"/>
      <c r="BG22" s="16"/>
      <c r="BH22" s="51"/>
      <c r="BI22" s="16"/>
    </row>
    <row r="23" spans="1:61" s="667" customFormat="1" ht="15" customHeight="1" thickBot="1">
      <c r="A23" s="663"/>
      <c r="B23" s="664"/>
      <c r="C23" s="665"/>
      <c r="D23" s="960"/>
      <c r="E23" s="960"/>
      <c r="F23" s="960"/>
      <c r="G23" s="960"/>
      <c r="H23" s="960"/>
      <c r="I23" s="960"/>
      <c r="J23" s="960"/>
      <c r="K23" s="960"/>
      <c r="L23" s="676"/>
      <c r="M23" s="676"/>
      <c r="N23" s="676"/>
      <c r="O23" s="676"/>
      <c r="P23" s="1026"/>
      <c r="Q23" s="668"/>
      <c r="R23" s="669"/>
      <c r="S23" s="669"/>
      <c r="T23" s="670"/>
      <c r="U23" s="670"/>
      <c r="V23" s="960"/>
      <c r="W23" s="960"/>
      <c r="X23" s="960"/>
      <c r="Y23" s="960"/>
      <c r="Z23" s="960"/>
      <c r="AA23" s="960"/>
      <c r="AB23" s="960"/>
      <c r="AC23" s="1028"/>
      <c r="AD23" s="666"/>
      <c r="AE23" s="666"/>
      <c r="AF23" s="666"/>
      <c r="AG23" s="666"/>
      <c r="AK23" s="668"/>
      <c r="AL23" s="669"/>
      <c r="AM23" s="669"/>
      <c r="AN23" s="670"/>
      <c r="AO23" s="670"/>
      <c r="AP23" s="670"/>
      <c r="AQ23" s="671"/>
      <c r="AR23" s="671"/>
      <c r="AS23" s="669"/>
      <c r="AT23" s="669"/>
      <c r="AU23" s="672"/>
      <c r="AV23" s="673"/>
      <c r="AW23" s="673"/>
      <c r="AX23" s="673"/>
      <c r="AY23" s="673"/>
      <c r="AZ23" s="673"/>
      <c r="BA23" s="673"/>
      <c r="BB23" s="673"/>
      <c r="BC23" s="673"/>
      <c r="BD23" s="673"/>
      <c r="BE23" s="675"/>
      <c r="BF23" s="675"/>
      <c r="BG23" s="675"/>
      <c r="BH23" s="674"/>
      <c r="BI23" s="675"/>
    </row>
    <row r="24" spans="1:61" s="667" customFormat="1" ht="15" customHeight="1" thickBot="1">
      <c r="A24" s="663"/>
      <c r="B24" s="664"/>
      <c r="C24" s="665"/>
      <c r="D24" s="960"/>
      <c r="E24" s="960"/>
      <c r="F24" s="960"/>
      <c r="G24" s="960"/>
      <c r="H24" s="960"/>
      <c r="I24" s="960"/>
      <c r="J24" s="960"/>
      <c r="K24" s="960"/>
      <c r="L24" s="676"/>
      <c r="M24" s="676"/>
      <c r="N24" s="183" t="s">
        <v>67</v>
      </c>
      <c r="O24" s="1471" t="str">
        <f>IF(AND(A18,M22&gt;=N22),ROUND(P22/O22,2),L21)</f>
        <v>n.e.</v>
      </c>
      <c r="P24" s="1472"/>
      <c r="Q24" s="668"/>
      <c r="R24" s="669"/>
      <c r="S24" s="669"/>
      <c r="T24" s="670"/>
      <c r="U24" s="670"/>
      <c r="V24" s="960"/>
      <c r="W24" s="960"/>
      <c r="X24" s="960"/>
      <c r="Y24" s="960"/>
      <c r="Z24" s="960"/>
      <c r="AA24" s="183" t="s">
        <v>68</v>
      </c>
      <c r="AB24" s="1471" t="str">
        <f>IF(AND(A18,Z22&gt;=AA22),ROUND(AC22/AB22,2),Y21)</f>
        <v>n.e.</v>
      </c>
      <c r="AC24" s="1472"/>
      <c r="AD24" s="666"/>
      <c r="AE24" s="666"/>
      <c r="AF24" s="666"/>
      <c r="AG24" s="666"/>
      <c r="AK24" s="668"/>
      <c r="AL24" s="669"/>
      <c r="AM24" s="669"/>
      <c r="AN24" s="670"/>
      <c r="AO24" s="670"/>
      <c r="AP24" s="670"/>
      <c r="AQ24" s="671"/>
      <c r="AR24" s="671"/>
      <c r="AS24" s="669"/>
      <c r="AT24" s="669"/>
      <c r="AU24" s="672"/>
      <c r="AV24" s="673"/>
      <c r="AW24" s="673"/>
      <c r="AX24" s="673"/>
      <c r="AY24" s="673"/>
      <c r="AZ24" s="673"/>
      <c r="BA24" s="673"/>
      <c r="BB24" s="673"/>
      <c r="BC24" s="673"/>
      <c r="BD24" s="673"/>
      <c r="BE24" s="675"/>
      <c r="BF24" s="675"/>
      <c r="BG24" s="675"/>
      <c r="BH24" s="674"/>
      <c r="BI24" s="675"/>
    </row>
    <row r="25" spans="1:61" s="667" customFormat="1" ht="15" customHeight="1">
      <c r="A25" s="663"/>
      <c r="B25" s="664"/>
      <c r="C25" s="665"/>
      <c r="D25" s="960"/>
      <c r="E25" s="960"/>
      <c r="F25" s="960"/>
      <c r="G25" s="960"/>
      <c r="H25" s="960"/>
      <c r="I25" s="960"/>
      <c r="J25" s="960"/>
      <c r="K25" s="676"/>
      <c r="L25" s="676"/>
      <c r="M25" s="676"/>
      <c r="N25" s="676"/>
      <c r="O25" s="676"/>
      <c r="P25" s="670"/>
      <c r="Q25" s="668"/>
      <c r="R25" s="669"/>
      <c r="S25" s="669"/>
      <c r="T25" s="670"/>
      <c r="U25" s="670"/>
      <c r="V25" s="960"/>
      <c r="W25" s="960"/>
      <c r="X25" s="960"/>
      <c r="Y25" s="960"/>
      <c r="Z25" s="960"/>
      <c r="AA25" s="960"/>
      <c r="AB25" s="960"/>
      <c r="AC25" s="676"/>
      <c r="AD25" s="666"/>
      <c r="AE25" s="666"/>
      <c r="AF25" s="666"/>
      <c r="AG25" s="666"/>
      <c r="AJ25" s="668"/>
      <c r="AK25" s="669"/>
      <c r="AL25" s="669"/>
      <c r="AM25" s="670"/>
      <c r="AN25" s="670"/>
      <c r="AO25" s="670"/>
      <c r="AP25" s="670"/>
      <c r="AQ25" s="671"/>
      <c r="AR25" s="671"/>
      <c r="AS25" s="669"/>
      <c r="AT25" s="669"/>
      <c r="AU25" s="672"/>
      <c r="AV25" s="673"/>
      <c r="AW25" s="673"/>
      <c r="AX25" s="673"/>
      <c r="AY25" s="673"/>
      <c r="AZ25" s="673"/>
      <c r="BA25" s="673"/>
      <c r="BB25" s="673"/>
      <c r="BC25" s="673"/>
      <c r="BD25" s="673"/>
      <c r="BE25" s="675"/>
      <c r="BF25" s="675"/>
      <c r="BG25" s="675"/>
      <c r="BH25" s="674"/>
      <c r="BI25" s="675"/>
    </row>
    <row r="26" spans="1:61" ht="9.9499999999999993" customHeight="1">
      <c r="A26" s="634"/>
      <c r="B26" s="635"/>
      <c r="C26" s="276"/>
      <c r="D26" s="636"/>
      <c r="E26" s="637"/>
      <c r="F26" s="637"/>
      <c r="G26" s="637"/>
      <c r="H26" s="637"/>
      <c r="I26" s="637"/>
      <c r="J26" s="637"/>
      <c r="K26" s="638"/>
      <c r="L26" s="636"/>
      <c r="M26" s="637"/>
      <c r="N26" s="637"/>
      <c r="O26" s="639"/>
      <c r="P26" s="639"/>
      <c r="Q26" s="639"/>
      <c r="R26" s="639"/>
      <c r="S26" s="638"/>
      <c r="T26" s="638"/>
      <c r="U26" s="636"/>
      <c r="V26" s="638"/>
      <c r="W26" s="638"/>
      <c r="X26" s="638"/>
      <c r="Y26" s="638"/>
      <c r="Z26" s="638"/>
      <c r="AA26" s="638"/>
      <c r="AB26" s="638"/>
      <c r="AC26" s="638"/>
      <c r="AD26" s="640"/>
      <c r="AE26" s="640"/>
      <c r="AF26" s="640"/>
      <c r="AG26" s="640"/>
      <c r="AH26" s="640"/>
      <c r="AI26" s="640"/>
      <c r="AJ26" s="640"/>
      <c r="AK26" s="640"/>
      <c r="AL26" s="640"/>
      <c r="AM26" s="640"/>
      <c r="AN26" s="640"/>
      <c r="AO26" s="640"/>
      <c r="AP26" s="640"/>
      <c r="AQ26" s="640"/>
      <c r="AR26" s="640"/>
      <c r="AS26" s="641"/>
      <c r="AT26" s="640"/>
      <c r="AU26" s="640"/>
      <c r="AV26" s="640"/>
      <c r="AW26" s="640"/>
      <c r="AX26" s="640"/>
      <c r="AY26" s="640"/>
      <c r="AZ26" s="640"/>
      <c r="BA26" s="640"/>
      <c r="BB26" s="640"/>
      <c r="BC26" s="640"/>
      <c r="BD26" s="640"/>
      <c r="BE26" s="640"/>
      <c r="BF26" s="640"/>
      <c r="BG26" s="640"/>
      <c r="BH26" s="642"/>
      <c r="BI26" s="16"/>
    </row>
    <row r="27" spans="1:61" ht="18.75" customHeight="1">
      <c r="A27" s="970" t="b">
        <v>0</v>
      </c>
      <c r="B27" s="48"/>
      <c r="C27" s="223" t="s">
        <v>17</v>
      </c>
      <c r="D27" s="31"/>
      <c r="E27" s="172" t="str">
        <f>VLOOKUP(pos(E27),'Language-Sprachen'!$A$120:$G$159,'Language-Sprachen'!$A$3,0)</f>
        <v>Series production</v>
      </c>
      <c r="F27" s="31"/>
      <c r="G27" s="31"/>
      <c r="H27" s="31"/>
      <c r="I27" s="31"/>
      <c r="J27" s="31"/>
      <c r="K27" s="31"/>
      <c r="L27" s="31"/>
      <c r="M27" s="31"/>
      <c r="N27" s="31"/>
      <c r="O27" s="36"/>
      <c r="P27" s="31"/>
      <c r="Q27" s="31"/>
      <c r="R27" s="31"/>
      <c r="S27" s="31"/>
      <c r="T27" s="31"/>
      <c r="U27" s="31"/>
      <c r="V27" s="15"/>
      <c r="W27" s="15"/>
      <c r="X27" s="15"/>
      <c r="Y27" s="15"/>
      <c r="Z27" s="15"/>
      <c r="AA27" s="15"/>
      <c r="AB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6"/>
      <c r="BF27" s="16"/>
      <c r="BG27" s="16"/>
      <c r="BH27" s="51"/>
      <c r="BI27" s="16"/>
    </row>
    <row r="28" spans="1:61" ht="15" thickBot="1">
      <c r="A28" s="241" t="s">
        <v>228</v>
      </c>
      <c r="B28" s="48"/>
      <c r="C28" s="33"/>
      <c r="D28" s="31"/>
      <c r="E28" s="31"/>
      <c r="F28" s="31"/>
      <c r="G28" s="31"/>
      <c r="H28" s="31"/>
      <c r="I28" s="31"/>
      <c r="J28" s="31"/>
      <c r="K28" s="31"/>
      <c r="L28" s="390" t="s">
        <v>63</v>
      </c>
      <c r="M28" s="390" t="s">
        <v>111</v>
      </c>
      <c r="N28" s="390" t="s">
        <v>112</v>
      </c>
      <c r="O28" s="628" t="s">
        <v>204</v>
      </c>
      <c r="P28" s="628" t="s">
        <v>216</v>
      </c>
      <c r="Q28" s="390" t="s">
        <v>115</v>
      </c>
      <c r="R28" s="390" t="s">
        <v>116</v>
      </c>
      <c r="S28" s="643" t="str">
        <f>$K$7</f>
        <v>n.e.</v>
      </c>
      <c r="T28" s="643" t="str">
        <f>$L$7</f>
        <v>Act.</v>
      </c>
      <c r="U28" s="643" t="str">
        <f>$M$7</f>
        <v>Target</v>
      </c>
      <c r="V28" s="643" t="str">
        <f>$N$7</f>
        <v>Max.</v>
      </c>
      <c r="W28" s="643" t="str">
        <f>$O$7</f>
        <v>Act.</v>
      </c>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16"/>
      <c r="BF28" s="16"/>
      <c r="BG28" s="16"/>
      <c r="BH28" s="49"/>
      <c r="BI28" s="34"/>
    </row>
    <row r="29" spans="1:61" ht="15" customHeight="1" thickBot="1">
      <c r="A29" s="243" t="str">
        <f>IF(COUNT(L29:R29)=0,$AI$35,IF(MIN(L29:R29)=0,"B","A"))</f>
        <v>n.e.</v>
      </c>
      <c r="B29" s="48"/>
      <c r="C29" s="71" t="s">
        <v>99</v>
      </c>
      <c r="D29" s="72" t="str">
        <f>'Questions - Fragen'!C61</f>
        <v xml:space="preserve">Supplier Management </v>
      </c>
      <c r="E29" s="31"/>
      <c r="F29" s="31"/>
      <c r="G29" s="31"/>
      <c r="H29" s="31"/>
      <c r="I29" s="31"/>
      <c r="J29" s="31"/>
      <c r="K29" s="31"/>
      <c r="L29" s="232" t="str">
        <f>IF($A$27=FALSE,$S$28,IF(ISBLANK('Questions - Fragen'!$D62),"--",'Questions - Fragen'!$D62))</f>
        <v>n.e.</v>
      </c>
      <c r="M29" s="232" t="str">
        <f>IF($A$27=FALSE,$S$28,IF(ISBLANK('Questions - Fragen'!$D63),"--",'Questions - Fragen'!$D63))</f>
        <v>n.e.</v>
      </c>
      <c r="N29" s="232" t="str">
        <f>IF($A$27=FALSE,$S$28,IF(ISBLANK('Questions - Fragen'!$D64),"--",'Questions - Fragen'!$D64))</f>
        <v>n.e.</v>
      </c>
      <c r="O29" s="633" t="str">
        <f>IF($A$27=FALSE,$S$28,IF(ISBLANK('Questions - Fragen'!$D65),"--",'Questions - Fragen'!$D65))</f>
        <v>n.e.</v>
      </c>
      <c r="P29" s="633" t="str">
        <f>IF($A$27=FALSE,$S$28,IF(ISBLANK('Questions - Fragen'!$D66),"--",'Questions - Fragen'!$D66))</f>
        <v>n.e.</v>
      </c>
      <c r="Q29" s="232" t="str">
        <f>IF($A$27=FALSE,$S$28,IF(ISBLANK('Questions - Fragen'!$D67),"--",'Questions - Fragen'!$D67))</f>
        <v>n.e.</v>
      </c>
      <c r="R29" s="232" t="str">
        <f>IF($A$27=FALSE,$S$28,IF(ISBLANK('Questions - Fragen'!$D68),"--",'Questions - Fragen'!$D68))</f>
        <v>n.e.</v>
      </c>
      <c r="S29" s="753">
        <f>COUNTIF(L29:R29,"&gt;-")</f>
        <v>7</v>
      </c>
      <c r="T29" s="753">
        <f>COUNT(L29:R29)</f>
        <v>0</v>
      </c>
      <c r="U29" s="753">
        <v>5</v>
      </c>
      <c r="V29" s="753" t="str">
        <f>IF(AND($A27,T29&gt;=U29),T29*10,"--")</f>
        <v>--</v>
      </c>
      <c r="W29" s="753" t="str">
        <f>IF(AND($A27,T29&gt;=U29),SUM(L29:R29),"--")</f>
        <v>--</v>
      </c>
      <c r="X29" s="31"/>
      <c r="Y29" s="31"/>
      <c r="Z29" s="31"/>
      <c r="AA29" s="31"/>
      <c r="AB29" s="31"/>
      <c r="AC29" s="31"/>
      <c r="AD29" s="31"/>
      <c r="AE29" s="31"/>
      <c r="AF29" s="31"/>
      <c r="AG29" s="31"/>
      <c r="AH29" s="31"/>
      <c r="AI29" s="31"/>
      <c r="AJ29" s="31"/>
      <c r="AK29" s="31"/>
      <c r="AL29" s="31"/>
      <c r="AM29" s="31"/>
      <c r="AN29" s="31"/>
      <c r="AO29" s="31"/>
      <c r="AP29" s="31"/>
      <c r="AQ29" s="1518" t="s">
        <v>302</v>
      </c>
      <c r="AR29" s="1519"/>
      <c r="AS29" s="1515" t="str">
        <f>IF(AND(A27,T29&gt;=U29),ROUND(W29/V29,2),S28)</f>
        <v>n.e.</v>
      </c>
      <c r="AT29" s="1516"/>
      <c r="AU29" s="16"/>
      <c r="AV29" s="184"/>
      <c r="AW29" s="184"/>
      <c r="AX29" s="184"/>
      <c r="AY29" s="184"/>
      <c r="AZ29" s="184"/>
      <c r="BA29" s="184"/>
      <c r="BB29" s="184"/>
      <c r="BC29" s="184"/>
      <c r="BD29" s="184"/>
      <c r="BE29" s="16"/>
      <c r="BF29" s="16"/>
      <c r="BG29" s="16"/>
      <c r="BH29" s="49"/>
      <c r="BI29" s="34"/>
    </row>
    <row r="30" spans="1:61" ht="9.9499999999999993" customHeight="1">
      <c r="B30" s="1159"/>
      <c r="C30" s="1160"/>
      <c r="D30" s="1160"/>
      <c r="E30" s="1160"/>
      <c r="F30" s="1160"/>
      <c r="G30" s="1160"/>
      <c r="H30" s="1160"/>
      <c r="I30" s="1160"/>
      <c r="J30" s="1160"/>
      <c r="K30" s="1160"/>
      <c r="L30" s="1160"/>
      <c r="M30" s="1160"/>
      <c r="N30" s="1160"/>
      <c r="O30" s="1160"/>
      <c r="P30" s="1160"/>
      <c r="Q30" s="1160"/>
      <c r="R30" s="1160"/>
      <c r="S30" s="1160"/>
      <c r="T30" s="1160"/>
      <c r="U30" s="1160"/>
      <c r="V30" s="1160"/>
      <c r="W30" s="1160"/>
      <c r="X30" s="1160"/>
      <c r="Y30" s="1160"/>
      <c r="Z30" s="1160"/>
      <c r="AA30" s="1160"/>
      <c r="AB30" s="1160"/>
      <c r="AC30" s="1160"/>
      <c r="AD30" s="1160"/>
      <c r="AE30" s="1160"/>
      <c r="AF30" s="1160"/>
      <c r="AG30" s="1160"/>
      <c r="AH30" s="1160"/>
      <c r="AI30" s="1161"/>
      <c r="AJ30" s="1161"/>
      <c r="AK30" s="1161"/>
      <c r="AL30" s="1161"/>
      <c r="AM30" s="1160"/>
      <c r="AN30" s="1160"/>
      <c r="AO30" s="1160"/>
      <c r="AP30" s="1160"/>
      <c r="AQ30" s="1162"/>
      <c r="AR30" s="1163"/>
      <c r="AS30" s="1164"/>
      <c r="AT30" s="1162"/>
      <c r="AU30" s="1162"/>
      <c r="AV30" s="1162"/>
      <c r="AW30" s="1162"/>
      <c r="AX30" s="1162"/>
      <c r="AY30" s="1162"/>
      <c r="AZ30" s="1162"/>
      <c r="BA30" s="1162"/>
      <c r="BB30" s="1162"/>
      <c r="BC30" s="1162"/>
      <c r="BD30" s="1162"/>
      <c r="BE30" s="1165"/>
      <c r="BF30" s="1165"/>
      <c r="BG30" s="1165"/>
      <c r="BH30" s="1166"/>
      <c r="BI30" s="495"/>
    </row>
    <row r="31" spans="1:61" ht="15.75" customHeight="1">
      <c r="A31" s="970" t="b">
        <v>1</v>
      </c>
      <c r="B31" s="48"/>
      <c r="C31" s="71" t="s">
        <v>100</v>
      </c>
      <c r="D31" s="72" t="str">
        <f>'Questions - Fragen'!C69</f>
        <v xml:space="preserve">Process analysis /
production </v>
      </c>
      <c r="E31" s="36"/>
      <c r="F31" s="36"/>
      <c r="G31" s="36"/>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166"/>
      <c r="AR31" s="15"/>
      <c r="AS31" s="36"/>
      <c r="AT31" s="36"/>
      <c r="AU31" s="36"/>
      <c r="AV31" s="36"/>
      <c r="AW31" s="36"/>
      <c r="AX31" s="36"/>
      <c r="AY31" s="36"/>
      <c r="AZ31" s="36"/>
      <c r="BA31" s="36"/>
      <c r="BB31" s="36"/>
      <c r="BC31" s="36"/>
      <c r="BD31" s="36"/>
      <c r="BE31" s="16"/>
      <c r="BF31" s="16"/>
      <c r="BG31" s="16"/>
      <c r="BH31" s="188"/>
      <c r="BI31" s="36"/>
    </row>
    <row r="32" spans="1:61" ht="4.5" customHeight="1">
      <c r="B32" s="48"/>
      <c r="C32" s="33"/>
      <c r="D32" s="31"/>
      <c r="E32" s="31"/>
      <c r="F32" s="31"/>
      <c r="G32" s="31"/>
      <c r="H32" s="31"/>
      <c r="I32" s="31"/>
      <c r="J32" s="31"/>
      <c r="K32" s="31"/>
      <c r="L32" s="31"/>
      <c r="M32" s="31"/>
      <c r="N32" s="31"/>
      <c r="O32" s="36"/>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16"/>
      <c r="BF32" s="16"/>
      <c r="BG32" s="16"/>
      <c r="BH32" s="49"/>
      <c r="BI32" s="34"/>
    </row>
    <row r="33" spans="1:61" ht="30" customHeight="1">
      <c r="B33" s="48"/>
      <c r="C33" s="15"/>
      <c r="D33" s="40" t="str">
        <f>VLOOKUP(pos(D33),'Language-Sprachen'!$A$120:$G$159,'Language-Sprachen'!$A$3,0)</f>
        <v>1. Process input</v>
      </c>
      <c r="E33" s="189"/>
      <c r="F33" s="189"/>
      <c r="G33" s="189"/>
      <c r="H33" s="189"/>
      <c r="I33" s="15"/>
      <c r="J33" s="1501" t="str">
        <f>VLOOKUP(pos(J33),'Language-Sprachen'!$A$120:$G$159,'Language-Sprachen'!$A$3,0)</f>
        <v>2. Process Management</v>
      </c>
      <c r="K33" s="1501" t="e">
        <f>VLOOKUP(pos(K33),'Language-Sprachen'!$A$120:$G$159,'Language-Sprachen'!$A$3,0)</f>
        <v>#N/A</v>
      </c>
      <c r="L33" s="1501" t="e">
        <f>VLOOKUP(pos(L33),'Language-Sprachen'!$A$120:$G$159,'Language-Sprachen'!$A$3,0)</f>
        <v>#N/A</v>
      </c>
      <c r="M33" s="1501" t="e">
        <f>VLOOKUP(pos(M33),'Language-Sprachen'!$A$120:$G$159,'Language-Sprachen'!$A$3,0)</f>
        <v>#N/A</v>
      </c>
      <c r="N33" s="1501" t="e">
        <f>VLOOKUP(pos(N33),'Language-Sprachen'!$A$120:$G$159,'Language-Sprachen'!$A$3,0)</f>
        <v>#N/A</v>
      </c>
      <c r="O33" s="1501" t="e">
        <f>VLOOKUP(pos(O33),'Language-Sprachen'!$A$120:$G$159,'Language-Sprachen'!$A$3,0)</f>
        <v>#N/A</v>
      </c>
      <c r="P33" s="1501" t="str">
        <f>VLOOKUP(pos(P33),'Language-Sprachen'!$A$120:$G$159,'Language-Sprachen'!$A$3,0)</f>
        <v>3. Process support</v>
      </c>
      <c r="Q33" s="1501" t="e">
        <f>VLOOKUP(pos(Q33),'Language-Sprachen'!$A$120:$G$159,'Language-Sprachen'!$A$3,0)</f>
        <v>#N/A</v>
      </c>
      <c r="R33" s="1501" t="e">
        <f>VLOOKUP(pos(R33),'Language-Sprachen'!$A$120:$G$159,'Language-Sprachen'!$A$3,0)</f>
        <v>#N/A</v>
      </c>
      <c r="S33" s="189"/>
      <c r="T33" s="1502" t="str">
        <f>VLOOKUP(pos(T33),'Language-Sprachen'!$A$120:$G$159,'Language-Sprachen'!$A$3,0)</f>
        <v>4. Material resources</v>
      </c>
      <c r="U33" s="1502" t="e">
        <f>VLOOKUP(pos(U33),'Language-Sprachen'!$A$120:$G$159,'Language-Sprachen'!$A$3,0)</f>
        <v>#N/A</v>
      </c>
      <c r="V33" s="1502" t="e">
        <f>VLOOKUP(pos(V33),'Language-Sprachen'!$A$120:$G$159,'Language-Sprachen'!$A$3,0)</f>
        <v>#N/A</v>
      </c>
      <c r="W33" s="1502" t="e">
        <f>VLOOKUP(pos(W33),'Language-Sprachen'!$A$120:$G$159,'Language-Sprachen'!$A$3,0)</f>
        <v>#N/A</v>
      </c>
      <c r="X33" s="1502" t="e">
        <f>VLOOKUP(pos(X33),'Language-Sprachen'!$A$120:$G$159,'Language-Sprachen'!$A$3,0)</f>
        <v>#N/A</v>
      </c>
      <c r="Z33" s="1502" t="str">
        <f>VLOOKUP(pos(Z33),'Language-Sprachen'!$A$120:$G$159,'Language-Sprachen'!$A$3,0)</f>
        <v>5. Effectiveness of the process</v>
      </c>
      <c r="AA33" s="1502" t="e">
        <f>VLOOKUP(pos(AA33),'Language-Sprachen'!$A$120:$G$159,'Language-Sprachen'!$A$3,0)</f>
        <v>#N/A</v>
      </c>
      <c r="AB33" s="1502" t="e">
        <f>VLOOKUP(pos(AB33),'Language-Sprachen'!$A$120:$G$159,'Language-Sprachen'!$A$3,0)</f>
        <v>#N/A</v>
      </c>
      <c r="AC33" s="1502" t="e">
        <f>VLOOKUP(pos(AC33),'Language-Sprachen'!$A$120:$G$159,'Language-Sprachen'!$A$3,0)</f>
        <v>#N/A</v>
      </c>
      <c r="AD33" s="189"/>
      <c r="AE33" s="1502" t="str">
        <f>VLOOKUP(pos(AE33),'Language-Sprachen'!$A$120:$G$159,'Language-Sprachen'!$A$3,0)</f>
        <v>6. Process result / Output</v>
      </c>
      <c r="AF33" s="1502" t="e">
        <f>VLOOKUP(pos(AF33),'Language-Sprachen'!$A$120:$G$159,'Language-Sprachen'!$A$3,0)</f>
        <v>#N/A</v>
      </c>
      <c r="AG33" s="1502" t="e">
        <f>VLOOKUP(pos(AG33),'Language-Sprachen'!$A$120:$G$159,'Language-Sprachen'!$A$3,0)</f>
        <v>#N/A</v>
      </c>
      <c r="AH33" s="1502" t="e">
        <f>VLOOKUP(pos(AH33),'Language-Sprachen'!$A$120:$G$159,'Language-Sprachen'!$A$3,0)</f>
        <v>#N/A</v>
      </c>
      <c r="AI33" s="189"/>
      <c r="AJ33" s="189"/>
      <c r="AK33" s="189"/>
      <c r="AL33" s="189"/>
      <c r="AM33" s="15"/>
      <c r="AN33" s="15"/>
      <c r="AO33" s="15"/>
      <c r="AP33" s="15"/>
      <c r="AQ33" s="1585" t="str">
        <f>VLOOKUP(pos(AQ33),'Language-Sprachen'!$A$120:$G$159,'Language-Sprachen'!$A$3,0)</f>
        <v>Level of compliance process step</v>
      </c>
      <c r="AR33" s="1586" t="e">
        <f>VLOOKUP(pos(AR33),'Language-Sprachen'!$A$120:$G$159,'Language-Sprachen'!$A$3,0)</f>
        <v>#N/A</v>
      </c>
      <c r="AS33" s="1586" t="e">
        <f>VLOOKUP(pos(AS33),'Language-Sprachen'!$A$120:$G$159,'Language-Sprachen'!$A$3,0)</f>
        <v>#N/A</v>
      </c>
      <c r="AT33" s="1586" t="e">
        <f>VLOOKUP(pos(AT33),'Language-Sprachen'!$A$120:$G$159,'Language-Sprachen'!$A$3,0)</f>
        <v>#N/A</v>
      </c>
      <c r="AU33" s="189"/>
      <c r="AX33" s="190" t="str">
        <f>VLOOKUP(pos(AX33),'Language-Sprachen'!$A$120:$G$159,'Language-Sprachen'!$A$3,0)</f>
        <v>7. Transport and handling of parts</v>
      </c>
      <c r="AY33" s="189"/>
      <c r="AZ33" s="189"/>
      <c r="BA33" s="189"/>
      <c r="BB33" s="189"/>
      <c r="BC33" s="189"/>
      <c r="BD33" s="189"/>
      <c r="BE33" s="189"/>
      <c r="BF33" s="16"/>
      <c r="BG33" s="16"/>
      <c r="BH33" s="191"/>
      <c r="BI33" s="41"/>
    </row>
    <row r="34" spans="1:61" ht="17.25" customHeight="1">
      <c r="B34" s="48"/>
      <c r="C34" s="29"/>
      <c r="D34" s="339" t="s">
        <v>117</v>
      </c>
      <c r="E34" s="340" t="s">
        <v>48</v>
      </c>
      <c r="F34" s="339" t="s">
        <v>34</v>
      </c>
      <c r="G34" s="339" t="s">
        <v>35</v>
      </c>
      <c r="H34" s="629" t="s">
        <v>209</v>
      </c>
      <c r="I34" s="341"/>
      <c r="J34" s="339" t="s">
        <v>119</v>
      </c>
      <c r="K34" s="340" t="s">
        <v>0</v>
      </c>
      <c r="L34" s="629" t="s">
        <v>57</v>
      </c>
      <c r="M34" s="629" t="s">
        <v>58</v>
      </c>
      <c r="N34" s="339" t="s">
        <v>37</v>
      </c>
      <c r="O34" s="16"/>
      <c r="P34" s="629" t="s">
        <v>304</v>
      </c>
      <c r="Q34" s="339" t="s">
        <v>4</v>
      </c>
      <c r="R34" s="339" t="s">
        <v>39</v>
      </c>
      <c r="S34" s="340"/>
      <c r="T34" s="629" t="s">
        <v>211</v>
      </c>
      <c r="U34" s="339" t="s">
        <v>121</v>
      </c>
      <c r="V34" s="629" t="s">
        <v>212</v>
      </c>
      <c r="W34" s="339" t="s">
        <v>42</v>
      </c>
      <c r="X34" s="339" t="s">
        <v>213</v>
      </c>
      <c r="Z34" s="339" t="s">
        <v>43</v>
      </c>
      <c r="AA34" s="339" t="s">
        <v>44</v>
      </c>
      <c r="AB34" s="629" t="s">
        <v>436</v>
      </c>
      <c r="AC34" s="339" t="s">
        <v>124</v>
      </c>
      <c r="AD34" s="341"/>
      <c r="AE34" s="339" t="s">
        <v>126</v>
      </c>
      <c r="AF34" s="339" t="s">
        <v>45</v>
      </c>
      <c r="AG34" s="339" t="s">
        <v>46</v>
      </c>
      <c r="AH34" s="629" t="s">
        <v>214</v>
      </c>
      <c r="AI34" s="342"/>
      <c r="AJ34" s="342"/>
      <c r="AK34" s="342"/>
      <c r="AL34" s="342"/>
      <c r="AM34" s="342"/>
      <c r="AN34" s="342"/>
      <c r="AO34" s="342"/>
      <c r="AP34" s="342"/>
      <c r="AQ34" s="342"/>
      <c r="AR34" s="343"/>
      <c r="AS34" s="344"/>
      <c r="AT34" s="345"/>
      <c r="AU34" s="345"/>
      <c r="AX34" s="346" t="s">
        <v>48</v>
      </c>
      <c r="AY34" s="345" t="s">
        <v>34</v>
      </c>
      <c r="AZ34" s="345" t="s">
        <v>35</v>
      </c>
      <c r="BA34" s="345" t="s">
        <v>2</v>
      </c>
      <c r="BB34" s="345" t="s">
        <v>37</v>
      </c>
      <c r="BC34" s="345" t="s">
        <v>126</v>
      </c>
      <c r="BD34" s="345" t="s">
        <v>45</v>
      </c>
      <c r="BE34" s="345" t="s">
        <v>46</v>
      </c>
      <c r="BF34" s="16"/>
      <c r="BG34" s="16"/>
      <c r="BH34" s="53"/>
      <c r="BI34" s="42"/>
    </row>
    <row r="35" spans="1:61" ht="15" customHeight="1" thickBot="1">
      <c r="B35" s="48"/>
      <c r="C35" s="193"/>
      <c r="D35" s="185" t="s">
        <v>60</v>
      </c>
      <c r="E35" s="185"/>
      <c r="F35" s="175"/>
      <c r="G35" s="175"/>
      <c r="H35" s="630"/>
      <c r="I35" s="185" t="str">
        <f>PrSchr1</f>
        <v>Stage 1: Moldshop Process</v>
      </c>
      <c r="K35" s="175"/>
      <c r="L35" s="631"/>
      <c r="M35" s="631"/>
      <c r="N35" s="175"/>
      <c r="O35" s="16"/>
      <c r="P35" s="631"/>
      <c r="Q35" s="175"/>
      <c r="R35" s="175"/>
      <c r="S35" s="175"/>
      <c r="T35" s="631"/>
      <c r="U35" s="175"/>
      <c r="V35" s="631"/>
      <c r="W35" s="175"/>
      <c r="X35" s="175"/>
      <c r="Z35" s="175"/>
      <c r="AA35" s="175"/>
      <c r="AB35" s="631"/>
      <c r="AC35" s="175"/>
      <c r="AD35" s="175"/>
      <c r="AE35" s="175"/>
      <c r="AF35" s="175"/>
      <c r="AG35" s="175"/>
      <c r="AH35" s="631"/>
      <c r="AI35" s="728" t="str">
        <f>$K$7</f>
        <v>n.e.</v>
      </c>
      <c r="AJ35" s="643" t="str">
        <f>$L$7</f>
        <v>Act.</v>
      </c>
      <c r="AK35" s="643" t="str">
        <f>$M$7</f>
        <v>Target</v>
      </c>
      <c r="AL35" s="643" t="str">
        <f>$N$7</f>
        <v>Max.</v>
      </c>
      <c r="AM35" s="643" t="str">
        <f>$O$7</f>
        <v>Act.</v>
      </c>
      <c r="AN35" s="643"/>
      <c r="AO35" s="643"/>
      <c r="AP35" s="643"/>
      <c r="AQ35" s="30"/>
      <c r="AR35" s="40" t="s">
        <v>69</v>
      </c>
      <c r="AS35" s="171"/>
      <c r="AT35" s="165"/>
      <c r="AU35" s="165"/>
      <c r="AX35" s="165"/>
      <c r="AY35" s="165"/>
      <c r="AZ35" s="627"/>
      <c r="BA35" s="627"/>
      <c r="BB35" s="627"/>
      <c r="BC35" s="627"/>
      <c r="BD35" s="627"/>
      <c r="BE35" s="627"/>
      <c r="BF35" s="16"/>
      <c r="BG35" s="16"/>
      <c r="BH35" s="51"/>
      <c r="BI35" s="16"/>
    </row>
    <row r="36" spans="1:61" ht="15" customHeight="1" thickBot="1">
      <c r="A36" s="243" t="str">
        <f>IF(COUNT(D36:AH36)=0,$AI$35,IF(MIN(D36:H36,J36:N36,P36:R36,T36:X36,Z36:AC36,AE36:AH36)=0,"B","A"))</f>
        <v>A</v>
      </c>
      <c r="B36" s="48"/>
      <c r="C36" s="1056" t="str">
        <f>IF(AND($A$31,'Input Form - EingabeMaske'!$D$36&gt;0),"X","")</f>
        <v>X</v>
      </c>
      <c r="D36" s="232">
        <f>IF($A$31=FALSE,$AI$35,IF($C36="X",IF(ISBLANK('Questions - Fragen'!$D72),"--",'Questions - Fragen'!$D72),"xx"))</f>
        <v>10</v>
      </c>
      <c r="E36" s="232">
        <f>IF($A$31=FALSE,$AI$35,IF($C36="X",IF(ISBLANK('Questions - Fragen'!$D83),"--",'Questions - Fragen'!$D83),"xx"))</f>
        <v>10</v>
      </c>
      <c r="F36" s="232">
        <f>IF($A$31=FALSE,$AI$35,IF($C36="X",IF(ISBLANK('Questions - Fragen'!$D94),"--",'Questions - Fragen'!$D94),"xx"))</f>
        <v>10</v>
      </c>
      <c r="G36" s="232">
        <f>IF($A$31=FALSE,$AI$35,IF($C36="X",IF(ISBLANK('Questions - Fragen'!$D105),"--",'Questions - Fragen'!$D105),"xx"))</f>
        <v>10</v>
      </c>
      <c r="H36" s="633" t="str">
        <f>IF($A$31=FALSE,$AI$35,IF($C36="X",IF(ISBLANK('Questions - Fragen'!$D116),"--",'Questions - Fragen'!$D116),"xx"))</f>
        <v>n.e.</v>
      </c>
      <c r="I36" s="226"/>
      <c r="J36" s="232" t="str">
        <f>IF($A$31=FALSE,$AI$35,IF($C36="X",IF(ISBLANK('Questions - Fragen'!$D128),"--",'Questions - Fragen'!$D128),"xx"))</f>
        <v>n.e.</v>
      </c>
      <c r="K36" s="232" t="str">
        <f>IF($A$31=FALSE,$AI$35,IF($C36="X",IF(ISBLANK('Questions - Fragen'!$D139),"--",'Questions - Fragen'!$D139),"xx"))</f>
        <v>n.e.</v>
      </c>
      <c r="L36" s="633" t="str">
        <f>IF($A$31=FALSE,$AI$35,IF($C36="X",IF(ISBLANK('Questions - Fragen'!$D150),"--",'Questions - Fragen'!$D150),"xx"))</f>
        <v>n.e.</v>
      </c>
      <c r="M36" s="633">
        <f>IF($A$31=FALSE,$AI$35,IF($C36="X",IF(ISBLANK('Questions - Fragen'!$D161),"--",'Questions - Fragen'!$D161),"xx"))</f>
        <v>10</v>
      </c>
      <c r="N36" s="232">
        <f>IF($A$31=FALSE,$AI$35,IF($C36="X",IF(ISBLANK('Questions - Fragen'!$D172),"--",'Questions - Fragen'!$D172),"xx"))</f>
        <v>10</v>
      </c>
      <c r="O36" s="16"/>
      <c r="P36" s="633">
        <f>IF($A$31=FALSE,$AI$35,IF($C36="X",IF(ISBLANK('Questions - Fragen'!$D184),"--",'Questions - Fragen'!$D184),"xx"))</f>
        <v>10</v>
      </c>
      <c r="Q36" s="232">
        <f>IF($A$31=FALSE,$AI$35,IF($C36="X",IF(ISBLANK('Questions - Fragen'!$D195),"--",'Questions - Fragen'!$D195),"xx"))</f>
        <v>10</v>
      </c>
      <c r="R36" s="232">
        <f>IF($A$31=FALSE,$AI$35,IF($C36="X",IF(ISBLANK('Questions - Fragen'!$D206),"--",'Questions - Fragen'!$D206),"xx"))</f>
        <v>10</v>
      </c>
      <c r="S36" s="226"/>
      <c r="T36" s="633" t="str">
        <f>IF($A$31=FALSE,$AI$35,IF($C36="X",IF(ISBLANK('Questions - Fragen'!$D218),"--",'Questions - Fragen'!$D218),"xx"))</f>
        <v>n.e.</v>
      </c>
      <c r="U36" s="232">
        <f>IF($A$31=FALSE,$AI$35,IF($C36="X",IF(ISBLANK('Questions - Fragen'!$D229),"--",'Questions - Fragen'!$D229),"xx"))</f>
        <v>6</v>
      </c>
      <c r="V36" s="633">
        <f>IF($A$31=FALSE,$AI$35,IF($C36="X",IF(ISBLANK('Questions - Fragen'!$D240),"--",'Questions - Fragen'!$D240),"xx"))</f>
        <v>10</v>
      </c>
      <c r="W36" s="232">
        <f>IF($A$31=FALSE,$AI$35,IF($C36="X",IF(ISBLANK('Questions - Fragen'!$D251),"--",'Questions - Fragen'!$D251),"xx"))</f>
        <v>10</v>
      </c>
      <c r="X36" s="232">
        <f>IF($A$31=FALSE,$AI$35,IF($C36="X",IF(ISBLANK('Questions - Fragen'!$D262),"--",'Questions - Fragen'!$D262),"xx"))</f>
        <v>10</v>
      </c>
      <c r="Z36" s="232">
        <f>IF($A$31=FALSE,$AI$35,IF($C36="X",IF(ISBLANK('Questions - Fragen'!$D274),"--",'Questions - Fragen'!$D274),"xx"))</f>
        <v>10</v>
      </c>
      <c r="AA36" s="232">
        <f>IF($A$31=FALSE,$AI$35,IF($C36="X",IF(ISBLANK('Questions - Fragen'!$D285),"--",'Questions - Fragen'!$D285),"xx"))</f>
        <v>10</v>
      </c>
      <c r="AB36" s="633">
        <f>IF($A$31=FALSE,$AI$35,IF($C36="X",IF(ISBLANK('Questions - Fragen'!$D296),"--",'Questions - Fragen'!$D296),"xx"))</f>
        <v>10</v>
      </c>
      <c r="AC36" s="232">
        <f>IF($A$31=FALSE,$AI$35,IF($C36="X",IF(ISBLANK('Questions - Fragen'!$D307),"--",'Questions - Fragen'!$D307),"xx"))</f>
        <v>10</v>
      </c>
      <c r="AD36" s="226"/>
      <c r="AE36" s="232">
        <f>IF($A$31=FALSE,$AI$35,IF($C36="X",IF(ISBLANK('Questions - Fragen'!$D319),"--",'Questions - Fragen'!$D319),"xx"))</f>
        <v>10</v>
      </c>
      <c r="AF36" s="232">
        <f>IF($A$31=FALSE,$AI$35,IF($C36="X",IF(ISBLANK('Questions - Fragen'!$D330),"--",'Questions - Fragen'!$D330),"xx"))</f>
        <v>10</v>
      </c>
      <c r="AG36" s="232">
        <f>IF($A$31=FALSE,$AI$35,IF($C36="X",IF(ISBLANK('Questions - Fragen'!$D341),"--",'Questions - Fragen'!$D341),"xx"))</f>
        <v>8</v>
      </c>
      <c r="AH36" s="633">
        <f>IF($A$31=FALSE,$AI$35,IF($C36="X",IF(ISBLANK('Questions - Fragen'!$D352),"--",'Questions - Fragen'!$D352),"xx"))</f>
        <v>10</v>
      </c>
      <c r="AI36" s="753">
        <f>COUNTIF(D36:AH36,"&gt;-")</f>
        <v>5</v>
      </c>
      <c r="AJ36" s="753">
        <f>COUNT(D36:AH36)</f>
        <v>21</v>
      </c>
      <c r="AK36" s="753">
        <v>17</v>
      </c>
      <c r="AL36" s="753">
        <f>IF(AND($A$31,AJ36&gt;=AK36),AJ36*10,"--")</f>
        <v>210</v>
      </c>
      <c r="AM36" s="753">
        <f>IF(AND($A$31,AJ36&gt;=AK36),SUM(D36:AH36),"--")</f>
        <v>204</v>
      </c>
      <c r="AN36" s="643"/>
      <c r="AO36" s="643"/>
      <c r="AP36" s="643"/>
      <c r="AQ36" s="39"/>
      <c r="AR36" s="43"/>
      <c r="AS36" s="1469">
        <f>IF($A$31=FALSE,$AI$35,IF(C36="","xx",IF(AJ36&lt;AK36,$AI$35,ROUND(AM36/AL36,2))))</f>
        <v>0.97</v>
      </c>
      <c r="AT36" s="1470"/>
      <c r="AU36" s="16"/>
      <c r="AX36" s="740">
        <f>E36</f>
        <v>10</v>
      </c>
      <c r="AY36" s="740">
        <f>F36</f>
        <v>10</v>
      </c>
      <c r="AZ36" s="740">
        <f>G36</f>
        <v>10</v>
      </c>
      <c r="BA36" s="740">
        <f>M36</f>
        <v>10</v>
      </c>
      <c r="BB36" s="740">
        <f>N36</f>
        <v>10</v>
      </c>
      <c r="BC36" s="740">
        <f>AE36</f>
        <v>10</v>
      </c>
      <c r="BD36" s="740">
        <f>AF36</f>
        <v>10</v>
      </c>
      <c r="BE36" s="740">
        <f>AG36</f>
        <v>8</v>
      </c>
      <c r="BF36" s="15"/>
      <c r="BG36" s="16"/>
      <c r="BH36" s="51"/>
      <c r="BI36" s="74"/>
    </row>
    <row r="37" spans="1:61" ht="15" hidden="1" customHeight="1" thickBot="1">
      <c r="B37" s="48"/>
      <c r="C37" s="1057"/>
      <c r="D37" s="185" t="s">
        <v>61</v>
      </c>
      <c r="E37" s="185"/>
      <c r="F37" s="176"/>
      <c r="G37" s="176"/>
      <c r="H37" s="630"/>
      <c r="I37" s="185" t="str">
        <f>PrSchr2</f>
        <v>Stage 2:</v>
      </c>
      <c r="K37" s="176"/>
      <c r="L37" s="632"/>
      <c r="M37" s="632"/>
      <c r="N37" s="176"/>
      <c r="O37" s="16"/>
      <c r="P37" s="632"/>
      <c r="Q37" s="176"/>
      <c r="R37" s="176"/>
      <c r="S37" s="176"/>
      <c r="T37" s="632"/>
      <c r="U37" s="176"/>
      <c r="V37" s="632"/>
      <c r="W37" s="176"/>
      <c r="X37" s="176"/>
      <c r="Z37" s="176"/>
      <c r="AA37" s="176"/>
      <c r="AB37" s="632"/>
      <c r="AC37" s="176"/>
      <c r="AD37" s="176"/>
      <c r="AE37" s="176"/>
      <c r="AF37" s="176"/>
      <c r="AG37" s="176"/>
      <c r="AH37" s="632"/>
      <c r="AI37" s="728" t="str">
        <f>$K$7</f>
        <v>n.e.</v>
      </c>
      <c r="AJ37" s="643" t="str">
        <f>$L$7</f>
        <v>Act.</v>
      </c>
      <c r="AK37" s="643" t="str">
        <f>$M$7</f>
        <v>Target</v>
      </c>
      <c r="AL37" s="643" t="str">
        <f>$N$7</f>
        <v>Max.</v>
      </c>
      <c r="AM37" s="643" t="str">
        <f>$O$7</f>
        <v>Act.</v>
      </c>
      <c r="AN37" s="643"/>
      <c r="AO37" s="643"/>
      <c r="AP37" s="643"/>
      <c r="AQ37" s="31"/>
      <c r="AR37" s="40" t="s">
        <v>70</v>
      </c>
      <c r="AS37" s="400"/>
      <c r="AT37" s="401"/>
      <c r="AU37" s="495"/>
      <c r="AX37" s="226"/>
      <c r="AY37" s="226"/>
      <c r="AZ37" s="226"/>
      <c r="BA37" s="226"/>
      <c r="BB37" s="226"/>
      <c r="BC37" s="226"/>
      <c r="BD37" s="226"/>
      <c r="BE37" s="226"/>
      <c r="BF37" s="15"/>
      <c r="BG37" s="16"/>
      <c r="BH37" s="51"/>
      <c r="BI37" s="74"/>
    </row>
    <row r="38" spans="1:61" ht="15" hidden="1" customHeight="1" thickBot="1">
      <c r="A38" s="243" t="str">
        <f t="shared" ref="A38" si="2">IF(COUNT(D38:AH38)=0,$AI$35,IF(MIN(D38:H38,J38:N38,P38:R38,T38:X38,Z38:AC38,AE38:AH38)=0,"B","A"))</f>
        <v>n.e.</v>
      </c>
      <c r="B38" s="48"/>
      <c r="C38" s="1056" t="str">
        <f>IF(AND($A$31,'Input Form - EingabeMaske'!$D$36&gt;1),"X","")</f>
        <v/>
      </c>
      <c r="D38" s="232" t="str">
        <f>IF($A$31=FALSE,$AI$35,IF($C38="X",IF(ISBLANK('Questions - Fragen'!$D73),"--",'Questions - Fragen'!$D73),"xx"))</f>
        <v>xx</v>
      </c>
      <c r="E38" s="232" t="str">
        <f>IF($A$31=FALSE,$AI$35,IF($C38="X",IF(ISBLANK('Questions - Fragen'!$D84),"--",'Questions - Fragen'!$D84),"xx"))</f>
        <v>xx</v>
      </c>
      <c r="F38" s="232" t="str">
        <f>IF($A$31=FALSE,$AI$35,IF($C38="X",IF(ISBLANK('Questions - Fragen'!$D95),"--",'Questions - Fragen'!$D95),"xx"))</f>
        <v>xx</v>
      </c>
      <c r="G38" s="232" t="str">
        <f>IF($A$31=FALSE,$AI$35,IF($C38="X",IF(ISBLANK('Questions - Fragen'!$D106),"--",'Questions - Fragen'!$D106),"xx"))</f>
        <v>xx</v>
      </c>
      <c r="H38" s="633" t="str">
        <f>IF($A$31=FALSE,$AI$35,IF($C38="X",IF(ISBLANK('Questions - Fragen'!$D117),"--",'Questions - Fragen'!$D117),"xx"))</f>
        <v>xx</v>
      </c>
      <c r="I38" s="226"/>
      <c r="J38" s="232" t="str">
        <f>IF($A$31=FALSE,$AI$35,IF($C38="X",IF(ISBLANK('Questions - Fragen'!$D129),"--",'Questions - Fragen'!$D129),"xx"))</f>
        <v>xx</v>
      </c>
      <c r="K38" s="232" t="str">
        <f>IF($A$31=FALSE,$AI$35,IF($C38="X",IF(ISBLANK('Questions - Fragen'!$D140),"--",'Questions - Fragen'!$D140),"xx"))</f>
        <v>xx</v>
      </c>
      <c r="L38" s="633" t="str">
        <f>IF($A$31=FALSE,$AI$35,IF($C38="X",IF(ISBLANK('Questions - Fragen'!$D151),"--",'Questions - Fragen'!$D151),"xx"))</f>
        <v>xx</v>
      </c>
      <c r="M38" s="633" t="str">
        <f>IF($A$31=FALSE,$AI$35,IF($C38="X",IF(ISBLANK('Questions - Fragen'!$D162),"--",'Questions - Fragen'!$D162),"xx"))</f>
        <v>xx</v>
      </c>
      <c r="N38" s="232" t="str">
        <f>IF($A$31=FALSE,$AI$35,IF($C38="X",IF(ISBLANK('Questions - Fragen'!$D173),"--",'Questions - Fragen'!$D173),"xx"))</f>
        <v>xx</v>
      </c>
      <c r="O38" s="16"/>
      <c r="P38" s="633" t="str">
        <f>IF($A$31=FALSE,$AI$35,IF($C38="X",IF(ISBLANK('Questions - Fragen'!$D185),"--",'Questions - Fragen'!$D185),"xx"))</f>
        <v>xx</v>
      </c>
      <c r="Q38" s="232" t="str">
        <f>IF($A$31=FALSE,$AI$35,IF($C38="X",IF(ISBLANK('Questions - Fragen'!$D196),"--",'Questions - Fragen'!$D196),"xx"))</f>
        <v>xx</v>
      </c>
      <c r="R38" s="232" t="str">
        <f>IF($A$31=FALSE,$AI$35,IF($C38="X",IF(ISBLANK('Questions - Fragen'!$D207),"--",'Questions - Fragen'!$D207),"xx"))</f>
        <v>xx</v>
      </c>
      <c r="S38" s="226"/>
      <c r="T38" s="633" t="str">
        <f>IF($A$31=FALSE,$AI$35,IF($C38="X",IF(ISBLANK('Questions - Fragen'!$D219),"--",'Questions - Fragen'!$D219),"xx"))</f>
        <v>xx</v>
      </c>
      <c r="U38" s="232" t="str">
        <f>IF($A$31=FALSE,$AI$35,IF($C38="X",IF(ISBLANK('Questions - Fragen'!$D230),"--",'Questions - Fragen'!$D230),"xx"))</f>
        <v>xx</v>
      </c>
      <c r="V38" s="633" t="str">
        <f>IF($A$31=FALSE,$AI$35,IF($C38="X",IF(ISBLANK('Questions - Fragen'!$D241),"--",'Questions - Fragen'!$D241),"xx"))</f>
        <v>xx</v>
      </c>
      <c r="W38" s="232" t="str">
        <f>IF($A$31=FALSE,$AI$35,IF($C38="X",IF(ISBLANK('Questions - Fragen'!$D252),"--",'Questions - Fragen'!$D252),"xx"))</f>
        <v>xx</v>
      </c>
      <c r="X38" s="232" t="str">
        <f>IF($A$31=FALSE,$AI$35,IF($C38="X",IF(ISBLANK('Questions - Fragen'!$D263),"--",'Questions - Fragen'!$D263),"xx"))</f>
        <v>xx</v>
      </c>
      <c r="Z38" s="232" t="str">
        <f>IF($A$31=FALSE,$AI$35,IF($C38="X",IF(ISBLANK('Questions - Fragen'!$D275),"--",'Questions - Fragen'!$D275),"xx"))</f>
        <v>xx</v>
      </c>
      <c r="AA38" s="232" t="str">
        <f>IF($A$31=FALSE,$AI$35,IF($C38="X",IF(ISBLANK('Questions - Fragen'!$D286),"--",'Questions - Fragen'!$D286),"xx"))</f>
        <v>xx</v>
      </c>
      <c r="AB38" s="633" t="str">
        <f>IF($A$31=FALSE,$AI$35,IF($C38="X",IF(ISBLANK('Questions - Fragen'!$D297),"--",'Questions - Fragen'!$D297),"xx"))</f>
        <v>xx</v>
      </c>
      <c r="AC38" s="232" t="str">
        <f>IF($A$31=FALSE,$AI$35,IF($C38="X",IF(ISBLANK('Questions - Fragen'!$D308),"--",'Questions - Fragen'!$D308),"xx"))</f>
        <v>xx</v>
      </c>
      <c r="AD38" s="226"/>
      <c r="AE38" s="232" t="str">
        <f>IF($A$31=FALSE,$AI$35,IF($C38="X",IF(ISBLANK('Questions - Fragen'!$D320),"--",'Questions - Fragen'!$D320),"xx"))</f>
        <v>xx</v>
      </c>
      <c r="AF38" s="232" t="str">
        <f>IF($A$31=FALSE,$AI$35,IF($C38="X",IF(ISBLANK('Questions - Fragen'!$D331),"--",'Questions - Fragen'!$D331),"xx"))</f>
        <v>xx</v>
      </c>
      <c r="AG38" s="232" t="str">
        <f>IF($A$31=FALSE,$AI$35,IF($C38="X",IF(ISBLANK('Questions - Fragen'!$D342),"--",'Questions - Fragen'!$D342),"xx"))</f>
        <v>xx</v>
      </c>
      <c r="AH38" s="633" t="str">
        <f>IF($A$31=FALSE,$AI$35,IF($C38="X",IF(ISBLANK('Questions - Fragen'!$D353),"--",'Questions - Fragen'!$D353),"xx"))</f>
        <v>xx</v>
      </c>
      <c r="AI38" s="753">
        <f t="shared" ref="AI38" si="3">COUNTIF(D38:AH38,"&gt;-")</f>
        <v>26</v>
      </c>
      <c r="AJ38" s="753">
        <f>COUNT(D38:AH38)</f>
        <v>0</v>
      </c>
      <c r="AK38" s="753">
        <v>17</v>
      </c>
      <c r="AL38" s="753" t="str">
        <f>IF(AND($A$31,AJ38&gt;=AK38),AJ38*10,"--")</f>
        <v>--</v>
      </c>
      <c r="AM38" s="753" t="str">
        <f>IF(AND($A$31,AJ38&gt;=AK38),SUM(D38:AH38),"--")</f>
        <v>--</v>
      </c>
      <c r="AN38" s="643"/>
      <c r="AO38" s="643"/>
      <c r="AP38" s="643"/>
      <c r="AQ38" s="39"/>
      <c r="AR38" s="43"/>
      <c r="AS38" s="1469" t="str">
        <f>IF($A$31=FALSE,$AI$35,IF(C38="","xx",IF(AJ38&lt;AK38,$AI$35,ROUND(AM38/AL38,2))))</f>
        <v>xx</v>
      </c>
      <c r="AT38" s="1470"/>
      <c r="AU38" s="16"/>
      <c r="AX38" s="740" t="str">
        <f>E38</f>
        <v>xx</v>
      </c>
      <c r="AY38" s="740" t="str">
        <f>F38</f>
        <v>xx</v>
      </c>
      <c r="AZ38" s="740" t="str">
        <f>G38</f>
        <v>xx</v>
      </c>
      <c r="BA38" s="740" t="str">
        <f t="shared" ref="BA38" si="4">M38</f>
        <v>xx</v>
      </c>
      <c r="BB38" s="740" t="str">
        <f>N38</f>
        <v>xx</v>
      </c>
      <c r="BC38" s="740" t="str">
        <f>AE38</f>
        <v>xx</v>
      </c>
      <c r="BD38" s="740" t="str">
        <f>AF38</f>
        <v>xx</v>
      </c>
      <c r="BE38" s="740" t="str">
        <f>AG38</f>
        <v>xx</v>
      </c>
      <c r="BF38" s="15"/>
      <c r="BG38" s="16"/>
      <c r="BH38" s="51"/>
      <c r="BI38" s="74"/>
    </row>
    <row r="39" spans="1:61" ht="15" hidden="1" customHeight="1" thickBot="1">
      <c r="B39" s="48"/>
      <c r="C39" s="1057"/>
      <c r="D39" s="185" t="s">
        <v>62</v>
      </c>
      <c r="E39" s="185"/>
      <c r="F39" s="176"/>
      <c r="G39" s="176"/>
      <c r="H39" s="630"/>
      <c r="I39" s="185" t="str">
        <f>PrSchr3</f>
        <v>Stage 3</v>
      </c>
      <c r="K39" s="176"/>
      <c r="L39" s="632"/>
      <c r="M39" s="632"/>
      <c r="N39" s="176"/>
      <c r="O39" s="16"/>
      <c r="P39" s="632"/>
      <c r="Q39" s="176"/>
      <c r="R39" s="176"/>
      <c r="S39" s="176"/>
      <c r="T39" s="632"/>
      <c r="U39" s="176"/>
      <c r="V39" s="632"/>
      <c r="W39" s="176"/>
      <c r="X39" s="176"/>
      <c r="Z39" s="176"/>
      <c r="AA39" s="176"/>
      <c r="AB39" s="632"/>
      <c r="AC39" s="176"/>
      <c r="AD39" s="176"/>
      <c r="AE39" s="176"/>
      <c r="AF39" s="176"/>
      <c r="AG39" s="176"/>
      <c r="AH39" s="632"/>
      <c r="AI39" s="728" t="str">
        <f>$K$7</f>
        <v>n.e.</v>
      </c>
      <c r="AJ39" s="643" t="str">
        <f>$L$7</f>
        <v>Act.</v>
      </c>
      <c r="AK39" s="643" t="str">
        <f>$M$7</f>
        <v>Target</v>
      </c>
      <c r="AL39" s="643" t="str">
        <f>$N$7</f>
        <v>Max.</v>
      </c>
      <c r="AM39" s="643" t="str">
        <f>$O$7</f>
        <v>Act.</v>
      </c>
      <c r="AN39" s="643"/>
      <c r="AO39" s="643"/>
      <c r="AP39" s="643"/>
      <c r="AQ39" s="31"/>
      <c r="AR39" s="40" t="s">
        <v>71</v>
      </c>
      <c r="AS39" s="495"/>
      <c r="AT39" s="495"/>
      <c r="AU39" s="495"/>
      <c r="AX39" s="226"/>
      <c r="AY39" s="226"/>
      <c r="AZ39" s="226"/>
      <c r="BA39" s="226"/>
      <c r="BB39" s="226"/>
      <c r="BC39" s="226"/>
      <c r="BD39" s="226"/>
      <c r="BE39" s="226"/>
      <c r="BF39" s="15"/>
      <c r="BG39" s="16"/>
      <c r="BH39" s="51"/>
      <c r="BI39" s="74"/>
    </row>
    <row r="40" spans="1:61" ht="15" hidden="1" customHeight="1" thickBot="1">
      <c r="A40" s="243" t="str">
        <f t="shared" ref="A40" si="5">IF(COUNT(D40:AH40)=0,$AI$35,IF(MIN(D40:H40,J40:N40,P40:R40,T40:X40,Z40:AC40,AE40:AH40)=0,"B","A"))</f>
        <v>n.e.</v>
      </c>
      <c r="B40" s="48"/>
      <c r="C40" s="1056" t="str">
        <f>IF(AND($A$31,'Input Form - EingabeMaske'!$D$36&gt;2),"X","")</f>
        <v/>
      </c>
      <c r="D40" s="232" t="str">
        <f>IF($A$31=FALSE,$AI$35,IF($C40="X",IF(ISBLANK('Questions - Fragen'!$D74),"--",'Questions - Fragen'!$D74),"xx"))</f>
        <v>xx</v>
      </c>
      <c r="E40" s="232" t="str">
        <f>IF($A$31=FALSE,$AI$35,IF($C40="X",IF(ISBLANK('Questions - Fragen'!$D85),"--",'Questions - Fragen'!$D85),"xx"))</f>
        <v>xx</v>
      </c>
      <c r="F40" s="232" t="str">
        <f>IF($A$31=FALSE,$AI$35,IF($C40="X",IF(ISBLANK('Questions - Fragen'!$D96),"--",'Questions - Fragen'!$D96),"xx"))</f>
        <v>xx</v>
      </c>
      <c r="G40" s="232" t="str">
        <f>IF($A$31=FALSE,$AI$35,IF($C40="X",IF(ISBLANK('Questions - Fragen'!$D107),"--",'Questions - Fragen'!$D107),"xx"))</f>
        <v>xx</v>
      </c>
      <c r="H40" s="633" t="str">
        <f>IF($A$31=FALSE,$AI$35,IF($C40="X",IF(ISBLANK('Questions - Fragen'!$D118),"--",'Questions - Fragen'!$D118),"xx"))</f>
        <v>xx</v>
      </c>
      <c r="I40" s="226"/>
      <c r="J40" s="232" t="str">
        <f>IF($A$31=FALSE,$AI$35,IF($C40="X",IF(ISBLANK('Questions - Fragen'!$D130),"--",'Questions - Fragen'!$D130),"xx"))</f>
        <v>xx</v>
      </c>
      <c r="K40" s="232" t="str">
        <f>IF($A$31=FALSE,$AI$35,IF($C40="X",IF(ISBLANK('Questions - Fragen'!$D141),"--",'Questions - Fragen'!$D141),"xx"))</f>
        <v>xx</v>
      </c>
      <c r="L40" s="633" t="str">
        <f>IF($A$31=FALSE,$AI$35,IF($C40="X",IF(ISBLANK('Questions - Fragen'!$D152),"--",'Questions - Fragen'!$D152),"xx"))</f>
        <v>xx</v>
      </c>
      <c r="M40" s="633" t="str">
        <f>IF($A$31=FALSE,$AI$35,IF($C40="X",IF(ISBLANK('Questions - Fragen'!$D163),"--",'Questions - Fragen'!$D163),"xx"))</f>
        <v>xx</v>
      </c>
      <c r="N40" s="232" t="str">
        <f>IF($A$31=FALSE,$AI$35,IF($C40="X",IF(ISBLANK('Questions - Fragen'!$D174),"--",'Questions - Fragen'!$D174),"xx"))</f>
        <v>xx</v>
      </c>
      <c r="O40" s="16"/>
      <c r="P40" s="633" t="str">
        <f>IF($A$31=FALSE,$AI$35,IF($C40="X",IF(ISBLANK('Questions - Fragen'!$D186),"--",'Questions - Fragen'!$D186),"xx"))</f>
        <v>xx</v>
      </c>
      <c r="Q40" s="232" t="str">
        <f>IF($A$31=FALSE,$AI$35,IF($C40="X",IF(ISBLANK('Questions - Fragen'!$D197),"--",'Questions - Fragen'!$D197),"xx"))</f>
        <v>xx</v>
      </c>
      <c r="R40" s="232" t="str">
        <f>IF($A$31=FALSE,$AI$35,IF($C40="X",IF(ISBLANK('Questions - Fragen'!$D208),"--",'Questions - Fragen'!$D208),"xx"))</f>
        <v>xx</v>
      </c>
      <c r="S40" s="226"/>
      <c r="T40" s="633" t="str">
        <f>IF($A$31=FALSE,$AI$35,IF($C40="X",IF(ISBLANK('Questions - Fragen'!$D220),"--",'Questions - Fragen'!$D220),"xx"))</f>
        <v>xx</v>
      </c>
      <c r="U40" s="232" t="str">
        <f>IF($A$31=FALSE,$AI$35,IF($C40="X",IF(ISBLANK('Questions - Fragen'!$D231),"--",'Questions - Fragen'!$D231),"xx"))</f>
        <v>xx</v>
      </c>
      <c r="V40" s="633" t="str">
        <f>IF($A$31=FALSE,$AI$35,IF($C40="X",IF(ISBLANK('Questions - Fragen'!$D242),"--",'Questions - Fragen'!$D242),"xx"))</f>
        <v>xx</v>
      </c>
      <c r="W40" s="232" t="str">
        <f>IF($A$31=FALSE,$AI$35,IF($C40="X",IF(ISBLANK('Questions - Fragen'!$D253),"--",'Questions - Fragen'!$D253),"xx"))</f>
        <v>xx</v>
      </c>
      <c r="X40" s="232" t="str">
        <f>IF($A$31=FALSE,$AI$35,IF($C40="X",IF(ISBLANK('Questions - Fragen'!$D264),"--",'Questions - Fragen'!$D264),"xx"))</f>
        <v>xx</v>
      </c>
      <c r="Z40" s="232" t="str">
        <f>IF($A$31=FALSE,$AI$35,IF($C40="X",IF(ISBLANK('Questions - Fragen'!$D276),"--",'Questions - Fragen'!$D276),"xx"))</f>
        <v>xx</v>
      </c>
      <c r="AA40" s="232" t="str">
        <f>IF($A$31=FALSE,$AI$35,IF($C40="X",IF(ISBLANK('Questions - Fragen'!$D287),"--",'Questions - Fragen'!$D287),"xx"))</f>
        <v>xx</v>
      </c>
      <c r="AB40" s="633" t="str">
        <f>IF($A$31=FALSE,$AI$35,IF($C40="X",IF(ISBLANK('Questions - Fragen'!$D298),"--",'Questions - Fragen'!$D298),"xx"))</f>
        <v>xx</v>
      </c>
      <c r="AC40" s="232" t="str">
        <f>IF($A$31=FALSE,$AI$35,IF($C40="X",IF(ISBLANK('Questions - Fragen'!$D309),"--",'Questions - Fragen'!$D309),"xx"))</f>
        <v>xx</v>
      </c>
      <c r="AD40" s="226"/>
      <c r="AE40" s="232" t="str">
        <f>IF($A$31=FALSE,$AI$35,IF($C40="X",IF(ISBLANK('Questions - Fragen'!$D321),"--",'Questions - Fragen'!$D321),"xx"))</f>
        <v>xx</v>
      </c>
      <c r="AF40" s="232" t="str">
        <f>IF($A$31=FALSE,$AI$35,IF($C40="X",IF(ISBLANK('Questions - Fragen'!$D332),"--",'Questions - Fragen'!$D332),"xx"))</f>
        <v>xx</v>
      </c>
      <c r="AG40" s="232" t="str">
        <f>IF($A$31=FALSE,$AI$35,IF($C40="X",IF(ISBLANK('Questions - Fragen'!$D343),"--",'Questions - Fragen'!$D343),"xx"))</f>
        <v>xx</v>
      </c>
      <c r="AH40" s="633" t="str">
        <f>IF($A$31=FALSE,$AI$35,IF($C40="X",IF(ISBLANK('Questions - Fragen'!$D354),"--",'Questions - Fragen'!$D354),"xx"))</f>
        <v>xx</v>
      </c>
      <c r="AI40" s="753">
        <f t="shared" ref="AI40" si="6">COUNTIF(D40:AH40,"&gt;-")</f>
        <v>26</v>
      </c>
      <c r="AJ40" s="753">
        <f>COUNT(D40:AH40)</f>
        <v>0</v>
      </c>
      <c r="AK40" s="753">
        <v>17</v>
      </c>
      <c r="AL40" s="753" t="str">
        <f>IF(AND($A$31,AJ40&gt;=AK40),AJ40*10,"--")</f>
        <v>--</v>
      </c>
      <c r="AM40" s="753" t="str">
        <f>IF(AND($A$31,AJ40&gt;=AK40),SUM(D40:AH40),"--")</f>
        <v>--</v>
      </c>
      <c r="AN40" s="643"/>
      <c r="AO40" s="643"/>
      <c r="AP40" s="643"/>
      <c r="AQ40" s="39"/>
      <c r="AR40" s="43"/>
      <c r="AS40" s="1469" t="str">
        <f>IF($A$31=FALSE,$AI$35,IF(C40="","xx",IF(AJ40&lt;AK40,$AI$35,ROUND(AM40/AL40,2))))</f>
        <v>xx</v>
      </c>
      <c r="AT40" s="1470"/>
      <c r="AU40" s="16"/>
      <c r="AX40" s="740" t="str">
        <f>E40</f>
        <v>xx</v>
      </c>
      <c r="AY40" s="740" t="str">
        <f>F40</f>
        <v>xx</v>
      </c>
      <c r="AZ40" s="740" t="str">
        <f>G40</f>
        <v>xx</v>
      </c>
      <c r="BA40" s="740" t="str">
        <f t="shared" ref="BA40" si="7">M40</f>
        <v>xx</v>
      </c>
      <c r="BB40" s="740" t="str">
        <f>N40</f>
        <v>xx</v>
      </c>
      <c r="BC40" s="740" t="str">
        <f>AE40</f>
        <v>xx</v>
      </c>
      <c r="BD40" s="740" t="str">
        <f>AF40</f>
        <v>xx</v>
      </c>
      <c r="BE40" s="740" t="str">
        <f>AG40</f>
        <v>xx</v>
      </c>
      <c r="BF40" s="15"/>
      <c r="BG40" s="16"/>
      <c r="BH40" s="51"/>
      <c r="BI40" s="74"/>
    </row>
    <row r="41" spans="1:61" ht="15" hidden="1" customHeight="1" thickBot="1">
      <c r="B41" s="48"/>
      <c r="C41" s="193"/>
      <c r="D41" s="185" t="s">
        <v>775</v>
      </c>
      <c r="E41" s="185"/>
      <c r="F41" s="175"/>
      <c r="G41" s="175"/>
      <c r="H41" s="630"/>
      <c r="I41" s="185" t="str">
        <f>PrSchr4</f>
        <v>Stage 4</v>
      </c>
      <c r="K41" s="175"/>
      <c r="L41" s="631"/>
      <c r="M41" s="631"/>
      <c r="N41" s="175"/>
      <c r="O41" s="16"/>
      <c r="P41" s="631"/>
      <c r="Q41" s="175"/>
      <c r="R41" s="175"/>
      <c r="S41" s="175"/>
      <c r="T41" s="631"/>
      <c r="U41" s="175"/>
      <c r="V41" s="631"/>
      <c r="W41" s="175"/>
      <c r="X41" s="175"/>
      <c r="Z41" s="175"/>
      <c r="AA41" s="175"/>
      <c r="AB41" s="631"/>
      <c r="AC41" s="175"/>
      <c r="AD41" s="175"/>
      <c r="AE41" s="175"/>
      <c r="AF41" s="175"/>
      <c r="AG41" s="175"/>
      <c r="AH41" s="631"/>
      <c r="AI41" s="643" t="str">
        <f>$K$7</f>
        <v>n.e.</v>
      </c>
      <c r="AJ41" s="643" t="str">
        <f>$L$7</f>
        <v>Act.</v>
      </c>
      <c r="AK41" s="643" t="str">
        <f>$M$7</f>
        <v>Target</v>
      </c>
      <c r="AL41" s="643" t="str">
        <f>$N$7</f>
        <v>Max.</v>
      </c>
      <c r="AM41" s="643" t="str">
        <f>$O$7</f>
        <v>Act.</v>
      </c>
      <c r="AN41" s="643"/>
      <c r="AO41" s="643"/>
      <c r="AP41" s="643"/>
      <c r="AQ41" s="30"/>
      <c r="AR41" s="40" t="s">
        <v>783</v>
      </c>
      <c r="AS41" s="171"/>
      <c r="AT41" s="165"/>
      <c r="AU41" s="165"/>
      <c r="AX41" s="165"/>
      <c r="AY41" s="165"/>
      <c r="AZ41" s="627"/>
      <c r="BA41" s="627"/>
      <c r="BB41" s="627"/>
      <c r="BC41" s="627"/>
      <c r="BD41" s="627"/>
      <c r="BE41" s="627"/>
      <c r="BF41" s="16"/>
      <c r="BG41" s="16"/>
      <c r="BH41" s="51"/>
      <c r="BI41" s="16"/>
    </row>
    <row r="42" spans="1:61" ht="15" hidden="1" customHeight="1" thickBot="1">
      <c r="A42" s="243" t="str">
        <f>IF(COUNT(D42:AH42)=0,$AI$35,IF(MIN(D42:H42,J42:N42,P42:R42,T42:X42,Z42:AC42,AE42:AH42)=0,"B","A"))</f>
        <v>n.e.</v>
      </c>
      <c r="B42" s="48"/>
      <c r="C42" s="1056" t="str">
        <f>IF(AND($A$31,'Input Form - EingabeMaske'!$D$36&gt;3),"X","")</f>
        <v/>
      </c>
      <c r="D42" s="232" t="str">
        <f>IF($A$31=FALSE,$AI$35,IF($C42="X",IF(ISBLANK('Questions - Fragen'!$D75),"--",'Questions - Fragen'!$D75),"xx"))</f>
        <v>xx</v>
      </c>
      <c r="E42" s="232" t="str">
        <f>IF($A$31=FALSE,$AI$35,IF($C42="X",IF(ISBLANK('Questions - Fragen'!$D86),"--",'Questions - Fragen'!$D86),"xx"))</f>
        <v>xx</v>
      </c>
      <c r="F42" s="232" t="str">
        <f>IF($A$31=FALSE,$AI$35,IF($C42="X",IF(ISBLANK('Questions - Fragen'!$D97),"--",'Questions - Fragen'!$D97),"xx"))</f>
        <v>xx</v>
      </c>
      <c r="G42" s="232" t="str">
        <f>IF($A$31=FALSE,$AI$35,IF($C42="X",IF(ISBLANK('Questions - Fragen'!$D108),"--",'Questions - Fragen'!$D108),"xx"))</f>
        <v>xx</v>
      </c>
      <c r="H42" s="633" t="str">
        <f>IF($A$31=FALSE,$AI$35,IF($C42="X",IF(ISBLANK('Questions - Fragen'!$D122),"--",'Questions - Fragen'!$D119),"xx"))</f>
        <v>xx</v>
      </c>
      <c r="I42" s="226"/>
      <c r="J42" s="232" t="str">
        <f>IF($A$31=FALSE,$AI$35,IF($C42="X",IF(ISBLANK('Questions - Fragen'!$D131),"--",'Questions - Fragen'!$D131),"xx"))</f>
        <v>xx</v>
      </c>
      <c r="K42" s="232" t="str">
        <f>IF($A$31=FALSE,$AI$35,IF($C42="X",IF(ISBLANK('Questions - Fragen'!$D142),"--",'Questions - Fragen'!$D142),"xx"))</f>
        <v>xx</v>
      </c>
      <c r="L42" s="633" t="str">
        <f>IF($A$31=FALSE,$AI$35,IF($C42="X",IF(ISBLANK('Questions - Fragen'!$D153),"--",'Questions - Fragen'!$D153),"xx"))</f>
        <v>xx</v>
      </c>
      <c r="M42" s="633" t="str">
        <f>IF($A$31=FALSE,$AI$35,IF($C42="X",IF(ISBLANK('Questions - Fragen'!$D164),"--",'Questions - Fragen'!$D164),"xx"))</f>
        <v>xx</v>
      </c>
      <c r="N42" s="232" t="str">
        <f>IF($A$31=FALSE,$AI$35,IF($C42="X",IF(ISBLANK('Questions - Fragen'!$D175),"--",'Questions - Fragen'!$D175),"xx"))</f>
        <v>xx</v>
      </c>
      <c r="O42" s="16"/>
      <c r="P42" s="633" t="str">
        <f>IF($A$31=FALSE,$AI$35,IF($C42="X",IF(ISBLANK('Questions - Fragen'!$D187),"--",'Questions - Fragen'!$D187),"xx"))</f>
        <v>xx</v>
      </c>
      <c r="Q42" s="232" t="str">
        <f>IF($A$31=FALSE,$AI$35,IF($C42="X",IF(ISBLANK('Questions - Fragen'!$D198),"--",'Questions - Fragen'!$D198),"xx"))</f>
        <v>xx</v>
      </c>
      <c r="R42" s="232" t="str">
        <f>IF($A$31=FALSE,$AI$35,IF($C42="X",IF(ISBLANK('Questions - Fragen'!$D209),"--",'Questions - Fragen'!$D209),"xx"))</f>
        <v>xx</v>
      </c>
      <c r="S42" s="226"/>
      <c r="T42" s="633" t="str">
        <f>IF($A$31=FALSE,$AI$35,IF($C42="X",IF(ISBLANK('Questions - Fragen'!$D221),"--",'Questions - Fragen'!$D221),"xx"))</f>
        <v>xx</v>
      </c>
      <c r="U42" s="232" t="str">
        <f>IF($A$31=FALSE,$AI$35,IF($C42="X",IF(ISBLANK('Questions - Fragen'!$D232),"--",'Questions - Fragen'!$D232),"xx"))</f>
        <v>xx</v>
      </c>
      <c r="V42" s="633" t="str">
        <f>IF($A$31=FALSE,$AI$35,IF($C42="X",IF(ISBLANK('Questions - Fragen'!$D243),"--",'Questions - Fragen'!$D243),"xx"))</f>
        <v>xx</v>
      </c>
      <c r="W42" s="232" t="str">
        <f>IF($A$31=FALSE,$AI$35,IF($C42="X",IF(ISBLANK('Questions - Fragen'!$D254),"--",'Questions - Fragen'!$D254),"xx"))</f>
        <v>xx</v>
      </c>
      <c r="X42" s="232" t="str">
        <f>IF($A$31=FALSE,$AI$35,IF($C42="X",IF(ISBLANK('Questions - Fragen'!$D265),"--",'Questions - Fragen'!$D265),"xx"))</f>
        <v>xx</v>
      </c>
      <c r="Z42" s="232" t="str">
        <f>IF($A$31=FALSE,$AI$35,IF($C42="X",IF(ISBLANK('Questions - Fragen'!$D277),"--",'Questions - Fragen'!$D277),"xx"))</f>
        <v>xx</v>
      </c>
      <c r="AA42" s="232" t="str">
        <f>IF($A$31=FALSE,$AI$35,IF($C42="X",IF(ISBLANK('Questions - Fragen'!$D288),"--",'Questions - Fragen'!$D288),"xx"))</f>
        <v>xx</v>
      </c>
      <c r="AB42" s="633" t="str">
        <f>IF($A$31=FALSE,$AI$35,IF($C42="X",IF(ISBLANK('Questions - Fragen'!$D299),"--",'Questions - Fragen'!$D299),"xx"))</f>
        <v>xx</v>
      </c>
      <c r="AC42" s="232" t="str">
        <f>IF($A$31=FALSE,$AI$35,IF($C42="X",IF(ISBLANK('Questions - Fragen'!$D310),"--",'Questions - Fragen'!$D310),"xx"))</f>
        <v>xx</v>
      </c>
      <c r="AD42" s="226"/>
      <c r="AE42" s="232" t="str">
        <f>IF($A$31=FALSE,$AI$35,IF($C42="X",IF(ISBLANK('Questions - Fragen'!$D322),"--",'Questions - Fragen'!$D322),"xx"))</f>
        <v>xx</v>
      </c>
      <c r="AF42" s="232" t="str">
        <f>IF($A$31=FALSE,$AI$35,IF($C42="X",IF(ISBLANK('Questions - Fragen'!$D333),"--",'Questions - Fragen'!$D333),"xx"))</f>
        <v>xx</v>
      </c>
      <c r="AG42" s="232" t="str">
        <f>IF($A$31=FALSE,$AI$35,IF($C42="X",IF(ISBLANK('Questions - Fragen'!$D344),"--",'Questions - Fragen'!$D344),"xx"))</f>
        <v>xx</v>
      </c>
      <c r="AH42" s="633" t="str">
        <f>IF($A$31=FALSE,$AI$35,IF($C42="X",IF(ISBLANK('Questions - Fragen'!$D355),"--",'Questions - Fragen'!$D355),"xx"))</f>
        <v>xx</v>
      </c>
      <c r="AI42" s="753">
        <f>COUNTIF(D42:AH42,"&gt;-")</f>
        <v>26</v>
      </c>
      <c r="AJ42" s="753">
        <f>COUNT(D42:AH42)</f>
        <v>0</v>
      </c>
      <c r="AK42" s="753">
        <v>17</v>
      </c>
      <c r="AL42" s="753" t="str">
        <f>IF(AND($A$31,AJ42&gt;=AK42),AJ42*10,"--")</f>
        <v>--</v>
      </c>
      <c r="AM42" s="753" t="str">
        <f>IF(AND($A$31,AJ42&gt;=AK42),SUM(D42:AH42),"--")</f>
        <v>--</v>
      </c>
      <c r="AN42" s="643"/>
      <c r="AO42" s="643"/>
      <c r="AP42" s="643"/>
      <c r="AQ42" s="39"/>
      <c r="AR42" s="43"/>
      <c r="AS42" s="1469" t="str">
        <f>IF($A$31=FALSE,$AI$35,IF(C42="","xx",IF(AJ42&lt;AK42,$AI$35,ROUND(AM42/AL42,2))))</f>
        <v>xx</v>
      </c>
      <c r="AT42" s="1470"/>
      <c r="AU42" s="16"/>
      <c r="AX42" s="740" t="str">
        <f>E42</f>
        <v>xx</v>
      </c>
      <c r="AY42" s="740" t="str">
        <f>F42</f>
        <v>xx</v>
      </c>
      <c r="AZ42" s="740" t="str">
        <f>G42</f>
        <v>xx</v>
      </c>
      <c r="BA42" s="740" t="str">
        <f>M42</f>
        <v>xx</v>
      </c>
      <c r="BB42" s="740" t="str">
        <f>N42</f>
        <v>xx</v>
      </c>
      <c r="BC42" s="740" t="str">
        <f>AE42</f>
        <v>xx</v>
      </c>
      <c r="BD42" s="740" t="str">
        <f>AF42</f>
        <v>xx</v>
      </c>
      <c r="BE42" s="740" t="str">
        <f>AG42</f>
        <v>xx</v>
      </c>
      <c r="BF42" s="15"/>
      <c r="BG42" s="16"/>
      <c r="BH42" s="51"/>
      <c r="BI42" s="74"/>
    </row>
    <row r="43" spans="1:61" ht="15" hidden="1" customHeight="1" thickBot="1">
      <c r="B43" s="48"/>
      <c r="C43" s="193"/>
      <c r="D43" s="185" t="s">
        <v>776</v>
      </c>
      <c r="E43" s="185"/>
      <c r="F43" s="175"/>
      <c r="G43" s="175"/>
      <c r="H43" s="630"/>
      <c r="I43" s="185" t="str">
        <f>PrSchr5</f>
        <v>Stage 5</v>
      </c>
      <c r="K43" s="175"/>
      <c r="L43" s="631"/>
      <c r="M43" s="631"/>
      <c r="N43" s="175"/>
      <c r="O43" s="16"/>
      <c r="P43" s="631"/>
      <c r="Q43" s="175"/>
      <c r="R43" s="175"/>
      <c r="S43" s="175"/>
      <c r="T43" s="631"/>
      <c r="U43" s="175"/>
      <c r="V43" s="631"/>
      <c r="W43" s="175"/>
      <c r="X43" s="175"/>
      <c r="Z43" s="175"/>
      <c r="AA43" s="175"/>
      <c r="AB43" s="631"/>
      <c r="AC43" s="175"/>
      <c r="AD43" s="175"/>
      <c r="AE43" s="175"/>
      <c r="AF43" s="175"/>
      <c r="AG43" s="175"/>
      <c r="AH43" s="631"/>
      <c r="AI43" s="643" t="str">
        <f>$K$7</f>
        <v>n.e.</v>
      </c>
      <c r="AJ43" s="643" t="str">
        <f>$L$7</f>
        <v>Act.</v>
      </c>
      <c r="AK43" s="643" t="str">
        <f>$M$7</f>
        <v>Target</v>
      </c>
      <c r="AL43" s="643" t="str">
        <f>$N$7</f>
        <v>Max.</v>
      </c>
      <c r="AM43" s="643" t="str">
        <f>$O$7</f>
        <v>Act.</v>
      </c>
      <c r="AN43" s="643"/>
      <c r="AO43" s="643"/>
      <c r="AP43" s="643"/>
      <c r="AQ43" s="30"/>
      <c r="AR43" s="40" t="s">
        <v>784</v>
      </c>
      <c r="AS43" s="171"/>
      <c r="AT43" s="165"/>
      <c r="AU43" s="165"/>
      <c r="AX43" s="165"/>
      <c r="AY43" s="165"/>
      <c r="AZ43" s="627"/>
      <c r="BA43" s="627"/>
      <c r="BB43" s="627"/>
      <c r="BC43" s="627"/>
      <c r="BD43" s="627"/>
      <c r="BE43" s="627"/>
      <c r="BF43" s="16"/>
      <c r="BG43" s="16"/>
      <c r="BH43" s="51"/>
      <c r="BI43" s="16"/>
    </row>
    <row r="44" spans="1:61" ht="15" hidden="1" customHeight="1" thickBot="1">
      <c r="A44" s="243" t="str">
        <f>IF(COUNT(D44:AH44)=0,$AI$35,IF(MIN(D44:H44,J44:N44,P44:R44,T44:X44,Z44:AC44,AE44:AH44)=0,"B","A"))</f>
        <v>n.e.</v>
      </c>
      <c r="B44" s="48"/>
      <c r="C44" s="1056" t="str">
        <f>IF(AND($A$31,'Input Form - EingabeMaske'!$D$36&gt;4),"X","")</f>
        <v/>
      </c>
      <c r="D44" s="232" t="str">
        <f>IF($A$31=FALSE,$AI$35,IF($C44="X",IF(ISBLANK('Questions - Fragen'!$D76),"--",'Questions - Fragen'!$D76),"xx"))</f>
        <v>xx</v>
      </c>
      <c r="E44" s="232" t="str">
        <f>IF($A$31=FALSE,$AI$35,IF($C44="X",IF(ISBLANK('Questions - Fragen'!$D87),"--",'Questions - Fragen'!$D87),"xx"))</f>
        <v>xx</v>
      </c>
      <c r="F44" s="232" t="str">
        <f>IF($A$31=FALSE,$AI$35,IF($C44="X",IF(ISBLANK('Questions - Fragen'!$D98),"--",'Questions - Fragen'!$D98),"xx"))</f>
        <v>xx</v>
      </c>
      <c r="G44" s="232" t="str">
        <f>IF($A$31=FALSE,$AI$35,IF($C44="X",IF(ISBLANK('Questions - Fragen'!$D109),"--",'Questions - Fragen'!$D109),"xx"))</f>
        <v>xx</v>
      </c>
      <c r="H44" s="633" t="str">
        <f>IF($A$31=FALSE,$AI$35,IF($C44="X",IF(ISBLANK('Questions - Fragen'!$D120),"--",'Questions - Fragen'!$D120),"xx"))</f>
        <v>xx</v>
      </c>
      <c r="I44" s="226"/>
      <c r="J44" s="232" t="str">
        <f>IF($A$31=FALSE,$AI$35,IF($C44="X",IF(ISBLANK('Questions - Fragen'!$D132),"--",'Questions - Fragen'!$D132),"xx"))</f>
        <v>xx</v>
      </c>
      <c r="K44" s="232" t="str">
        <f>IF($A$31=FALSE,$AI$35,IF($C44="X",IF(ISBLANK('Questions - Fragen'!$D143),"--",'Questions - Fragen'!$D143),"xx"))</f>
        <v>xx</v>
      </c>
      <c r="L44" s="633" t="str">
        <f>IF($A$31=FALSE,$AI$35,IF($C44="X",IF(ISBLANK('Questions - Fragen'!$D154),"--",'Questions - Fragen'!$D154),"xx"))</f>
        <v>xx</v>
      </c>
      <c r="M44" s="633" t="str">
        <f>IF($A$31=FALSE,$AI$35,IF($C44="X",IF(ISBLANK('Questions - Fragen'!$D165),"--",'Questions - Fragen'!$D165),"xx"))</f>
        <v>xx</v>
      </c>
      <c r="N44" s="232" t="str">
        <f>IF($A$31=FALSE,$AI$35,IF($C44="X",IF(ISBLANK('Questions - Fragen'!$D176),"--",'Questions - Fragen'!$D176),"xx"))</f>
        <v>xx</v>
      </c>
      <c r="O44" s="16"/>
      <c r="P44" s="633" t="str">
        <f>IF($A$31=FALSE,$AI$35,IF($C44="X",IF(ISBLANK('Questions - Fragen'!$D188),"--",'Questions - Fragen'!$D188),"xx"))</f>
        <v>xx</v>
      </c>
      <c r="Q44" s="232" t="str">
        <f>IF($A$31=FALSE,$AI$35,IF($C44="X",IF(ISBLANK('Questions - Fragen'!$D199),"--",'Questions - Fragen'!$D199),"xx"))</f>
        <v>xx</v>
      </c>
      <c r="R44" s="232" t="str">
        <f>IF($A$31=FALSE,$AI$35,IF($C44="X",IF(ISBLANK('Questions - Fragen'!$D210),"--",'Questions - Fragen'!$D210),"xx"))</f>
        <v>xx</v>
      </c>
      <c r="S44" s="226"/>
      <c r="T44" s="633" t="str">
        <f>IF($A$31=FALSE,$AI$35,IF($C44="X",IF(ISBLANK('Questions - Fragen'!$D222),"--",'Questions - Fragen'!$D222),"xx"))</f>
        <v>xx</v>
      </c>
      <c r="U44" s="232" t="str">
        <f>IF($A$31=FALSE,$AI$35,IF($C44="X",IF(ISBLANK('Questions - Fragen'!$D233),"--",'Questions - Fragen'!$D233),"xx"))</f>
        <v>xx</v>
      </c>
      <c r="V44" s="633" t="str">
        <f>IF($A$31=FALSE,$AI$35,IF($C44="X",IF(ISBLANK('Questions - Fragen'!$D244),"--",'Questions - Fragen'!$D244),"xx"))</f>
        <v>xx</v>
      </c>
      <c r="W44" s="232" t="str">
        <f>IF($A$31=FALSE,$AI$35,IF($C44="X",IF(ISBLANK('Questions - Fragen'!$D255),"--",'Questions - Fragen'!$D255),"xx"))</f>
        <v>xx</v>
      </c>
      <c r="X44" s="232" t="str">
        <f>IF($A$31=FALSE,$AI$35,IF($C44="X",IF(ISBLANK('Questions - Fragen'!$D266),"--",'Questions - Fragen'!$D266),"xx"))</f>
        <v>xx</v>
      </c>
      <c r="Z44" s="232" t="str">
        <f>IF($A$31=FALSE,$AI$35,IF($C44="X",IF(ISBLANK('Questions - Fragen'!$D278),"--",'Questions - Fragen'!$D278),"xx"))</f>
        <v>xx</v>
      </c>
      <c r="AA44" s="232" t="str">
        <f>IF($A$31=FALSE,$AI$35,IF($C44="X",IF(ISBLANK('Questions - Fragen'!$D289),"--",'Questions - Fragen'!$D289),"xx"))</f>
        <v>xx</v>
      </c>
      <c r="AB44" s="633" t="str">
        <f>IF($A$31=FALSE,$AI$35,IF($C44="X",IF(ISBLANK('Questions - Fragen'!$D300),"--",'Questions - Fragen'!$D300),"xx"))</f>
        <v>xx</v>
      </c>
      <c r="AC44" s="232" t="str">
        <f>IF($A$31=FALSE,$AI$35,IF($C44="X",IF(ISBLANK('Questions - Fragen'!$D311),"--",'Questions - Fragen'!$D311),"xx"))</f>
        <v>xx</v>
      </c>
      <c r="AD44" s="226"/>
      <c r="AE44" s="232" t="str">
        <f>IF($A$31=FALSE,$AI$35,IF($C44="X",IF(ISBLANK('Questions - Fragen'!$D323),"--",'Questions - Fragen'!$D323),"xx"))</f>
        <v>xx</v>
      </c>
      <c r="AF44" s="232" t="str">
        <f>IF($A$31=FALSE,$AI$35,IF($C44="X",IF(ISBLANK('Questions - Fragen'!$D334),"--",'Questions - Fragen'!$D334),"xx"))</f>
        <v>xx</v>
      </c>
      <c r="AG44" s="232" t="str">
        <f>IF($A$31=FALSE,$AI$35,IF($C44="X",IF(ISBLANK('Questions - Fragen'!$D345),"--",'Questions - Fragen'!$D345),"xx"))</f>
        <v>xx</v>
      </c>
      <c r="AH44" s="633" t="str">
        <f>IF($A$31=FALSE,$AI$35,IF($C44="X",IF(ISBLANK('Questions - Fragen'!$D356),"--",'Questions - Fragen'!$D356),"xx"))</f>
        <v>xx</v>
      </c>
      <c r="AI44" s="753">
        <f>COUNTIF(D44:AH44,"&gt;-")</f>
        <v>26</v>
      </c>
      <c r="AJ44" s="753">
        <f>COUNT(D44:AH44)</f>
        <v>0</v>
      </c>
      <c r="AK44" s="753">
        <v>17</v>
      </c>
      <c r="AL44" s="753" t="str">
        <f>IF(AND($A$31,AJ44&gt;=AK44),AJ44*10,"--")</f>
        <v>--</v>
      </c>
      <c r="AM44" s="753" t="str">
        <f>IF(AND($A$31,AJ44&gt;=AK44),SUM(D44:AH44),"--")</f>
        <v>--</v>
      </c>
      <c r="AN44" s="643"/>
      <c r="AO44" s="643"/>
      <c r="AP44" s="643"/>
      <c r="AQ44" s="39"/>
      <c r="AR44" s="43"/>
      <c r="AS44" s="1469" t="str">
        <f>IF($A$31=FALSE,$AI$35,IF(C44="","xx",IF(AJ44&lt;AK44,$AI$35,ROUND(AM44/AL44,2))))</f>
        <v>xx</v>
      </c>
      <c r="AT44" s="1470"/>
      <c r="AU44" s="16"/>
      <c r="AX44" s="740" t="str">
        <f>E44</f>
        <v>xx</v>
      </c>
      <c r="AY44" s="740" t="str">
        <f>F44</f>
        <v>xx</v>
      </c>
      <c r="AZ44" s="740" t="str">
        <f>G44</f>
        <v>xx</v>
      </c>
      <c r="BA44" s="740" t="str">
        <f>M44</f>
        <v>xx</v>
      </c>
      <c r="BB44" s="740" t="str">
        <f>N44</f>
        <v>xx</v>
      </c>
      <c r="BC44" s="740" t="str">
        <f>AE44</f>
        <v>xx</v>
      </c>
      <c r="BD44" s="740" t="str">
        <f>AF44</f>
        <v>xx</v>
      </c>
      <c r="BE44" s="740" t="str">
        <f>AG44</f>
        <v>xx</v>
      </c>
      <c r="BF44" s="15"/>
      <c r="BG44" s="16"/>
      <c r="BH44" s="51"/>
      <c r="BI44" s="74"/>
    </row>
    <row r="45" spans="1:61" ht="15" hidden="1" customHeight="1" thickBot="1">
      <c r="B45" s="48"/>
      <c r="C45" s="193"/>
      <c r="D45" s="185" t="s">
        <v>782</v>
      </c>
      <c r="E45" s="185"/>
      <c r="F45" s="175"/>
      <c r="G45" s="175"/>
      <c r="H45" s="630"/>
      <c r="I45" s="185" t="str">
        <f>PrSchr6</f>
        <v>Stage 6</v>
      </c>
      <c r="K45" s="175"/>
      <c r="L45" s="631"/>
      <c r="M45" s="631"/>
      <c r="N45" s="175"/>
      <c r="O45" s="16"/>
      <c r="P45" s="631"/>
      <c r="Q45" s="175"/>
      <c r="R45" s="175"/>
      <c r="S45" s="175"/>
      <c r="T45" s="631"/>
      <c r="U45" s="175"/>
      <c r="V45" s="631"/>
      <c r="W45" s="175"/>
      <c r="X45" s="175"/>
      <c r="Z45" s="175"/>
      <c r="AA45" s="175"/>
      <c r="AB45" s="631"/>
      <c r="AC45" s="175"/>
      <c r="AD45" s="175"/>
      <c r="AE45" s="175"/>
      <c r="AF45" s="175"/>
      <c r="AG45" s="175"/>
      <c r="AH45" s="631"/>
      <c r="AI45" s="643" t="str">
        <f>$K$7</f>
        <v>n.e.</v>
      </c>
      <c r="AJ45" s="643" t="str">
        <f>$L$7</f>
        <v>Act.</v>
      </c>
      <c r="AK45" s="643" t="str">
        <f>$M$7</f>
        <v>Target</v>
      </c>
      <c r="AL45" s="643" t="str">
        <f>$N$7</f>
        <v>Max.</v>
      </c>
      <c r="AM45" s="643" t="str">
        <f>$O$7</f>
        <v>Act.</v>
      </c>
      <c r="AN45" s="643"/>
      <c r="AO45" s="643"/>
      <c r="AP45" s="643"/>
      <c r="AQ45" s="30"/>
      <c r="AR45" s="40" t="s">
        <v>789</v>
      </c>
      <c r="AS45" s="171"/>
      <c r="AT45" s="165"/>
      <c r="AU45" s="165"/>
      <c r="AX45" s="165"/>
      <c r="AY45" s="165"/>
      <c r="AZ45" s="627"/>
      <c r="BA45" s="627"/>
      <c r="BB45" s="627"/>
      <c r="BC45" s="627"/>
      <c r="BD45" s="627"/>
      <c r="BE45" s="627"/>
      <c r="BF45" s="16"/>
      <c r="BG45" s="16"/>
      <c r="BH45" s="51"/>
      <c r="BI45" s="16"/>
    </row>
    <row r="46" spans="1:61" ht="15" hidden="1" customHeight="1" thickBot="1">
      <c r="A46" s="243" t="str">
        <f>IF(COUNT(D46:AH46)=0,$AI$35,IF(MIN(D46:H46,J46:N46,P46:R46,T46:X46,Z46:AC46,AE46:AH46)=0,"B","A"))</f>
        <v>n.e.</v>
      </c>
      <c r="B46" s="48"/>
      <c r="C46" s="1056" t="str">
        <f>IF(AND($A$31,'Input Form - EingabeMaske'!$D$36&gt;5),"X","")</f>
        <v/>
      </c>
      <c r="D46" s="232" t="str">
        <f>IF($A$31=FALSE,$AI$35,IF($C46="X",IF(ISBLANK('Questions - Fragen'!$D77),"--",'Questions - Fragen'!$D77),"xx"))</f>
        <v>xx</v>
      </c>
      <c r="E46" s="232" t="str">
        <f>IF($A$31=FALSE,$AI$35,IF($C46="X",IF(ISBLANK('Questions - Fragen'!$D88),"--",'Questions - Fragen'!$D88),"xx"))</f>
        <v>xx</v>
      </c>
      <c r="F46" s="232" t="str">
        <f>IF($A$31=FALSE,$AI$35,IF($C46="X",IF(ISBLANK('Questions - Fragen'!$D99),"--",'Questions - Fragen'!$D99),"xx"))</f>
        <v>xx</v>
      </c>
      <c r="G46" s="232" t="str">
        <f>IF($A$31=FALSE,$AI$35,IF($C46="X",IF(ISBLANK('Questions - Fragen'!$D110),"--",'Questions - Fragen'!$D110),"xx"))</f>
        <v>xx</v>
      </c>
      <c r="H46" s="633" t="str">
        <f>IF($A$31=FALSE,$AI$35,IF($C46="X",IF(ISBLANK('Questions - Fragen'!$D121),"--",'Questions - Fragen'!$D121),"xx"))</f>
        <v>xx</v>
      </c>
      <c r="I46" s="226"/>
      <c r="J46" s="232" t="str">
        <f>IF($A$31=FALSE,$AI$35,IF($C46="X",IF(ISBLANK('Questions - Fragen'!$D133),"--",'Questions - Fragen'!$D133),"xx"))</f>
        <v>xx</v>
      </c>
      <c r="K46" s="232" t="str">
        <f>IF($A$31=FALSE,$AI$35,IF($C46="X",IF(ISBLANK('Questions - Fragen'!$D144),"--",'Questions - Fragen'!$D144),"xx"))</f>
        <v>xx</v>
      </c>
      <c r="L46" s="633" t="str">
        <f>IF($A$31=FALSE,$AI$35,IF($C46="X",IF(ISBLANK('Questions - Fragen'!$D155),"--",'Questions - Fragen'!$D155),"xx"))</f>
        <v>xx</v>
      </c>
      <c r="M46" s="633" t="str">
        <f>IF($A$31=FALSE,$AI$35,IF($C46="X",IF(ISBLANK('Questions - Fragen'!$D166),"--",'Questions - Fragen'!$D166),"xx"))</f>
        <v>xx</v>
      </c>
      <c r="N46" s="232" t="str">
        <f>IF($A$31=FALSE,$AI$35,IF($C46="X",IF(ISBLANK('Questions - Fragen'!$D177),"--",'Questions - Fragen'!$D177),"xx"))</f>
        <v>xx</v>
      </c>
      <c r="O46" s="16"/>
      <c r="P46" s="633" t="str">
        <f>IF($A$31=FALSE,$AI$35,IF($C46="X",IF(ISBLANK('Questions - Fragen'!$D189),"--",'Questions - Fragen'!$D189),"xx"))</f>
        <v>xx</v>
      </c>
      <c r="Q46" s="232" t="str">
        <f>IF($A$31=FALSE,$AI$35,IF($C46="X",IF(ISBLANK('Questions - Fragen'!$D200),"--",'Questions - Fragen'!$D200),"xx"))</f>
        <v>xx</v>
      </c>
      <c r="R46" s="232" t="str">
        <f>IF($A$31=FALSE,$AI$35,IF($C46="X",IF(ISBLANK('Questions - Fragen'!$D211),"--",'Questions - Fragen'!$D211),"xx"))</f>
        <v>xx</v>
      </c>
      <c r="S46" s="226"/>
      <c r="T46" s="633" t="str">
        <f>IF($A$31=FALSE,$AI$35,IF($C46="X",IF(ISBLANK('Questions - Fragen'!$D223),"--",'Questions - Fragen'!$D223),"xx"))</f>
        <v>xx</v>
      </c>
      <c r="U46" s="232" t="str">
        <f>IF($A$31=FALSE,$AI$35,IF($C46="X",IF(ISBLANK('Questions - Fragen'!$D234),"--",'Questions - Fragen'!$D234),"xx"))</f>
        <v>xx</v>
      </c>
      <c r="V46" s="633" t="str">
        <f>IF($A$31=FALSE,$AI$35,IF($C46="X",IF(ISBLANK('Questions - Fragen'!$D245),"--",'Questions - Fragen'!$D245),"xx"))</f>
        <v>xx</v>
      </c>
      <c r="W46" s="232" t="str">
        <f>IF($A$31=FALSE,$AI$35,IF($C46="X",IF(ISBLANK('Questions - Fragen'!$D256),"--",'Questions - Fragen'!$D256),"xx"))</f>
        <v>xx</v>
      </c>
      <c r="X46" s="232" t="str">
        <f>IF($A$31=FALSE,$AI$35,IF($C46="X",IF(ISBLANK('Questions - Fragen'!$D267),"--",'Questions - Fragen'!$D267),"xx"))</f>
        <v>xx</v>
      </c>
      <c r="Z46" s="232" t="str">
        <f>IF($A$31=FALSE,$AI$35,IF($C46="X",IF(ISBLANK('Questions - Fragen'!$D279),"--",'Questions - Fragen'!$D279),"xx"))</f>
        <v>xx</v>
      </c>
      <c r="AA46" s="232" t="str">
        <f>IF($A$31=FALSE,$AI$35,IF($C46="X",IF(ISBLANK('Questions - Fragen'!$D290),"--",'Questions - Fragen'!$D290),"xx"))</f>
        <v>xx</v>
      </c>
      <c r="AB46" s="633" t="str">
        <f>IF($A$31=FALSE,$AI$35,IF($C46="X",IF(ISBLANK('Questions - Fragen'!$D301),"--",'Questions - Fragen'!$D301),"xx"))</f>
        <v>xx</v>
      </c>
      <c r="AC46" s="232" t="str">
        <f>IF($A$31=FALSE,$AI$35,IF($C46="X",IF(ISBLANK('Questions - Fragen'!$D312),"--",'Questions - Fragen'!$D312),"xx"))</f>
        <v>xx</v>
      </c>
      <c r="AD46" s="226"/>
      <c r="AE46" s="232" t="str">
        <f>IF($A$31=FALSE,$AI$35,IF($C46="X",IF(ISBLANK('Questions - Fragen'!$D324),"--",'Questions - Fragen'!$D324),"xx"))</f>
        <v>xx</v>
      </c>
      <c r="AF46" s="232" t="str">
        <f>IF($A$31=FALSE,$AI$35,IF($C46="X",IF(ISBLANK('Questions - Fragen'!$D335),"--",'Questions - Fragen'!$D335),"xx"))</f>
        <v>xx</v>
      </c>
      <c r="AG46" s="232" t="str">
        <f>IF($A$31=FALSE,$AI$35,IF($C46="X",IF(ISBLANK('Questions - Fragen'!$D346),"--",'Questions - Fragen'!$D346),"xx"))</f>
        <v>xx</v>
      </c>
      <c r="AH46" s="633" t="str">
        <f>IF($A$31=FALSE,$AI$35,IF($C46="X",IF(ISBLANK('Questions - Fragen'!$D357),"--",'Questions - Fragen'!$D357),"xx"))</f>
        <v>xx</v>
      </c>
      <c r="AI46" s="753">
        <f>COUNTIF(D46:AH46,"&gt;-")</f>
        <v>26</v>
      </c>
      <c r="AJ46" s="753">
        <f>COUNT(D46:AH46)</f>
        <v>0</v>
      </c>
      <c r="AK46" s="753">
        <v>17</v>
      </c>
      <c r="AL46" s="753" t="str">
        <f>IF(AND($A$31,AJ46&gt;=AK46),AJ46*10,"--")</f>
        <v>--</v>
      </c>
      <c r="AM46" s="753" t="str">
        <f>IF(AND($A$31,AJ46&gt;=AK46),SUM(D46:AH46),"--")</f>
        <v>--</v>
      </c>
      <c r="AN46" s="643"/>
      <c r="AO46" s="643"/>
      <c r="AP46" s="643"/>
      <c r="AQ46" s="39"/>
      <c r="AR46" s="43"/>
      <c r="AS46" s="1469" t="str">
        <f>IF($A$31=FALSE,$AI$35,IF(C46="","xx",IF(AJ46&lt;AK46,$AI$35,ROUND(AM46/AL46,2))))</f>
        <v>xx</v>
      </c>
      <c r="AT46" s="1470"/>
      <c r="AU46" s="16"/>
      <c r="AX46" s="740" t="str">
        <f>E46</f>
        <v>xx</v>
      </c>
      <c r="AY46" s="740" t="str">
        <f>F46</f>
        <v>xx</v>
      </c>
      <c r="AZ46" s="740" t="str">
        <f>G46</f>
        <v>xx</v>
      </c>
      <c r="BA46" s="740" t="str">
        <f>M46</f>
        <v>xx</v>
      </c>
      <c r="BB46" s="740" t="str">
        <f>N46</f>
        <v>xx</v>
      </c>
      <c r="BC46" s="740" t="str">
        <f>AE46</f>
        <v>xx</v>
      </c>
      <c r="BD46" s="740" t="str">
        <f>AF46</f>
        <v>xx</v>
      </c>
      <c r="BE46" s="740" t="str">
        <f>AG46</f>
        <v>xx</v>
      </c>
      <c r="BF46" s="15"/>
      <c r="BG46" s="16"/>
      <c r="BH46" s="51"/>
      <c r="BI46" s="74"/>
    </row>
    <row r="47" spans="1:61" ht="15" hidden="1" customHeight="1" thickBot="1">
      <c r="B47" s="48"/>
      <c r="C47" s="193"/>
      <c r="D47" s="185" t="s">
        <v>778</v>
      </c>
      <c r="E47" s="185"/>
      <c r="F47" s="175"/>
      <c r="G47" s="175"/>
      <c r="H47" s="630"/>
      <c r="I47" s="185" t="str">
        <f>PrSchr7</f>
        <v>Stage 7</v>
      </c>
      <c r="K47" s="175"/>
      <c r="L47" s="631"/>
      <c r="M47" s="631"/>
      <c r="N47" s="175"/>
      <c r="O47" s="16"/>
      <c r="P47" s="631"/>
      <c r="Q47" s="175"/>
      <c r="R47" s="175"/>
      <c r="S47" s="175"/>
      <c r="T47" s="631"/>
      <c r="U47" s="175"/>
      <c r="V47" s="631"/>
      <c r="W47" s="175"/>
      <c r="X47" s="175"/>
      <c r="Z47" s="175"/>
      <c r="AA47" s="175"/>
      <c r="AB47" s="631"/>
      <c r="AC47" s="175"/>
      <c r="AD47" s="175"/>
      <c r="AE47" s="175"/>
      <c r="AF47" s="175"/>
      <c r="AG47" s="175"/>
      <c r="AH47" s="631"/>
      <c r="AI47" s="643" t="str">
        <f>$K$7</f>
        <v>n.e.</v>
      </c>
      <c r="AJ47" s="643" t="str">
        <f>$L$7</f>
        <v>Act.</v>
      </c>
      <c r="AK47" s="643" t="str">
        <f>$M$7</f>
        <v>Target</v>
      </c>
      <c r="AL47" s="643" t="str">
        <f>$N$7</f>
        <v>Max.</v>
      </c>
      <c r="AM47" s="643" t="str">
        <f>$O$7</f>
        <v>Act.</v>
      </c>
      <c r="AN47" s="643"/>
      <c r="AO47" s="643"/>
      <c r="AP47" s="643"/>
      <c r="AQ47" s="30"/>
      <c r="AR47" s="40" t="s">
        <v>785</v>
      </c>
      <c r="AS47" s="171"/>
      <c r="AT47" s="165"/>
      <c r="AU47" s="165"/>
      <c r="AX47" s="165"/>
      <c r="AY47" s="165"/>
      <c r="AZ47" s="627"/>
      <c r="BA47" s="627"/>
      <c r="BB47" s="627"/>
      <c r="BC47" s="627"/>
      <c r="BD47" s="627"/>
      <c r="BE47" s="627"/>
      <c r="BF47" s="16"/>
      <c r="BG47" s="16"/>
      <c r="BH47" s="51"/>
      <c r="BI47" s="16"/>
    </row>
    <row r="48" spans="1:61" ht="15" hidden="1" customHeight="1" thickBot="1">
      <c r="A48" s="243" t="str">
        <f>IF(COUNT(D48:AH48)=0,$AI$35,IF(MIN(D48:H48,J48:N48,P48:R48,T48:X48,Z48:AC48,AE48:AH48)=0,"B","A"))</f>
        <v>n.e.</v>
      </c>
      <c r="B48" s="48"/>
      <c r="C48" s="1056" t="str">
        <f>IF(AND($A$31,'Input Form - EingabeMaske'!$D$36&gt;6),"X","")</f>
        <v/>
      </c>
      <c r="D48" s="232" t="str">
        <f>IF($A$31=FALSE,$AI$35,IF($C48="X",IF(ISBLANK('Questions - Fragen'!$D78),"--",'Questions - Fragen'!$D78),"xx"))</f>
        <v>xx</v>
      </c>
      <c r="E48" s="232" t="str">
        <f>IF($A$31=FALSE,$AI$35,IF($C48="X",IF(ISBLANK('Questions - Fragen'!$D89),"--",'Questions - Fragen'!$D89),"xx"))</f>
        <v>xx</v>
      </c>
      <c r="F48" s="232" t="str">
        <f>IF($A$31=FALSE,$AI$35,IF($C48="X",IF(ISBLANK('Questions - Fragen'!$D100),"--",'Questions - Fragen'!$D100),"xx"))</f>
        <v>xx</v>
      </c>
      <c r="G48" s="232" t="str">
        <f>IF($A$31=FALSE,$AI$35,IF($C48="X",IF(ISBLANK('Questions - Fragen'!$D111),"--",'Questions - Fragen'!$D111),"xx"))</f>
        <v>xx</v>
      </c>
      <c r="H48" s="633" t="str">
        <f>IF($A$31=FALSE,$AI$35,IF($C48="X",IF(ISBLANK('Questions - Fragen'!$D122),"--",'Questions - Fragen'!$D122),"xx"))</f>
        <v>xx</v>
      </c>
      <c r="I48" s="226"/>
      <c r="J48" s="232" t="str">
        <f>IF($A$31=FALSE,$AI$35,IF($C48="X",IF(ISBLANK('Questions - Fragen'!$D134),"--",'Questions - Fragen'!$D134),"xx"))</f>
        <v>xx</v>
      </c>
      <c r="K48" s="232" t="str">
        <f>IF($A$31=FALSE,$AI$35,IF($C48="X",IF(ISBLANK('Questions - Fragen'!$D145),"--",'Questions - Fragen'!$D145),"xx"))</f>
        <v>xx</v>
      </c>
      <c r="L48" s="633" t="str">
        <f>IF($A$31=FALSE,$AI$35,IF($C48="X",IF(ISBLANK('Questions - Fragen'!$D156),"--",'Questions - Fragen'!$D156),"xx"))</f>
        <v>xx</v>
      </c>
      <c r="M48" s="633" t="str">
        <f>IF($A$31=FALSE,$AI$35,IF($C48="X",IF(ISBLANK('Questions - Fragen'!$D167),"--",'Questions - Fragen'!$D167),"xx"))</f>
        <v>xx</v>
      </c>
      <c r="N48" s="232" t="str">
        <f>IF($A$31=FALSE,$AI$35,IF($C48="X",IF(ISBLANK('Questions - Fragen'!$D178),"--",'Questions - Fragen'!$D178),"xx"))</f>
        <v>xx</v>
      </c>
      <c r="O48" s="16"/>
      <c r="P48" s="633" t="str">
        <f>IF($A$31=FALSE,$AI$35,IF($C48="X",IF(ISBLANK('Questions - Fragen'!$D190),"--",'Questions - Fragen'!$D190),"xx"))</f>
        <v>xx</v>
      </c>
      <c r="Q48" s="232" t="str">
        <f>IF($A$31=FALSE,$AI$35,IF($C48="X",IF(ISBLANK('Questions - Fragen'!$D201),"--",'Questions - Fragen'!$D201),"xx"))</f>
        <v>xx</v>
      </c>
      <c r="R48" s="232" t="str">
        <f>IF($A$31=FALSE,$AI$35,IF($C48="X",IF(ISBLANK('Questions - Fragen'!$D212),"--",'Questions - Fragen'!$D212),"xx"))</f>
        <v>xx</v>
      </c>
      <c r="S48" s="226"/>
      <c r="T48" s="633" t="str">
        <f>IF($A$31=FALSE,$AI$35,IF($C48="X",IF(ISBLANK('Questions - Fragen'!$D224),"--",'Questions - Fragen'!$D224),"xx"))</f>
        <v>xx</v>
      </c>
      <c r="U48" s="232" t="str">
        <f>IF($A$31=FALSE,$AI$35,IF($C48="X",IF(ISBLANK('Questions - Fragen'!$D235),"--",'Questions - Fragen'!$D235),"xx"))</f>
        <v>xx</v>
      </c>
      <c r="V48" s="633" t="str">
        <f>IF($A$31=FALSE,$AI$35,IF($C48="X",IF(ISBLANK('Questions - Fragen'!$D246),"--",'Questions - Fragen'!$D246),"xx"))</f>
        <v>xx</v>
      </c>
      <c r="W48" s="232" t="str">
        <f>IF($A$31=FALSE,$AI$35,IF($C48="X",IF(ISBLANK('Questions - Fragen'!$D257),"--",'Questions - Fragen'!$D257),"xx"))</f>
        <v>xx</v>
      </c>
      <c r="X48" s="232" t="str">
        <f>IF($A$31=FALSE,$AI$35,IF($C48="X",IF(ISBLANK('Questions - Fragen'!$D268),"--",'Questions - Fragen'!$D268),"xx"))</f>
        <v>xx</v>
      </c>
      <c r="Z48" s="232" t="str">
        <f>IF($A$31=FALSE,$AI$35,IF($C48="X",IF(ISBLANK('Questions - Fragen'!$D280),"--",'Questions - Fragen'!$D280),"xx"))</f>
        <v>xx</v>
      </c>
      <c r="AA48" s="232" t="str">
        <f>IF($A$31=FALSE,$AI$35,IF($C48="X",IF(ISBLANK('Questions - Fragen'!$D291),"--",'Questions - Fragen'!$D291),"xx"))</f>
        <v>xx</v>
      </c>
      <c r="AB48" s="633" t="str">
        <f>IF($A$31=FALSE,$AI$35,IF($C48="X",IF(ISBLANK('Questions - Fragen'!$D302),"--",'Questions - Fragen'!$D302),"xx"))</f>
        <v>xx</v>
      </c>
      <c r="AC48" s="232" t="str">
        <f>IF($A$31=FALSE,$AI$35,IF($C48="X",IF(ISBLANK('Questions - Fragen'!$D313),"--",'Questions - Fragen'!$D313),"xx"))</f>
        <v>xx</v>
      </c>
      <c r="AD48" s="226"/>
      <c r="AE48" s="232" t="str">
        <f>IF($A$31=FALSE,$AI$35,IF($C48="X",IF(ISBLANK('Questions - Fragen'!$D325),"--",'Questions - Fragen'!$D325),"xx"))</f>
        <v>xx</v>
      </c>
      <c r="AF48" s="232" t="str">
        <f>IF($A$31=FALSE,$AI$35,IF($C48="X",IF(ISBLANK('Questions - Fragen'!$D336),"--",'Questions - Fragen'!$D336),"xx"))</f>
        <v>xx</v>
      </c>
      <c r="AG48" s="232" t="str">
        <f>IF($A$31=FALSE,$AI$35,IF($C48="X",IF(ISBLANK('Questions - Fragen'!$D347),"--",'Questions - Fragen'!$D347),"xx"))</f>
        <v>xx</v>
      </c>
      <c r="AH48" s="633" t="str">
        <f>IF($A$31=FALSE,$AI$35,IF($C48="X",IF(ISBLANK('Questions - Fragen'!$D358),"--",'Questions - Fragen'!$D358),"xx"))</f>
        <v>xx</v>
      </c>
      <c r="AI48" s="753">
        <f>COUNTIF(D48:AH48,"&gt;-")</f>
        <v>26</v>
      </c>
      <c r="AJ48" s="753">
        <f>COUNT(D48:AH48)</f>
        <v>0</v>
      </c>
      <c r="AK48" s="753">
        <v>17</v>
      </c>
      <c r="AL48" s="753" t="str">
        <f>IF(AND($A$31,AJ48&gt;=AK48),AJ48*10,"--")</f>
        <v>--</v>
      </c>
      <c r="AM48" s="753" t="str">
        <f>IF(AND($A$31,AJ48&gt;=AK48),SUM(D48:AH48),"--")</f>
        <v>--</v>
      </c>
      <c r="AN48" s="643"/>
      <c r="AO48" s="643"/>
      <c r="AP48" s="643"/>
      <c r="AQ48" s="39"/>
      <c r="AR48" s="43"/>
      <c r="AS48" s="1469" t="str">
        <f>IF($A$31=FALSE,$AI$35,IF(C48="","xx",IF(AJ48&lt;AK48,$AI$35,ROUND(AM48/AL48,2))))</f>
        <v>xx</v>
      </c>
      <c r="AT48" s="1470"/>
      <c r="AU48" s="16"/>
      <c r="AX48" s="740" t="str">
        <f>E48</f>
        <v>xx</v>
      </c>
      <c r="AY48" s="740" t="str">
        <f>F48</f>
        <v>xx</v>
      </c>
      <c r="AZ48" s="740" t="str">
        <f>G48</f>
        <v>xx</v>
      </c>
      <c r="BA48" s="740" t="str">
        <f>M48</f>
        <v>xx</v>
      </c>
      <c r="BB48" s="740" t="str">
        <f>N48</f>
        <v>xx</v>
      </c>
      <c r="BC48" s="740" t="str">
        <f>AE48</f>
        <v>xx</v>
      </c>
      <c r="BD48" s="740" t="str">
        <f>AF48</f>
        <v>xx</v>
      </c>
      <c r="BE48" s="740" t="str">
        <f>AG48</f>
        <v>xx</v>
      </c>
      <c r="BF48" s="15"/>
      <c r="BG48" s="16"/>
      <c r="BH48" s="51"/>
      <c r="BI48" s="74"/>
    </row>
    <row r="49" spans="1:61" ht="15" hidden="1" customHeight="1" thickBot="1">
      <c r="B49" s="48"/>
      <c r="C49" s="193"/>
      <c r="D49" s="185" t="s">
        <v>779</v>
      </c>
      <c r="E49" s="185"/>
      <c r="F49" s="175"/>
      <c r="G49" s="175"/>
      <c r="H49" s="630"/>
      <c r="I49" s="185" t="str">
        <f>PrSchr8</f>
        <v>Stage 8</v>
      </c>
      <c r="K49" s="175"/>
      <c r="L49" s="631"/>
      <c r="M49" s="631"/>
      <c r="N49" s="175"/>
      <c r="O49" s="16"/>
      <c r="P49" s="631"/>
      <c r="Q49" s="175"/>
      <c r="R49" s="175"/>
      <c r="S49" s="175"/>
      <c r="T49" s="631"/>
      <c r="U49" s="175"/>
      <c r="V49" s="631"/>
      <c r="W49" s="175"/>
      <c r="X49" s="175"/>
      <c r="Z49" s="175"/>
      <c r="AA49" s="175"/>
      <c r="AB49" s="631"/>
      <c r="AC49" s="175"/>
      <c r="AD49" s="175"/>
      <c r="AE49" s="175"/>
      <c r="AF49" s="175"/>
      <c r="AG49" s="175"/>
      <c r="AH49" s="631"/>
      <c r="AI49" s="643" t="str">
        <f>$K$7</f>
        <v>n.e.</v>
      </c>
      <c r="AJ49" s="643" t="str">
        <f>$L$7</f>
        <v>Act.</v>
      </c>
      <c r="AK49" s="643" t="str">
        <f>$M$7</f>
        <v>Target</v>
      </c>
      <c r="AL49" s="643" t="str">
        <f>$N$7</f>
        <v>Max.</v>
      </c>
      <c r="AM49" s="643" t="str">
        <f>$O$7</f>
        <v>Act.</v>
      </c>
      <c r="AN49" s="643"/>
      <c r="AO49" s="643"/>
      <c r="AP49" s="643"/>
      <c r="AQ49" s="30"/>
      <c r="AR49" s="40" t="s">
        <v>786</v>
      </c>
      <c r="AS49" s="171"/>
      <c r="AT49" s="165"/>
      <c r="AU49" s="165"/>
      <c r="AX49" s="165"/>
      <c r="AY49" s="165"/>
      <c r="AZ49" s="627"/>
      <c r="BA49" s="627"/>
      <c r="BB49" s="627"/>
      <c r="BC49" s="627"/>
      <c r="BD49" s="627"/>
      <c r="BE49" s="627"/>
      <c r="BF49" s="16"/>
      <c r="BG49" s="16"/>
      <c r="BH49" s="51"/>
      <c r="BI49" s="16"/>
    </row>
    <row r="50" spans="1:61" ht="15" hidden="1" customHeight="1" thickBot="1">
      <c r="A50" s="243" t="str">
        <f>IF(COUNT(D50:AH50)=0,$AI$35,IF(MIN(D50:H50,J50:N50,P50:R50,T50:X50,Z50:AC50,AE50:AH50)=0,"B","A"))</f>
        <v>n.e.</v>
      </c>
      <c r="B50" s="48"/>
      <c r="C50" s="1056" t="str">
        <f>IF(AND($A$31,'Input Form - EingabeMaske'!$D$36&gt;7),"X","")</f>
        <v/>
      </c>
      <c r="D50" s="232" t="str">
        <f>IF($A$31=FALSE,$AI$35,IF($C50="X",IF(ISBLANK('Questions - Fragen'!$D79),"--",'Questions - Fragen'!$D79),"xx"))</f>
        <v>xx</v>
      </c>
      <c r="E50" s="232" t="str">
        <f>IF($A$31=FALSE,$AI$35,IF($C50="X",IF(ISBLANK('Questions - Fragen'!$D90),"--",'Questions - Fragen'!$D90),"xx"))</f>
        <v>xx</v>
      </c>
      <c r="F50" s="232" t="str">
        <f>IF($A$31=FALSE,$AI$35,IF($C50="X",IF(ISBLANK('Questions - Fragen'!$D101),"--",'Questions - Fragen'!$D101),"xx"))</f>
        <v>xx</v>
      </c>
      <c r="G50" s="232" t="str">
        <f>IF($A$31=FALSE,$AI$35,IF($C50="X",IF(ISBLANK('Questions - Fragen'!$D112),"--",'Questions - Fragen'!$D112),"xx"))</f>
        <v>xx</v>
      </c>
      <c r="H50" s="633" t="str">
        <f>IF($A$31=FALSE,$AI$35,IF($C50="X",IF(ISBLANK('Questions - Fragen'!$D123),"--",'Questions - Fragen'!$D123),"xx"))</f>
        <v>xx</v>
      </c>
      <c r="I50" s="226"/>
      <c r="J50" s="232" t="str">
        <f>IF($A$31=FALSE,$AI$35,IF($C50="X",IF(ISBLANK('Questions - Fragen'!$D135),"--",'Questions - Fragen'!$D135),"xx"))</f>
        <v>xx</v>
      </c>
      <c r="K50" s="232" t="str">
        <f>IF($A$31=FALSE,$AI$35,IF($C50="X",IF(ISBLANK('Questions - Fragen'!$D146),"--",'Questions - Fragen'!$D146),"xx"))</f>
        <v>xx</v>
      </c>
      <c r="L50" s="633" t="str">
        <f>IF($A$31=FALSE,$AI$35,IF($C50="X",IF(ISBLANK('Questions - Fragen'!$D157),"--",'Questions - Fragen'!$D157),"xx"))</f>
        <v>xx</v>
      </c>
      <c r="M50" s="633" t="str">
        <f>IF($A$31=FALSE,$AI$35,IF($C50="X",IF(ISBLANK('Questions - Fragen'!$D168),"--",'Questions - Fragen'!$D168),"xx"))</f>
        <v>xx</v>
      </c>
      <c r="N50" s="232" t="str">
        <f>IF($A$31=FALSE,$AI$35,IF($C50="X",IF(ISBLANK('Questions - Fragen'!$D179),"--",'Questions - Fragen'!$D179),"xx"))</f>
        <v>xx</v>
      </c>
      <c r="O50" s="16"/>
      <c r="P50" s="633" t="str">
        <f>IF($A$31=FALSE,$AI$35,IF($C50="X",IF(ISBLANK('Questions - Fragen'!$D191),"--",'Questions - Fragen'!$D191),"xx"))</f>
        <v>xx</v>
      </c>
      <c r="Q50" s="232" t="str">
        <f>IF($A$31=FALSE,$AI$35,IF($C50="X",IF(ISBLANK('Questions - Fragen'!$D202),"--",'Questions - Fragen'!$D202),"xx"))</f>
        <v>xx</v>
      </c>
      <c r="R50" s="232" t="str">
        <f>IF($A$31=FALSE,$AI$35,IF($C50="X",IF(ISBLANK('Questions - Fragen'!$D213),"--",'Questions - Fragen'!$D213),"xx"))</f>
        <v>xx</v>
      </c>
      <c r="S50" s="226"/>
      <c r="T50" s="633" t="str">
        <f>IF($A$31=FALSE,$AI$35,IF($C50="X",IF(ISBLANK('Questions - Fragen'!$D225),"--",'Questions - Fragen'!$D225),"xx"))</f>
        <v>xx</v>
      </c>
      <c r="U50" s="232" t="str">
        <f>IF($A$31=FALSE,$AI$35,IF($C50="X",IF(ISBLANK('Questions - Fragen'!$D236),"--",'Questions - Fragen'!$D236),"xx"))</f>
        <v>xx</v>
      </c>
      <c r="V50" s="633" t="str">
        <f>IF($A$31=FALSE,$AI$35,IF($C50="X",IF(ISBLANK('Questions - Fragen'!$D247),"--",'Questions - Fragen'!$D247),"xx"))</f>
        <v>xx</v>
      </c>
      <c r="W50" s="232" t="str">
        <f>IF($A$31=FALSE,$AI$35,IF($C50="X",IF(ISBLANK('Questions - Fragen'!$D258),"--",'Questions - Fragen'!$D258),"xx"))</f>
        <v>xx</v>
      </c>
      <c r="X50" s="232" t="str">
        <f>IF($A$31=FALSE,$AI$35,IF($C50="X",IF(ISBLANK('Questions - Fragen'!$D269),"--",'Questions - Fragen'!$D269),"xx"))</f>
        <v>xx</v>
      </c>
      <c r="Z50" s="232" t="str">
        <f>IF($A$31=FALSE,$AI$35,IF($C50="X",IF(ISBLANK('Questions - Fragen'!$D281),"--",'Questions - Fragen'!$D281),"xx"))</f>
        <v>xx</v>
      </c>
      <c r="AA50" s="232" t="str">
        <f>IF($A$31=FALSE,$AI$35,IF($C50="X",IF(ISBLANK('Questions - Fragen'!$D292),"--",'Questions - Fragen'!$D292),"xx"))</f>
        <v>xx</v>
      </c>
      <c r="AB50" s="633" t="str">
        <f>IF($A$31=FALSE,$AI$35,IF($C50="X",IF(ISBLANK('Questions - Fragen'!$D303),"--",'Questions - Fragen'!$D303),"xx"))</f>
        <v>xx</v>
      </c>
      <c r="AC50" s="232" t="str">
        <f>IF($A$31=FALSE,$AI$35,IF($C50="X",IF(ISBLANK('Questions - Fragen'!$D314),"--",'Questions - Fragen'!$D314),"xx"))</f>
        <v>xx</v>
      </c>
      <c r="AD50" s="226"/>
      <c r="AE50" s="232" t="str">
        <f>IF($A$31=FALSE,$AI$35,IF($C50="X",IF(ISBLANK('Questions - Fragen'!$D326),"--",'Questions - Fragen'!$D326),"xx"))</f>
        <v>xx</v>
      </c>
      <c r="AF50" s="232" t="str">
        <f>IF($A$31=FALSE,$AI$35,IF($C50="X",IF(ISBLANK('Questions - Fragen'!$D337),"--",'Questions - Fragen'!$D337),"xx"))</f>
        <v>xx</v>
      </c>
      <c r="AG50" s="232" t="str">
        <f>IF($A$31=FALSE,$AI$35,IF($C50="X",IF(ISBLANK('Questions - Fragen'!$D348),"--",'Questions - Fragen'!$D348),"xx"))</f>
        <v>xx</v>
      </c>
      <c r="AH50" s="633" t="str">
        <f>IF($A$31=FALSE,$AI$35,IF($C50="X",IF(ISBLANK('Questions - Fragen'!$D359),"--",'Questions - Fragen'!$D359),"xx"))</f>
        <v>xx</v>
      </c>
      <c r="AI50" s="753">
        <f>COUNTIF(D50:AH50,"&gt;-")</f>
        <v>26</v>
      </c>
      <c r="AJ50" s="753">
        <f>COUNT(D50:AH50)</f>
        <v>0</v>
      </c>
      <c r="AK50" s="753">
        <v>17</v>
      </c>
      <c r="AL50" s="753" t="str">
        <f>IF(AND($A$31,AJ50&gt;=AK50),AJ50*10,"--")</f>
        <v>--</v>
      </c>
      <c r="AM50" s="753" t="str">
        <f>IF(AND($A$31,AJ50&gt;=AK50),SUM(D50:AH50),"--")</f>
        <v>--</v>
      </c>
      <c r="AN50" s="643"/>
      <c r="AO50" s="643"/>
      <c r="AP50" s="643"/>
      <c r="AQ50" s="39"/>
      <c r="AR50" s="43"/>
      <c r="AS50" s="1469" t="str">
        <f>IF($A$31=FALSE,$AI$35,IF(C50="","xx",IF(AJ50&lt;AK50,$AI$35,ROUND(AM50/AL50,2))))</f>
        <v>xx</v>
      </c>
      <c r="AT50" s="1470"/>
      <c r="AU50" s="16"/>
      <c r="AX50" s="740" t="str">
        <f>E50</f>
        <v>xx</v>
      </c>
      <c r="AY50" s="740" t="str">
        <f>F50</f>
        <v>xx</v>
      </c>
      <c r="AZ50" s="740" t="str">
        <f>G50</f>
        <v>xx</v>
      </c>
      <c r="BA50" s="740" t="str">
        <f>M50</f>
        <v>xx</v>
      </c>
      <c r="BB50" s="740" t="str">
        <f>N50</f>
        <v>xx</v>
      </c>
      <c r="BC50" s="740" t="str">
        <f>AE50</f>
        <v>xx</v>
      </c>
      <c r="BD50" s="740" t="str">
        <f>AF50</f>
        <v>xx</v>
      </c>
      <c r="BE50" s="740" t="str">
        <f>AG50</f>
        <v>xx</v>
      </c>
      <c r="BF50" s="15"/>
      <c r="BG50" s="16"/>
      <c r="BH50" s="51"/>
      <c r="BI50" s="74"/>
    </row>
    <row r="51" spans="1:61" ht="15" hidden="1" customHeight="1" thickBot="1">
      <c r="B51" s="48"/>
      <c r="C51" s="193"/>
      <c r="D51" s="185" t="s">
        <v>780</v>
      </c>
      <c r="E51" s="185"/>
      <c r="F51" s="175"/>
      <c r="G51" s="175"/>
      <c r="H51" s="630"/>
      <c r="I51" s="185" t="str">
        <f>PrSchr9</f>
        <v>Stage 9</v>
      </c>
      <c r="K51" s="175"/>
      <c r="L51" s="631"/>
      <c r="M51" s="631"/>
      <c r="N51" s="175"/>
      <c r="O51" s="16"/>
      <c r="P51" s="631"/>
      <c r="Q51" s="175"/>
      <c r="R51" s="175"/>
      <c r="S51" s="175"/>
      <c r="T51" s="631"/>
      <c r="U51" s="175"/>
      <c r="V51" s="631"/>
      <c r="W51" s="175"/>
      <c r="X51" s="175"/>
      <c r="Z51" s="175"/>
      <c r="AA51" s="175"/>
      <c r="AB51" s="631"/>
      <c r="AC51" s="175"/>
      <c r="AD51" s="175"/>
      <c r="AE51" s="175"/>
      <c r="AF51" s="175"/>
      <c r="AG51" s="175"/>
      <c r="AH51" s="631"/>
      <c r="AI51" s="643" t="str">
        <f>$K$7</f>
        <v>n.e.</v>
      </c>
      <c r="AJ51" s="643" t="str">
        <f>$L$7</f>
        <v>Act.</v>
      </c>
      <c r="AK51" s="643" t="str">
        <f>$M$7</f>
        <v>Target</v>
      </c>
      <c r="AL51" s="643" t="str">
        <f>$N$7</f>
        <v>Max.</v>
      </c>
      <c r="AM51" s="643" t="str">
        <f>$O$7</f>
        <v>Act.</v>
      </c>
      <c r="AN51" s="643"/>
      <c r="AO51" s="643"/>
      <c r="AP51" s="643"/>
      <c r="AQ51" s="30"/>
      <c r="AR51" s="40" t="s">
        <v>787</v>
      </c>
      <c r="AS51" s="171"/>
      <c r="AT51" s="165"/>
      <c r="AU51" s="165"/>
      <c r="AX51" s="165"/>
      <c r="AY51" s="165"/>
      <c r="AZ51" s="627"/>
      <c r="BA51" s="627"/>
      <c r="BB51" s="627"/>
      <c r="BC51" s="627"/>
      <c r="BD51" s="627"/>
      <c r="BE51" s="627"/>
      <c r="BF51" s="16"/>
      <c r="BG51" s="16"/>
      <c r="BH51" s="51"/>
      <c r="BI51" s="16"/>
    </row>
    <row r="52" spans="1:61" ht="15" hidden="1" customHeight="1" thickBot="1">
      <c r="A52" s="243" t="str">
        <f>IF(COUNT(D52:AH52)=0,$AI$35,IF(MIN(D52:H52,J52:N52,P52:R52,T52:X52,Z52:AC52,AE52:AH52)=0,"B","A"))</f>
        <v>n.e.</v>
      </c>
      <c r="B52" s="48"/>
      <c r="C52" s="1056" t="str">
        <f>IF(AND($A$31,'Input Form - EingabeMaske'!$D$36&gt;8),"X","")</f>
        <v/>
      </c>
      <c r="D52" s="232" t="str">
        <f>IF($A$31=FALSE,$AI$35,IF($C52="X",IF(ISBLANK('Questions - Fragen'!$D80),"--",'Questions - Fragen'!$D80),"xx"))</f>
        <v>xx</v>
      </c>
      <c r="E52" s="232" t="str">
        <f>IF($A$31=FALSE,$AI$35,IF($C52="X",IF(ISBLANK('Questions - Fragen'!$D91),"--",'Questions - Fragen'!$D91),"xx"))</f>
        <v>xx</v>
      </c>
      <c r="F52" s="232" t="str">
        <f>IF($A$31=FALSE,$AI$35,IF($C52="X",IF(ISBLANK('Questions - Fragen'!$D102),"--",'Questions - Fragen'!$D102),"xx"))</f>
        <v>xx</v>
      </c>
      <c r="G52" s="232" t="str">
        <f>IF($A$31=FALSE,$AI$35,IF($C52="X",IF(ISBLANK('Questions - Fragen'!$D113),"--",'Questions - Fragen'!$D113),"xx"))</f>
        <v>xx</v>
      </c>
      <c r="H52" s="633" t="str">
        <f>IF($A$31=FALSE,$AI$35,IF($C52="X",IF(ISBLANK('Questions - Fragen'!$D124),"--",'Questions - Fragen'!$D124),"xx"))</f>
        <v>xx</v>
      </c>
      <c r="I52" s="226"/>
      <c r="J52" s="232" t="str">
        <f>IF($A$31=FALSE,$AI$35,IF($C52="X",IF(ISBLANK('Questions - Fragen'!$D136),"--",'Questions - Fragen'!$D136),"xx"))</f>
        <v>xx</v>
      </c>
      <c r="K52" s="232" t="str">
        <f>IF($A$31=FALSE,$AI$35,IF($C52="X",IF(ISBLANK('Questions - Fragen'!$D147),"--",'Questions - Fragen'!$D147),"xx"))</f>
        <v>xx</v>
      </c>
      <c r="L52" s="633" t="str">
        <f>IF($A$31=FALSE,$AI$35,IF($C52="X",IF(ISBLANK('Questions - Fragen'!$D158),"--",'Questions - Fragen'!$D158),"xx"))</f>
        <v>xx</v>
      </c>
      <c r="M52" s="633" t="str">
        <f>IF($A$31=FALSE,$AI$35,IF($C52="X",IF(ISBLANK('Questions - Fragen'!$D169),"--",'Questions - Fragen'!$D169),"xx"))</f>
        <v>xx</v>
      </c>
      <c r="N52" s="232" t="str">
        <f>IF($A$31=FALSE,$AI$35,IF($C52="X",IF(ISBLANK('Questions - Fragen'!$D180),"--",'Questions - Fragen'!$D180),"xx"))</f>
        <v>xx</v>
      </c>
      <c r="O52" s="16"/>
      <c r="P52" s="633" t="str">
        <f>IF($A$31=FALSE,$AI$35,IF($C52="X",IF(ISBLANK('Questions - Fragen'!$D192),"--",'Questions - Fragen'!$D192),"xx"))</f>
        <v>xx</v>
      </c>
      <c r="Q52" s="232" t="str">
        <f>IF($A$31=FALSE,$AI$35,IF($C52="X",IF(ISBLANK('Questions - Fragen'!$D203),"--",'Questions - Fragen'!$D203),"xx"))</f>
        <v>xx</v>
      </c>
      <c r="R52" s="232" t="str">
        <f>IF($A$31=FALSE,$AI$35,IF($C52="X",IF(ISBLANK('Questions - Fragen'!$D214),"--",'Questions - Fragen'!$D214),"xx"))</f>
        <v>xx</v>
      </c>
      <c r="S52" s="226"/>
      <c r="T52" s="633" t="str">
        <f>IF($A$31=FALSE,$AI$35,IF($C52="X",IF(ISBLANK('Questions - Fragen'!$D226),"--",'Questions - Fragen'!$D226),"xx"))</f>
        <v>xx</v>
      </c>
      <c r="U52" s="232" t="str">
        <f>IF($A$31=FALSE,$AI$35,IF($C52="X",IF(ISBLANK('Questions - Fragen'!$D237),"--",'Questions - Fragen'!$D237),"xx"))</f>
        <v>xx</v>
      </c>
      <c r="V52" s="633" t="str">
        <f>IF($A$31=FALSE,$AI$35,IF($C52="X",IF(ISBLANK('Questions - Fragen'!$D248),"--",'Questions - Fragen'!$D248),"xx"))</f>
        <v>xx</v>
      </c>
      <c r="W52" s="232" t="str">
        <f>IF($A$31=FALSE,$AI$35,IF($C52="X",IF(ISBLANK('Questions - Fragen'!$D259),"--",'Questions - Fragen'!$D259),"xx"))</f>
        <v>xx</v>
      </c>
      <c r="X52" s="232" t="str">
        <f>IF($A$31=FALSE,$AI$35,IF($C52="X",IF(ISBLANK('Questions - Fragen'!$D270),"--",'Questions - Fragen'!$D270),"xx"))</f>
        <v>xx</v>
      </c>
      <c r="Z52" s="232" t="str">
        <f>IF($A$31=FALSE,$AI$35,IF($C52="X",IF(ISBLANK('Questions - Fragen'!$D282),"--",'Questions - Fragen'!$D282),"xx"))</f>
        <v>xx</v>
      </c>
      <c r="AA52" s="232" t="str">
        <f>IF($A$31=FALSE,$AI$35,IF($C52="X",IF(ISBLANK('Questions - Fragen'!$D293),"--",'Questions - Fragen'!$D293),"xx"))</f>
        <v>xx</v>
      </c>
      <c r="AB52" s="633" t="str">
        <f>IF($A$31=FALSE,$AI$35,IF($C52="X",IF(ISBLANK('Questions - Fragen'!$D304),"--",'Questions - Fragen'!$D304),"xx"))</f>
        <v>xx</v>
      </c>
      <c r="AC52" s="232" t="str">
        <f>IF($A$31=FALSE,$AI$35,IF($C52="X",IF(ISBLANK('Questions - Fragen'!$D315),"--",'Questions - Fragen'!$D315),"xx"))</f>
        <v>xx</v>
      </c>
      <c r="AD52" s="226"/>
      <c r="AE52" s="232" t="str">
        <f>IF($A$31=FALSE,$AI$35,IF($C52="X",IF(ISBLANK('Questions - Fragen'!$D327),"--",'Questions - Fragen'!$D327),"xx"))</f>
        <v>xx</v>
      </c>
      <c r="AF52" s="232" t="str">
        <f>IF($A$31=FALSE,$AI$35,IF($C52="X",IF(ISBLANK('Questions - Fragen'!$D338),"--",'Questions - Fragen'!$D338),"xx"))</f>
        <v>xx</v>
      </c>
      <c r="AG52" s="232" t="str">
        <f>IF($A$31=FALSE,$AI$35,IF($C52="X",IF(ISBLANK('Questions - Fragen'!$D349),"--",'Questions - Fragen'!$D349),"xx"))</f>
        <v>xx</v>
      </c>
      <c r="AH52" s="633" t="str">
        <f>IF($A$31=FALSE,$AI$35,IF($C52="X",IF(ISBLANK('Questions - Fragen'!$D360),"--",'Questions - Fragen'!$D360),"xx"))</f>
        <v>xx</v>
      </c>
      <c r="AI52" s="753">
        <f>COUNTIF(D52:AH52,"&gt;-")</f>
        <v>26</v>
      </c>
      <c r="AJ52" s="753">
        <f>COUNT(D52:AH52)</f>
        <v>0</v>
      </c>
      <c r="AK52" s="753">
        <v>17</v>
      </c>
      <c r="AL52" s="753" t="str">
        <f>IF(AND($A$31,AJ52&gt;=AK52),AJ52*10,"--")</f>
        <v>--</v>
      </c>
      <c r="AM52" s="753" t="str">
        <f>IF(AND($A$31,AJ52&gt;=AK52),SUM(D52:AH52),"--")</f>
        <v>--</v>
      </c>
      <c r="AN52" s="643"/>
      <c r="AO52" s="643"/>
      <c r="AP52" s="643"/>
      <c r="AQ52" s="39"/>
      <c r="AR52" s="43"/>
      <c r="AS52" s="1469" t="str">
        <f>IF($A$31=FALSE,$AI$35,IF(C52="","xx",IF(AJ52&lt;AK52,$AI$35,ROUND(AM52/AL52,2))))</f>
        <v>xx</v>
      </c>
      <c r="AT52" s="1470"/>
      <c r="AU52" s="16"/>
      <c r="AX52" s="740" t="str">
        <f>E52</f>
        <v>xx</v>
      </c>
      <c r="AY52" s="740" t="str">
        <f>F52</f>
        <v>xx</v>
      </c>
      <c r="AZ52" s="740" t="str">
        <f>G52</f>
        <v>xx</v>
      </c>
      <c r="BA52" s="740" t="str">
        <f>M52</f>
        <v>xx</v>
      </c>
      <c r="BB52" s="740" t="str">
        <f>N52</f>
        <v>xx</v>
      </c>
      <c r="BC52" s="740" t="str">
        <f>AE52</f>
        <v>xx</v>
      </c>
      <c r="BD52" s="740" t="str">
        <f>AF52</f>
        <v>xx</v>
      </c>
      <c r="BE52" s="740" t="str">
        <f>AG52</f>
        <v>xx</v>
      </c>
      <c r="BF52" s="15"/>
      <c r="BG52" s="16"/>
      <c r="BH52" s="51"/>
      <c r="BI52" s="74"/>
    </row>
    <row r="53" spans="1:61" ht="15" hidden="1" customHeight="1" thickBot="1">
      <c r="B53" s="48"/>
      <c r="C53" s="193"/>
      <c r="D53" s="185" t="s">
        <v>781</v>
      </c>
      <c r="E53" s="185"/>
      <c r="F53" s="175"/>
      <c r="G53" s="175"/>
      <c r="H53" s="630"/>
      <c r="I53" s="185" t="str">
        <f>PrSchr10</f>
        <v>Stage 10</v>
      </c>
      <c r="K53" s="175"/>
      <c r="L53" s="631"/>
      <c r="M53" s="631"/>
      <c r="N53" s="175"/>
      <c r="O53" s="16"/>
      <c r="P53" s="631"/>
      <c r="Q53" s="175"/>
      <c r="R53" s="175"/>
      <c r="S53" s="175"/>
      <c r="T53" s="631"/>
      <c r="U53" s="175"/>
      <c r="V53" s="631"/>
      <c r="W53" s="175"/>
      <c r="X53" s="175"/>
      <c r="Z53" s="175"/>
      <c r="AA53" s="175"/>
      <c r="AB53" s="631"/>
      <c r="AC53" s="175"/>
      <c r="AD53" s="175"/>
      <c r="AE53" s="175"/>
      <c r="AF53" s="175"/>
      <c r="AG53" s="175"/>
      <c r="AH53" s="631"/>
      <c r="AI53" s="643" t="str">
        <f>$K$7</f>
        <v>n.e.</v>
      </c>
      <c r="AJ53" s="643" t="str">
        <f>$L$7</f>
        <v>Act.</v>
      </c>
      <c r="AK53" s="643" t="str">
        <f>$M$7</f>
        <v>Target</v>
      </c>
      <c r="AL53" s="643" t="str">
        <f>$N$7</f>
        <v>Max.</v>
      </c>
      <c r="AM53" s="643" t="str">
        <f>$O$7</f>
        <v>Act.</v>
      </c>
      <c r="AN53" s="643"/>
      <c r="AO53" s="643"/>
      <c r="AP53" s="643"/>
      <c r="AQ53" s="30"/>
      <c r="AR53" s="40" t="s">
        <v>788</v>
      </c>
      <c r="AS53" s="171"/>
      <c r="AT53" s="165"/>
      <c r="AU53" s="165"/>
      <c r="AX53" s="165"/>
      <c r="AY53" s="165"/>
      <c r="AZ53" s="627"/>
      <c r="BA53" s="627"/>
      <c r="BB53" s="627"/>
      <c r="BC53" s="627"/>
      <c r="BD53" s="627"/>
      <c r="BE53" s="627"/>
      <c r="BF53" s="16"/>
      <c r="BG53" s="16"/>
      <c r="BH53" s="51"/>
      <c r="BI53" s="16"/>
    </row>
    <row r="54" spans="1:61" ht="15" hidden="1" customHeight="1" thickBot="1">
      <c r="A54" s="243" t="str">
        <f>IF(COUNT(D54:AH54)=0,$AI$35,IF(MIN(D54:H54,J54:N54,P54:R54,T54:X54,Z54:AC54,AE54:AH54)=0,"B","A"))</f>
        <v>n.e.</v>
      </c>
      <c r="B54" s="48"/>
      <c r="C54" s="1056" t="str">
        <f>IF(AND($A$31,'Input Form - EingabeMaske'!$D$36&gt;9),"X","")</f>
        <v/>
      </c>
      <c r="D54" s="232" t="str">
        <f>IF($A$31=FALSE,$AI$35,IF($C54="X",IF(ISBLANK('Questions - Fragen'!$D81),"--",'Questions - Fragen'!$D81),"xx"))</f>
        <v>xx</v>
      </c>
      <c r="E54" s="232" t="str">
        <f>IF($A$31=FALSE,$AI$35,IF($C54="X",IF(ISBLANK('Questions - Fragen'!$D92),"--",'Questions - Fragen'!$D92),"xx"))</f>
        <v>xx</v>
      </c>
      <c r="F54" s="232" t="str">
        <f>IF($A$31=FALSE,$AI$35,IF($C54="X",IF(ISBLANK('Questions - Fragen'!$D103),"--",'Questions - Fragen'!$D103),"xx"))</f>
        <v>xx</v>
      </c>
      <c r="G54" s="232" t="str">
        <f>IF($A$31=FALSE,$AI$35,IF($C54="X",IF(ISBLANK('Questions - Fragen'!$D114),"--",'Questions - Fragen'!$D114),"xx"))</f>
        <v>xx</v>
      </c>
      <c r="H54" s="633" t="str">
        <f>IF($A$31=FALSE,$AI$35,IF($C54="X",IF(ISBLANK('Questions - Fragen'!$D125),"--",'Questions - Fragen'!$D125),"xx"))</f>
        <v>xx</v>
      </c>
      <c r="I54" s="226"/>
      <c r="J54" s="232" t="str">
        <f>IF($A$31=FALSE,$AI$35,IF($C54="X",IF(ISBLANK('Questions - Fragen'!$D137),"--",'Questions - Fragen'!$D137),"xx"))</f>
        <v>xx</v>
      </c>
      <c r="K54" s="232" t="str">
        <f>IF($A$31=FALSE,$AI$35,IF($C54="X",IF(ISBLANK('Questions - Fragen'!$D148),"--",'Questions - Fragen'!$D148),"xx"))</f>
        <v>xx</v>
      </c>
      <c r="L54" s="633" t="str">
        <f>IF($A$31=FALSE,$AI$35,IF($C54="X",IF(ISBLANK('Questions - Fragen'!$D159),"--",'Questions - Fragen'!$D159),"xx"))</f>
        <v>xx</v>
      </c>
      <c r="M54" s="633" t="str">
        <f>IF($A$31=FALSE,$AI$35,IF($C54="X",IF(ISBLANK('Questions - Fragen'!$D170),"--",'Questions - Fragen'!$D170),"xx"))</f>
        <v>xx</v>
      </c>
      <c r="N54" s="232" t="str">
        <f>IF($A$31=FALSE,$AI$35,IF($C54="X",IF(ISBLANK('Questions - Fragen'!$D181),"--",'Questions - Fragen'!$D181),"xx"))</f>
        <v>xx</v>
      </c>
      <c r="O54" s="16"/>
      <c r="P54" s="633" t="str">
        <f>IF($A$31=FALSE,$AI$35,IF($C54="X",IF(ISBLANK('Questions - Fragen'!$D193),"--",'Questions - Fragen'!$D193),"xx"))</f>
        <v>xx</v>
      </c>
      <c r="Q54" s="232" t="str">
        <f>IF($A$31=FALSE,$AI$35,IF($C54="X",IF(ISBLANK('Questions - Fragen'!$D204),"--",'Questions - Fragen'!$D204),"xx"))</f>
        <v>xx</v>
      </c>
      <c r="R54" s="232" t="str">
        <f>IF($A$31=FALSE,$AI$35,IF($C54="X",IF(ISBLANK('Questions - Fragen'!$D215),"--",'Questions - Fragen'!$D215),"xx"))</f>
        <v>xx</v>
      </c>
      <c r="S54" s="226"/>
      <c r="T54" s="633" t="str">
        <f>IF($A$31=FALSE,$AI$35,IF($C54="X",IF(ISBLANK('Questions - Fragen'!$D227),"--",'Questions - Fragen'!$D227),"xx"))</f>
        <v>xx</v>
      </c>
      <c r="U54" s="232" t="str">
        <f>IF($A$31=FALSE,$AI$35,IF($C54="X",IF(ISBLANK('Questions - Fragen'!$D238),"--",'Questions - Fragen'!$D238),"xx"))</f>
        <v>xx</v>
      </c>
      <c r="V54" s="633" t="str">
        <f>IF($A$31=FALSE,$AI$35,IF($C54="X",IF(ISBLANK('Questions - Fragen'!$D249),"--",'Questions - Fragen'!$D249),"xx"))</f>
        <v>xx</v>
      </c>
      <c r="W54" s="232" t="str">
        <f>IF($A$31=FALSE,$AI$35,IF($C54="X",IF(ISBLANK('Questions - Fragen'!$D260),"--",'Questions - Fragen'!$D260),"xx"))</f>
        <v>xx</v>
      </c>
      <c r="X54" s="232" t="str">
        <f>IF($A$31=FALSE,$AI$35,IF($C54="X",IF(ISBLANK('Questions - Fragen'!$D271),"--",'Questions - Fragen'!$D271),"xx"))</f>
        <v>xx</v>
      </c>
      <c r="Z54" s="232" t="str">
        <f>IF($A$31=FALSE,$AI$35,IF($C54="X",IF(ISBLANK('Questions - Fragen'!$D283),"--",'Questions - Fragen'!$D283),"xx"))</f>
        <v>xx</v>
      </c>
      <c r="AA54" s="232" t="str">
        <f>IF($A$31=FALSE,$AI$35,IF($C54="X",IF(ISBLANK('Questions - Fragen'!$D294),"--",'Questions - Fragen'!$D294),"xx"))</f>
        <v>xx</v>
      </c>
      <c r="AB54" s="633" t="str">
        <f>IF($A$31=FALSE,$AI$35,IF($C54="X",IF(ISBLANK('Questions - Fragen'!$D305),"--",'Questions - Fragen'!$D305),"xx"))</f>
        <v>xx</v>
      </c>
      <c r="AC54" s="232" t="str">
        <f>IF($A$31=FALSE,$AI$35,IF($C54="X",IF(ISBLANK('Questions - Fragen'!$D316),"--",'Questions - Fragen'!$D316),"xx"))</f>
        <v>xx</v>
      </c>
      <c r="AD54" s="226"/>
      <c r="AE54" s="232" t="str">
        <f>IF($A$31=FALSE,$AI$35,IF($C54="X",IF(ISBLANK('Questions - Fragen'!$D328),"--",'Questions - Fragen'!$D328),"xx"))</f>
        <v>xx</v>
      </c>
      <c r="AF54" s="232" t="str">
        <f>IF($A$31=FALSE,$AI$35,IF($C54="X",IF(ISBLANK('Questions - Fragen'!$D339),"--",'Questions - Fragen'!$D339),"xx"))</f>
        <v>xx</v>
      </c>
      <c r="AG54" s="232" t="str">
        <f>IF($A$31=FALSE,$AI$35,IF($C54="X",IF(ISBLANK('Questions - Fragen'!$D350),"--",'Questions - Fragen'!$D350),"xx"))</f>
        <v>xx</v>
      </c>
      <c r="AH54" s="633" t="str">
        <f>IF($A$31=FALSE,$AI$35,IF($C54="X",IF(ISBLANK('Questions - Fragen'!$D361),"--",'Questions - Fragen'!$D361),"xx"))</f>
        <v>xx</v>
      </c>
      <c r="AI54" s="753">
        <f>COUNTIF(D54:AH54,"&gt;-")</f>
        <v>26</v>
      </c>
      <c r="AJ54" s="753">
        <f>COUNT(D54:AH54)</f>
        <v>0</v>
      </c>
      <c r="AK54" s="753">
        <v>17</v>
      </c>
      <c r="AL54" s="753" t="str">
        <f>IF(AND($A$31,AJ54&gt;=AK54),AJ54*10,"--")</f>
        <v>--</v>
      </c>
      <c r="AM54" s="753" t="str">
        <f>IF(AND($A$31,AJ54&gt;=AK54),SUM(D54:AH54),"--")</f>
        <v>--</v>
      </c>
      <c r="AN54" s="643"/>
      <c r="AO54" s="643"/>
      <c r="AP54" s="643"/>
      <c r="AQ54" s="39"/>
      <c r="AR54" s="43"/>
      <c r="AS54" s="1469" t="str">
        <f>IF($A$31=FALSE,$AI$35,IF(C54="","xx",IF(AJ54&lt;AK54,$AI$35,ROUND(AM54/AL54,2))))</f>
        <v>xx</v>
      </c>
      <c r="AT54" s="1470"/>
      <c r="AU54" s="16"/>
      <c r="AX54" s="740" t="str">
        <f>E54</f>
        <v>xx</v>
      </c>
      <c r="AY54" s="740" t="str">
        <f>F54</f>
        <v>xx</v>
      </c>
      <c r="AZ54" s="740" t="str">
        <f>G54</f>
        <v>xx</v>
      </c>
      <c r="BA54" s="740" t="str">
        <f>M54</f>
        <v>xx</v>
      </c>
      <c r="BB54" s="740" t="str">
        <f>N54</f>
        <v>xx</v>
      </c>
      <c r="BC54" s="740" t="str">
        <f>AE54</f>
        <v>xx</v>
      </c>
      <c r="BD54" s="740" t="str">
        <f>AF54</f>
        <v>xx</v>
      </c>
      <c r="BE54" s="740" t="str">
        <f>AG54</f>
        <v>xx</v>
      </c>
      <c r="BF54" s="15"/>
      <c r="BG54" s="16"/>
      <c r="BH54" s="51"/>
      <c r="BI54" s="74"/>
    </row>
    <row r="55" spans="1:61" ht="15" customHeight="1">
      <c r="A55" s="242" t="s">
        <v>223</v>
      </c>
      <c r="B55" s="48"/>
      <c r="C55" s="196"/>
      <c r="D55" s="187"/>
      <c r="E55" s="187"/>
      <c r="F55" s="187"/>
      <c r="G55" s="187"/>
      <c r="H55" s="187"/>
      <c r="I55" s="187"/>
      <c r="J55" s="187"/>
      <c r="K55" s="187"/>
      <c r="L55" s="187"/>
      <c r="M55" s="187"/>
      <c r="N55" s="187"/>
      <c r="O55" s="16"/>
      <c r="P55" s="187"/>
      <c r="Q55" s="187"/>
      <c r="R55" s="187"/>
      <c r="S55" s="187"/>
      <c r="T55" s="187"/>
      <c r="U55" s="187"/>
      <c r="V55" s="187"/>
      <c r="W55" s="187"/>
      <c r="X55" s="187"/>
      <c r="Z55" s="187"/>
      <c r="AA55" s="187"/>
      <c r="AB55" s="187"/>
      <c r="AC55" s="187"/>
      <c r="AD55" s="187"/>
      <c r="AE55" s="187"/>
      <c r="AF55" s="187"/>
      <c r="AG55" s="187"/>
      <c r="AH55" s="187"/>
      <c r="AI55" s="187"/>
      <c r="AJ55" s="187"/>
      <c r="AK55" s="187"/>
      <c r="AL55" s="187"/>
      <c r="AM55" s="39"/>
      <c r="AN55" s="643"/>
      <c r="AO55" s="643"/>
      <c r="AP55" s="643"/>
      <c r="AQ55" s="39"/>
      <c r="AR55" s="39"/>
      <c r="AS55" s="39"/>
      <c r="AT55" s="39"/>
      <c r="AU55" s="39"/>
      <c r="AX55" s="39"/>
      <c r="AY55" s="39"/>
      <c r="AZ55" s="39"/>
      <c r="BA55" s="39"/>
      <c r="BB55" s="39"/>
      <c r="BC55" s="39"/>
      <c r="BD55" s="39"/>
      <c r="BE55" s="39"/>
      <c r="BF55" s="15"/>
      <c r="BG55" s="16"/>
      <c r="BH55" s="51"/>
      <c r="BI55" s="16"/>
    </row>
    <row r="56" spans="1:61" ht="12.95" customHeight="1">
      <c r="A56" s="243" t="str">
        <f>IF(COUNTIF(A36:A40,$AI$35)=10,$AI$35,IF(COUNTIF(A36:A40,"C")&gt;=1,"C",IF(COUNTIF(A36:A40,"B")&gt;=1,"B","A")))</f>
        <v>A</v>
      </c>
      <c r="B56" s="48"/>
      <c r="C56" s="36"/>
      <c r="D56" s="197" t="str">
        <f>VLOOKUP(pos(D56),'Language-Sprachen'!$A$120:$G$159,'Language-Sprachen'!$A$3,0)</f>
        <v>Results of the sub elements for process analysis (Average Levels 1 - n)</v>
      </c>
      <c r="E56" s="31"/>
      <c r="F56" s="31"/>
      <c r="G56" s="31"/>
      <c r="H56" s="31"/>
      <c r="I56" s="31"/>
      <c r="J56" s="31"/>
      <c r="K56" s="31"/>
      <c r="L56" s="31"/>
      <c r="M56" s="31"/>
      <c r="N56" s="31"/>
      <c r="O56" s="16"/>
      <c r="P56" s="31"/>
      <c r="Q56" s="176"/>
      <c r="R56" s="31"/>
      <c r="S56" s="31"/>
      <c r="T56" s="31"/>
      <c r="U56" s="31"/>
      <c r="V56" s="31"/>
      <c r="W56" s="31"/>
      <c r="X56" s="31"/>
      <c r="Z56" s="31"/>
      <c r="AA56" s="31"/>
      <c r="AB56" s="176"/>
      <c r="AC56" s="31"/>
      <c r="AD56" s="31"/>
      <c r="AE56" s="31"/>
      <c r="AF56" s="31"/>
      <c r="AG56" s="31"/>
      <c r="AH56" s="31"/>
      <c r="AI56" s="31"/>
      <c r="AJ56" s="31"/>
      <c r="AK56" s="31"/>
      <c r="AL56" s="31"/>
      <c r="AM56" s="31"/>
      <c r="AN56" s="643"/>
      <c r="AO56" s="643"/>
      <c r="AP56" s="643"/>
      <c r="AQ56" s="31"/>
      <c r="AR56" s="31"/>
      <c r="AS56" s="31"/>
      <c r="AT56" s="198">
        <f>+COUNTIF(AS36:AT40,$AI$35)</f>
        <v>0</v>
      </c>
      <c r="AU56" s="198"/>
      <c r="AX56" s="198"/>
      <c r="AY56" s="198"/>
      <c r="AZ56" s="198"/>
      <c r="BA56" s="198"/>
      <c r="BB56" s="198"/>
      <c r="BC56" s="198"/>
      <c r="BD56" s="198"/>
      <c r="BE56" s="198"/>
      <c r="BF56" s="16"/>
      <c r="BG56" s="16"/>
      <c r="BH56" s="49"/>
      <c r="BI56" s="34"/>
    </row>
    <row r="57" spans="1:61" ht="4.5" customHeight="1" thickBot="1">
      <c r="B57" s="48"/>
      <c r="C57" s="33"/>
      <c r="D57" s="31"/>
      <c r="E57" s="31"/>
      <c r="F57" s="31"/>
      <c r="G57" s="31"/>
      <c r="H57" s="31"/>
      <c r="I57" s="31"/>
      <c r="J57" s="31"/>
      <c r="K57" s="31"/>
      <c r="L57" s="31"/>
      <c r="M57" s="31"/>
      <c r="N57" s="31"/>
      <c r="O57" s="16"/>
      <c r="P57" s="31"/>
      <c r="Q57" s="176"/>
      <c r="R57" s="31"/>
      <c r="S57" s="31"/>
      <c r="T57" s="31"/>
      <c r="U57" s="15"/>
      <c r="V57" s="15"/>
      <c r="W57" s="15"/>
      <c r="X57" s="15"/>
      <c r="Z57" s="15"/>
      <c r="AA57" s="15"/>
      <c r="AB57" s="179"/>
      <c r="AC57" s="15"/>
      <c r="AD57" s="15"/>
      <c r="AE57" s="15"/>
      <c r="AF57" s="15"/>
      <c r="AG57" s="15"/>
      <c r="AH57" s="15"/>
      <c r="AI57" s="15"/>
      <c r="AJ57" s="15"/>
      <c r="AK57" s="15"/>
      <c r="AL57" s="15"/>
      <c r="AM57" s="15"/>
      <c r="AN57" s="643"/>
      <c r="AO57" s="643"/>
      <c r="AP57" s="643"/>
      <c r="AQ57" s="15"/>
      <c r="AR57" s="15"/>
      <c r="AS57" s="15"/>
      <c r="AT57" s="15"/>
      <c r="AU57" s="15"/>
      <c r="AX57" s="15"/>
      <c r="AY57" s="15"/>
      <c r="AZ57" s="15"/>
      <c r="BA57" s="15"/>
      <c r="BB57" s="15"/>
      <c r="BC57" s="15"/>
      <c r="BD57" s="15"/>
      <c r="BE57" s="15"/>
      <c r="BF57" s="16"/>
      <c r="BG57" s="16"/>
      <c r="BH57" s="51"/>
      <c r="BI57" s="16"/>
    </row>
    <row r="58" spans="1:61" ht="11.45" customHeight="1" thickBot="1">
      <c r="B58" s="48"/>
      <c r="C58" s="30"/>
      <c r="D58" s="755" t="str">
        <f>D34</f>
        <v>6.1.1</v>
      </c>
      <c r="E58" s="756" t="str">
        <f>E34</f>
        <v>6.1.2</v>
      </c>
      <c r="F58" s="757" t="str">
        <f>F34</f>
        <v>6.1.3</v>
      </c>
      <c r="G58" s="757" t="str">
        <f>G34</f>
        <v>6.1.4</v>
      </c>
      <c r="H58" s="758" t="str">
        <f>H34</f>
        <v>6.1.5*</v>
      </c>
      <c r="I58" s="341"/>
      <c r="J58" s="755" t="str">
        <f>J34</f>
        <v>6.2.1</v>
      </c>
      <c r="K58" s="756" t="str">
        <f>K34</f>
        <v>6.2.2</v>
      </c>
      <c r="L58" s="764" t="str">
        <f>L34</f>
        <v>6.2.3*</v>
      </c>
      <c r="M58" s="764" t="str">
        <f>M34</f>
        <v>6.2.4*</v>
      </c>
      <c r="N58" s="765" t="str">
        <f>N34</f>
        <v>6.2.5</v>
      </c>
      <c r="O58" s="961"/>
      <c r="P58" s="757" t="str">
        <f>P34</f>
        <v>6.3.1*</v>
      </c>
      <c r="Q58" s="757" t="str">
        <f>Q34</f>
        <v>6.3.2</v>
      </c>
      <c r="R58" s="765" t="str">
        <f>R34</f>
        <v>6.3.3</v>
      </c>
      <c r="S58" s="340"/>
      <c r="T58" s="771" t="str">
        <f>T34</f>
        <v>6.4.1*</v>
      </c>
      <c r="U58" s="757" t="str">
        <f>U34</f>
        <v>6.4.2</v>
      </c>
      <c r="V58" s="764" t="str">
        <f>V34</f>
        <v>6.4.3*</v>
      </c>
      <c r="W58" s="757" t="str">
        <f>W34</f>
        <v>6.4.4</v>
      </c>
      <c r="X58" s="765" t="str">
        <f>X34</f>
        <v>6.4.5</v>
      </c>
      <c r="Z58" s="755" t="str">
        <f>Z34</f>
        <v>6.5.1</v>
      </c>
      <c r="AA58" s="757" t="str">
        <f>AA34</f>
        <v>6.5.2</v>
      </c>
      <c r="AB58" s="764" t="str">
        <f>AB34</f>
        <v>6.5.3*</v>
      </c>
      <c r="AC58" s="765" t="str">
        <f>AC34</f>
        <v>6.5.4</v>
      </c>
      <c r="AD58" s="341"/>
      <c r="AE58" s="755" t="str">
        <f>AE34</f>
        <v>6.6.1</v>
      </c>
      <c r="AF58" s="757" t="str">
        <f>AF34</f>
        <v>6.6.2</v>
      </c>
      <c r="AG58" s="757" t="str">
        <f>AG34</f>
        <v>6.6.3</v>
      </c>
      <c r="AH58" s="758" t="str">
        <f>AH34</f>
        <v>6.6.4*</v>
      </c>
      <c r="AI58" s="643" t="str">
        <f>$K$7</f>
        <v>n.e.</v>
      </c>
      <c r="AJ58" s="643" t="str">
        <f>$L$7</f>
        <v>Act.</v>
      </c>
      <c r="AK58" s="643" t="str">
        <f>$M$7</f>
        <v>Target</v>
      </c>
      <c r="AL58" s="643" t="str">
        <f>$N$7</f>
        <v>Max.</v>
      </c>
      <c r="AM58" s="643" t="str">
        <f>$O$7</f>
        <v>Act.</v>
      </c>
      <c r="AN58" s="643"/>
      <c r="AO58" s="643"/>
      <c r="AP58" s="643"/>
      <c r="AQ58" s="30"/>
      <c r="AR58" s="15"/>
      <c r="AS58" s="15"/>
      <c r="AT58" s="15"/>
      <c r="AU58" s="15"/>
      <c r="AX58" s="774" t="str">
        <f t="shared" ref="AX58:BE58" si="8">AX34</f>
        <v>6.1.2</v>
      </c>
      <c r="AY58" s="775" t="str">
        <f t="shared" si="8"/>
        <v>6.1.3</v>
      </c>
      <c r="AZ58" s="775" t="str">
        <f t="shared" si="8"/>
        <v>6.1.4</v>
      </c>
      <c r="BA58" s="775" t="str">
        <f t="shared" si="8"/>
        <v>6.2.4</v>
      </c>
      <c r="BB58" s="775" t="str">
        <f t="shared" si="8"/>
        <v>6.2.5</v>
      </c>
      <c r="BC58" s="775" t="str">
        <f t="shared" si="8"/>
        <v>6.6.1</v>
      </c>
      <c r="BD58" s="775" t="str">
        <f t="shared" si="8"/>
        <v>6.6.2</v>
      </c>
      <c r="BE58" s="776" t="str">
        <f t="shared" si="8"/>
        <v>6.6.3</v>
      </c>
      <c r="BF58" s="16"/>
      <c r="BG58" s="16"/>
      <c r="BH58" s="51"/>
      <c r="BI58" s="16"/>
    </row>
    <row r="59" spans="1:61" ht="15" customHeight="1" thickBot="1">
      <c r="B59" s="48"/>
      <c r="C59" s="36"/>
      <c r="D59" s="677">
        <f>IF(ISERROR(AVERAGE(D36:D54)),$AI$35,ROUND(AVERAGE(D36:D54),2))</f>
        <v>10</v>
      </c>
      <c r="E59" s="653">
        <f>IF(ISERROR(AVERAGE(E36:E54)),$AI$35,ROUND(AVERAGE(E36:E54),2))</f>
        <v>10</v>
      </c>
      <c r="F59" s="653">
        <f>IF(ISERROR(AVERAGE(F36:F54)),$AI$35,ROUND(AVERAGE(F36:F54),2))</f>
        <v>10</v>
      </c>
      <c r="G59" s="653">
        <f>IF(ISERROR(AVERAGE(G36:G54)),$AI$35,ROUND(AVERAGE(G36:G54),2))</f>
        <v>10</v>
      </c>
      <c r="H59" s="678" t="str">
        <f>IF(ISERROR(AVERAGE(H36:H54)),$AI$35,ROUND(AVERAGE(H36:H54),2))</f>
        <v>n.e.</v>
      </c>
      <c r="I59" s="227"/>
      <c r="J59" s="677" t="str">
        <f>IF(ISERROR(AVERAGE(J36:J54)),$AI$35,ROUND(AVERAGE(J36:J54),2))</f>
        <v>n.e.</v>
      </c>
      <c r="K59" s="723" t="str">
        <f>IF(ISERROR(AVERAGE(K36:K54)),$AI$35,ROUND(AVERAGE(K36:K54),2))</f>
        <v>n.e.</v>
      </c>
      <c r="L59" s="679" t="str">
        <f>IF(ISERROR(AVERAGE(L36:L54)),$AI$35,ROUND(AVERAGE(L36:L54),2))</f>
        <v>n.e.</v>
      </c>
      <c r="M59" s="679">
        <f>IF(ISERROR(AVERAGE(M36:M54)),$AI$35,ROUND(AVERAGE(M36:M54),2))</f>
        <v>10</v>
      </c>
      <c r="N59" s="680">
        <f>IF(ISERROR(AVERAGE(N36:N54)),$AI$35,ROUND(AVERAGE(N36:N54),2))</f>
        <v>10</v>
      </c>
      <c r="O59" s="962"/>
      <c r="P59" s="681">
        <f>IF(ISERROR(AVERAGE(P36:P54)),$AI$35,ROUND(AVERAGE(P36:P54),2))</f>
        <v>10</v>
      </c>
      <c r="Q59" s="723">
        <f>IF(ISERROR(AVERAGE(Q36:Q54)),$AI$35,ROUND(AVERAGE(Q36:Q54),2))</f>
        <v>10</v>
      </c>
      <c r="R59" s="680">
        <f>IF(ISERROR(AVERAGE(R36:R54)),$AI$35,ROUND(AVERAGE(R36:R54),2))</f>
        <v>10</v>
      </c>
      <c r="S59" s="228"/>
      <c r="T59" s="681" t="str">
        <f>IF(ISERROR(AVERAGE(T36:T54)),$AI$35,ROUND(AVERAGE(T36:T54),2))</f>
        <v>n.e.</v>
      </c>
      <c r="U59" s="653">
        <f>IF(ISERROR(AVERAGE(U36:U54)),$AI$35,ROUND(AVERAGE(U36:U54),2))</f>
        <v>6</v>
      </c>
      <c r="V59" s="679">
        <f>IF(ISERROR(AVERAGE(V36:V54)),$AI$35,ROUND(AVERAGE(V36:V54),2))</f>
        <v>10</v>
      </c>
      <c r="W59" s="653">
        <f>IF(ISERROR(AVERAGE(W36:W54)),$AI$35,ROUND(AVERAGE(W36:W54),2))</f>
        <v>10</v>
      </c>
      <c r="X59" s="680">
        <f>IF(ISERROR(AVERAGE(X36:X54)),$AI$35,ROUND(AVERAGE(X36:X54),2))</f>
        <v>10</v>
      </c>
      <c r="Z59" s="677">
        <f>IF(ISERROR(AVERAGE(Z36:Z54)),$AI$35,ROUND(AVERAGE(Z36:Z54),2))</f>
        <v>10</v>
      </c>
      <c r="AA59" s="653">
        <f>IF(ISERROR(AVERAGE(AA36:AA54)),$AI$35,ROUND(AVERAGE(AA36:AA54),2))</f>
        <v>10</v>
      </c>
      <c r="AB59" s="679">
        <f>IF(ISERROR(AVERAGE(AB36:AB54)),$AI$35,ROUND(AVERAGE(AB36:AB54),2))</f>
        <v>10</v>
      </c>
      <c r="AC59" s="680">
        <f>IF(ISERROR(AVERAGE(AC36:AC54)),$AI$35,ROUND(AVERAGE(AC36:AC54),2))</f>
        <v>10</v>
      </c>
      <c r="AD59" s="228"/>
      <c r="AE59" s="677">
        <f>IF(ISERROR(AVERAGE(AE36:AE54)),$AI$35,ROUND(AVERAGE(AE36:AE54),2))</f>
        <v>10</v>
      </c>
      <c r="AF59" s="653">
        <f>IF(ISERROR(AVERAGE(AF36:AF54)),$AI$35,ROUND(AVERAGE(AF36:AF54),2))</f>
        <v>10</v>
      </c>
      <c r="AG59" s="653">
        <f>IF(ISERROR(AVERAGE(AG36:AG54)),$AI$35,ROUND(AVERAGE(AG36:AG54),2))</f>
        <v>8</v>
      </c>
      <c r="AH59" s="678">
        <f>IF(ISERROR(AVERAGE(AH36:AH54)),$AI$35,ROUND(AVERAGE(AH36:AH54),2))</f>
        <v>10</v>
      </c>
      <c r="AI59" s="753">
        <f>SUM(AI36:AI40)</f>
        <v>57</v>
      </c>
      <c r="AJ59" s="753">
        <f>SUM(AJ36:AJ40)</f>
        <v>21</v>
      </c>
      <c r="AK59" s="753">
        <f>SUM(F61,L61,P61,V61,AA61,AF61)</f>
        <v>20</v>
      </c>
      <c r="AL59" s="753">
        <f>COUNT(D59:AH59)*10</f>
        <v>210</v>
      </c>
      <c r="AM59" s="753">
        <f>SUM(D59:AH59)</f>
        <v>204</v>
      </c>
      <c r="AN59" s="643"/>
      <c r="AO59" s="643"/>
      <c r="AP59" s="643"/>
      <c r="AQ59" s="200"/>
      <c r="AR59" s="204" t="s">
        <v>303</v>
      </c>
      <c r="AS59" s="1469">
        <f>IF(COUNTIF(AS36:AT54,$AI$35)&gt;0,$AI$35,ROUND(AM59/AL59,2))</f>
        <v>0.97</v>
      </c>
      <c r="AT59" s="1470"/>
      <c r="AU59" s="16"/>
      <c r="AX59" s="725">
        <f t="shared" ref="AX59:BE59" si="9">IF(ISERROR(AVERAGE(AX36:AX54)),$AI$35,ROUND(AVERAGE(AX36:AX54),2))</f>
        <v>10</v>
      </c>
      <c r="AY59" s="680">
        <f t="shared" si="9"/>
        <v>10</v>
      </c>
      <c r="AZ59" s="680">
        <f t="shared" si="9"/>
        <v>10</v>
      </c>
      <c r="BA59" s="680">
        <f t="shared" si="9"/>
        <v>10</v>
      </c>
      <c r="BB59" s="680">
        <f t="shared" si="9"/>
        <v>10</v>
      </c>
      <c r="BC59" s="680">
        <f t="shared" si="9"/>
        <v>10</v>
      </c>
      <c r="BD59" s="680">
        <f t="shared" si="9"/>
        <v>10</v>
      </c>
      <c r="BE59" s="680">
        <f t="shared" si="9"/>
        <v>8</v>
      </c>
      <c r="BF59" s="16"/>
      <c r="BG59" s="16"/>
      <c r="BH59" s="51"/>
      <c r="BI59" s="16"/>
    </row>
    <row r="60" spans="1:61">
      <c r="B60" s="48"/>
      <c r="C60" s="31"/>
      <c r="D60" s="48"/>
      <c r="E60" s="751" t="str">
        <f>$L$7</f>
        <v>Act.</v>
      </c>
      <c r="F60" s="751" t="str">
        <f>$M$7</f>
        <v>Target</v>
      </c>
      <c r="G60" s="751" t="str">
        <f>$N$7</f>
        <v>Max.</v>
      </c>
      <c r="H60" s="759" t="str">
        <f>$O$7</f>
        <v>Act.</v>
      </c>
      <c r="J60" s="766"/>
      <c r="K60" s="751" t="str">
        <f>$L$7</f>
        <v>Act.</v>
      </c>
      <c r="L60" s="751" t="str">
        <f>$M$7</f>
        <v>Target</v>
      </c>
      <c r="M60" s="751" t="str">
        <f>$N$7</f>
        <v>Max.</v>
      </c>
      <c r="N60" s="759" t="str">
        <f>$O$7</f>
        <v>Act.</v>
      </c>
      <c r="O60" s="768" t="str">
        <f>$L$7</f>
        <v>Act.</v>
      </c>
      <c r="P60" s="751" t="str">
        <f>$M$7</f>
        <v>Target</v>
      </c>
      <c r="Q60" s="751" t="str">
        <f>$N$7</f>
        <v>Max.</v>
      </c>
      <c r="R60" s="759" t="str">
        <f>$O$7</f>
        <v>Act.</v>
      </c>
      <c r="T60" s="766"/>
      <c r="U60" s="751" t="str">
        <f>$L$7</f>
        <v>Act.</v>
      </c>
      <c r="V60" s="751" t="str">
        <f>$M$7</f>
        <v>Target</v>
      </c>
      <c r="W60" s="751" t="str">
        <f>$N$7</f>
        <v>Max.</v>
      </c>
      <c r="X60" s="759" t="str">
        <f>$O$7</f>
        <v>Act.</v>
      </c>
      <c r="Y60" s="31"/>
      <c r="Z60" s="768" t="str">
        <f>$L$7</f>
        <v>Act.</v>
      </c>
      <c r="AA60" s="751" t="str">
        <f>$M$7</f>
        <v>Target</v>
      </c>
      <c r="AB60" s="751" t="str">
        <f>$N$7</f>
        <v>Max.</v>
      </c>
      <c r="AC60" s="759" t="str">
        <f>$O$7</f>
        <v>Act.</v>
      </c>
      <c r="AD60" s="31"/>
      <c r="AE60" s="768" t="str">
        <f>$L$7</f>
        <v>Act.</v>
      </c>
      <c r="AF60" s="751" t="str">
        <f>$M$7</f>
        <v>Target</v>
      </c>
      <c r="AG60" s="751" t="str">
        <f>$N$7</f>
        <v>Max.</v>
      </c>
      <c r="AH60" s="759" t="str">
        <f>$O$7</f>
        <v>Act.</v>
      </c>
      <c r="AI60" s="31"/>
      <c r="AJ60" s="31"/>
      <c r="AK60" s="31"/>
      <c r="AL60" s="31"/>
      <c r="AM60" s="495"/>
      <c r="AN60" s="643"/>
      <c r="AO60" s="643"/>
      <c r="AP60" s="643"/>
      <c r="AQ60" s="495"/>
      <c r="AR60" s="495"/>
      <c r="AS60" s="495"/>
      <c r="AT60" s="495"/>
      <c r="AU60" s="495"/>
      <c r="AX60" s="777"/>
      <c r="AY60" s="495"/>
      <c r="AZ60" s="495"/>
      <c r="BA60" s="495"/>
      <c r="BB60" s="495"/>
      <c r="BC60" s="495"/>
      <c r="BD60" s="495"/>
      <c r="BE60" s="52"/>
      <c r="BF60" s="16"/>
      <c r="BG60" s="16"/>
      <c r="BH60" s="52"/>
      <c r="BI60" s="495"/>
    </row>
    <row r="61" spans="1:61" ht="15.75" thickBot="1">
      <c r="B61" s="48"/>
      <c r="C61" s="38"/>
      <c r="D61" s="48"/>
      <c r="E61" s="752">
        <f>COUNT(D36:H54)</f>
        <v>4</v>
      </c>
      <c r="F61" s="752">
        <f>ROUNDUP(COUNTIF($C$36:$C$54,"X")*5/3*2,0)</f>
        <v>4</v>
      </c>
      <c r="G61" s="754">
        <f>IF(AND($A31,E61&gt;=F61),E61*10,"--")</f>
        <v>40</v>
      </c>
      <c r="H61" s="760">
        <f>IF(AND($A31,E61&gt;=F61),SUM(D36:H54),"--")</f>
        <v>40</v>
      </c>
      <c r="J61" s="48"/>
      <c r="K61" s="752">
        <f>COUNT(J36:N54)</f>
        <v>2</v>
      </c>
      <c r="L61" s="752">
        <f>ROUNDUP(COUNTIF($C$36:$C$54,"X")*5/3*2,0)</f>
        <v>4</v>
      </c>
      <c r="M61" s="754" t="str">
        <f>IF(AND($A31,K61&gt;=L61),K61*10,"--")</f>
        <v>--</v>
      </c>
      <c r="N61" s="760" t="str">
        <f>IF(AND($A31,K61&gt;=L61),SUM(J36:N54),"--")</f>
        <v>--</v>
      </c>
      <c r="O61" s="769">
        <f>COUNT(P36:R54)</f>
        <v>3</v>
      </c>
      <c r="P61" s="752">
        <f>ROUNDUP(COUNTIF($C$36:$C$54,"X")*3/3*2,0)</f>
        <v>2</v>
      </c>
      <c r="Q61" s="754">
        <f>IF(AND($A31,O61&gt;=P61),O61*10,"--")</f>
        <v>30</v>
      </c>
      <c r="R61" s="760">
        <f>IF(AND($A31,O61&gt;=P61),SUM(P36:R54),"--")</f>
        <v>30</v>
      </c>
      <c r="T61" s="48"/>
      <c r="U61" s="752">
        <f>COUNT(T36:X54)</f>
        <v>4</v>
      </c>
      <c r="V61" s="752">
        <f>ROUNDUP(COUNTIF($C$36:$C$54,"X")*5/3*2,0)</f>
        <v>4</v>
      </c>
      <c r="W61" s="754">
        <f>IF(AND($A31,U61&gt;=V61),U61*10,"--")</f>
        <v>40</v>
      </c>
      <c r="X61" s="760">
        <f>IF(AND($A31,U61&gt;=V61),SUM(T36:X54),"--")</f>
        <v>36</v>
      </c>
      <c r="Y61" s="38"/>
      <c r="Z61" s="769">
        <f>COUNT(Z36:AC54)</f>
        <v>4</v>
      </c>
      <c r="AA61" s="752">
        <f>ROUNDUP(COUNTIF($C$36:$C$54,"X")*4/3*2,0)</f>
        <v>3</v>
      </c>
      <c r="AB61" s="754">
        <f>IF(AND($A31,Z61&gt;=AA61),Z61*10,"--")</f>
        <v>40</v>
      </c>
      <c r="AC61" s="760">
        <f>IF(AND($A31,Z61&gt;=AA61),SUM(Z36:AC54),"--")</f>
        <v>40</v>
      </c>
      <c r="AD61" s="43"/>
      <c r="AE61" s="769">
        <f>COUNT(AE36:AH54)</f>
        <v>4</v>
      </c>
      <c r="AF61" s="752">
        <f>ROUNDUP(COUNTIF($C$36:$C$54,"X")*4/3*2,0)</f>
        <v>3</v>
      </c>
      <c r="AG61" s="754">
        <f>IF(AND($A31,AE61&gt;=AF61),AE61*10,"--")</f>
        <v>40</v>
      </c>
      <c r="AH61" s="760">
        <f>IF(AND($A31,AE61&gt;=AF61),SUM(AE36:AH54),"--")</f>
        <v>38</v>
      </c>
      <c r="AR61" s="38"/>
      <c r="AS61" s="202"/>
      <c r="AT61" s="331"/>
      <c r="AX61" s="768" t="str">
        <f>$K$7</f>
        <v>n.e.</v>
      </c>
      <c r="AY61" s="751" t="str">
        <f>$L$7</f>
        <v>Act.</v>
      </c>
      <c r="AZ61" s="751" t="str">
        <f>$M$7</f>
        <v>Target</v>
      </c>
      <c r="BA61" s="751" t="str">
        <f>$N$7</f>
        <v>Max.</v>
      </c>
      <c r="BB61" s="751" t="str">
        <f>$O$7</f>
        <v>Act.</v>
      </c>
      <c r="BC61" s="202"/>
      <c r="BD61" s="202"/>
      <c r="BE61" s="778"/>
      <c r="BF61" s="16"/>
      <c r="BG61" s="16"/>
      <c r="BH61" s="54"/>
    </row>
    <row r="62" spans="1:61" ht="14.25" customHeight="1" thickBot="1">
      <c r="B62" s="48"/>
      <c r="C62" s="43"/>
      <c r="D62" s="761"/>
      <c r="E62" s="762"/>
      <c r="F62" s="763" t="s">
        <v>56</v>
      </c>
      <c r="G62" s="1471">
        <f>IF(OR($A$31=FALSE,F61&gt;E61),$AI$35,IFERROR(ROUND(H61/G61,2),$AI$35))</f>
        <v>1</v>
      </c>
      <c r="H62" s="1472"/>
      <c r="I62" s="16"/>
      <c r="J62" s="761"/>
      <c r="K62" s="762"/>
      <c r="L62" s="767" t="s">
        <v>55</v>
      </c>
      <c r="M62" s="1471" t="str">
        <f>IF(OR($A$31=FALSE,L61&gt;K61),$AI$35,IFERROR(ROUND(N61/M61,2),$AI$35))</f>
        <v>n.e.</v>
      </c>
      <c r="N62" s="1472"/>
      <c r="O62" s="963"/>
      <c r="P62" s="770" t="s">
        <v>54</v>
      </c>
      <c r="Q62" s="1471">
        <f>IF(OR($A$31=FALSE,P61&gt;O61),$AI$35,IFERROR(ROUND(R61/Q61,2),$AI$35))</f>
        <v>1</v>
      </c>
      <c r="R62" s="1472"/>
      <c r="S62" s="16"/>
      <c r="T62" s="772"/>
      <c r="U62" s="773"/>
      <c r="V62" s="770" t="s">
        <v>53</v>
      </c>
      <c r="W62" s="1471">
        <f>IF(OR($A$31=FALSE,V61&gt;U61),$AI$35,IFERROR(ROUND(X61/W61,2),$AI$35))</f>
        <v>0.9</v>
      </c>
      <c r="X62" s="1472"/>
      <c r="Y62" s="16"/>
      <c r="Z62" s="761"/>
      <c r="AA62" s="763" t="s">
        <v>52</v>
      </c>
      <c r="AB62" s="1471">
        <f>IF(OR($A$31=FALSE,AA61&gt;Z61),$AI$35,IFERROR(ROUND(AC61/AB61,2),$AI$35))</f>
        <v>1</v>
      </c>
      <c r="AC62" s="1472"/>
      <c r="AD62" s="16"/>
      <c r="AE62" s="761"/>
      <c r="AF62" s="767" t="s">
        <v>51</v>
      </c>
      <c r="AG62" s="1471">
        <f>IF(OR($A$31=FALSE,AF61&gt;AE61),$AI$35,IFERROR(ROUND(AH61/AG61,2),$AI$35))</f>
        <v>0.95</v>
      </c>
      <c r="AH62" s="1472"/>
      <c r="AI62" s="16"/>
      <c r="AJ62" s="38"/>
      <c r="AK62" s="38"/>
      <c r="AL62" s="38"/>
      <c r="AM62" s="184"/>
      <c r="AN62" s="184"/>
      <c r="AO62" s="184"/>
      <c r="AP62" s="184"/>
      <c r="AQ62" s="184"/>
      <c r="AR62" s="38"/>
      <c r="AS62" s="202"/>
      <c r="AT62" s="332"/>
      <c r="AU62" s="202"/>
      <c r="AX62" s="779">
        <f>COUNTIF(AX59:BE59,"&gt;-")</f>
        <v>0</v>
      </c>
      <c r="AY62" s="780">
        <f>COUNT(AX36:BE40)</f>
        <v>8</v>
      </c>
      <c r="AZ62" s="780">
        <f>ROUNDUP(COUNTIF($C$36:$C$40,"X")*8/3*2,0)</f>
        <v>6</v>
      </c>
      <c r="BA62" s="780">
        <f>IF(AND($B62,AY62&gt;=AZ62),COUNTIF(AX59:BE59,"&lt;&gt;"&amp;AX61)*10,"--")</f>
        <v>80</v>
      </c>
      <c r="BB62" s="780">
        <f>IF(AND($B62,AY62&gt;=AZ62),SUM(AX59:BE59),"--")</f>
        <v>78</v>
      </c>
      <c r="BC62" s="781" t="s">
        <v>50</v>
      </c>
      <c r="BD62" s="1515">
        <f>IF(A31=FALSE,AX61,IF(AY62&gt;=AZ62,ROUND(BB62/BA62,2),$AI$35))</f>
        <v>0.98</v>
      </c>
      <c r="BE62" s="1516"/>
      <c r="BF62" s="16"/>
      <c r="BG62" s="16"/>
      <c r="BH62" s="54"/>
    </row>
    <row r="63" spans="1:61" ht="8.25" customHeight="1">
      <c r="B63" s="48"/>
      <c r="C63" s="43"/>
      <c r="D63" s="201"/>
      <c r="E63" s="43"/>
      <c r="F63" s="38"/>
      <c r="G63" s="184"/>
      <c r="H63" s="184"/>
      <c r="I63" s="15"/>
      <c r="J63" s="201"/>
      <c r="K63" s="43"/>
      <c r="L63" s="38"/>
      <c r="M63" s="43"/>
      <c r="N63" s="184"/>
      <c r="O63" s="184"/>
      <c r="P63" s="15"/>
      <c r="Q63" s="201"/>
      <c r="R63" s="43"/>
      <c r="S63" s="43"/>
      <c r="T63" s="184"/>
      <c r="U63" s="184"/>
      <c r="V63" s="201"/>
      <c r="W63" s="38"/>
      <c r="X63" s="184"/>
      <c r="Y63" s="184"/>
      <c r="Z63" s="201"/>
      <c r="AA63" s="38"/>
      <c r="AB63" s="38"/>
      <c r="AC63" s="184"/>
      <c r="AD63" s="184"/>
      <c r="AE63" s="201"/>
      <c r="AF63" s="43"/>
      <c r="AG63" s="43"/>
      <c r="AH63" s="43"/>
      <c r="AI63" s="38"/>
      <c r="AJ63" s="38"/>
      <c r="AK63" s="38"/>
      <c r="AL63" s="38"/>
      <c r="AM63" s="184"/>
      <c r="AN63" s="184"/>
      <c r="AO63" s="184"/>
      <c r="AP63" s="184"/>
      <c r="AQ63" s="184"/>
      <c r="AR63" s="38"/>
      <c r="AS63" s="202"/>
      <c r="AT63" s="201"/>
      <c r="AU63" s="202"/>
      <c r="AW63" s="202"/>
      <c r="AX63" s="202"/>
      <c r="AY63" s="202"/>
      <c r="AZ63" s="202"/>
      <c r="BA63" s="202"/>
      <c r="BB63" s="202"/>
      <c r="BE63" s="203"/>
      <c r="BF63" s="16"/>
      <c r="BG63" s="16"/>
      <c r="BH63" s="54"/>
    </row>
    <row r="64" spans="1:61" ht="5.25" customHeight="1">
      <c r="B64" s="48"/>
      <c r="C64" s="33"/>
      <c r="D64" s="31"/>
      <c r="E64" s="31"/>
      <c r="F64" s="31"/>
      <c r="G64" s="31"/>
      <c r="H64" s="31"/>
      <c r="I64" s="31"/>
      <c r="J64" s="31"/>
      <c r="K64" s="31"/>
      <c r="L64" s="31"/>
      <c r="M64" s="31"/>
      <c r="N64" s="31"/>
      <c r="O64" s="36"/>
      <c r="P64" s="31"/>
      <c r="Q64" s="31"/>
      <c r="R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16"/>
      <c r="BF64" s="16"/>
      <c r="BG64" s="16"/>
      <c r="BH64" s="49"/>
      <c r="BI64" s="34"/>
    </row>
    <row r="65" spans="1:61" s="1036" customFormat="1" ht="21.75" customHeight="1" thickBot="1">
      <c r="A65" s="244" t="s">
        <v>224</v>
      </c>
      <c r="B65" s="1029"/>
      <c r="C65" s="1030"/>
      <c r="D65" s="1030"/>
      <c r="E65" s="1030"/>
      <c r="F65" s="1030"/>
      <c r="G65" s="1031"/>
      <c r="H65" s="1030"/>
      <c r="I65" s="1030"/>
      <c r="J65" s="1030"/>
      <c r="K65" s="1030"/>
      <c r="L65" s="1030"/>
      <c r="M65" s="1030"/>
      <c r="N65" s="1031"/>
      <c r="O65" s="1030"/>
      <c r="P65" s="1030"/>
      <c r="Q65" s="1030"/>
      <c r="R65" s="1031"/>
      <c r="S65" s="199"/>
      <c r="T65" s="199"/>
      <c r="U65" s="1032" t="s">
        <v>127</v>
      </c>
      <c r="V65" s="1032" t="s">
        <v>128</v>
      </c>
      <c r="W65" s="1033" t="s">
        <v>205</v>
      </c>
      <c r="X65" s="1033" t="s">
        <v>215</v>
      </c>
      <c r="Y65" s="1032" t="s">
        <v>131</v>
      </c>
      <c r="Z65" s="643" t="str">
        <f>$K$7</f>
        <v>n.e.</v>
      </c>
      <c r="AA65" s="643" t="str">
        <f>$L$7</f>
        <v>Act.</v>
      </c>
      <c r="AB65" s="643" t="str">
        <f>$M$7</f>
        <v>Target</v>
      </c>
      <c r="AC65" s="643" t="str">
        <f>$N$7</f>
        <v>Max.</v>
      </c>
      <c r="AD65" s="643" t="str">
        <f>$O$7</f>
        <v>Act.</v>
      </c>
      <c r="AE65" s="1030"/>
      <c r="AF65" s="1030"/>
      <c r="AG65" s="1030"/>
      <c r="AH65" s="1030"/>
      <c r="AI65" s="1030"/>
      <c r="AJ65" s="1030"/>
      <c r="AK65" s="1030"/>
      <c r="AL65" s="1030"/>
      <c r="AM65" s="1030"/>
      <c r="AN65" s="1030"/>
      <c r="AO65" s="1030"/>
      <c r="AP65" s="1030"/>
      <c r="AQ65" s="1034"/>
      <c r="AR65" s="1034"/>
      <c r="AS65" s="1034"/>
      <c r="AT65" s="1034"/>
      <c r="AU65" s="1034"/>
      <c r="AV65" s="1034"/>
      <c r="AW65" s="1034"/>
      <c r="AX65" s="1034"/>
      <c r="AY65" s="1034"/>
      <c r="AZ65" s="1034"/>
      <c r="BA65" s="1034"/>
      <c r="BB65" s="1034"/>
      <c r="BC65" s="1034"/>
      <c r="BD65" s="1034"/>
      <c r="BE65" s="972"/>
      <c r="BF65" s="972"/>
      <c r="BG65" s="972"/>
      <c r="BH65" s="1035"/>
      <c r="BI65" s="1034"/>
    </row>
    <row r="66" spans="1:61" ht="18" customHeight="1" thickBot="1">
      <c r="A66" s="243" t="str">
        <f>IF(COUNT(U66:Y66)=0,$AI$35,IF(MIN(U66:Y66)=0,"B","A"))</f>
        <v>n.e.</v>
      </c>
      <c r="B66" s="48"/>
      <c r="C66" s="71" t="s">
        <v>101</v>
      </c>
      <c r="D66" s="72" t="str">
        <f>'Questions - Fragen'!C362</f>
        <v>Customer care / customer satisfaction / service</v>
      </c>
      <c r="E66" s="31"/>
      <c r="F66" s="31"/>
      <c r="G66" s="31"/>
      <c r="H66" s="31"/>
      <c r="I66" s="31"/>
      <c r="J66" s="31"/>
      <c r="K66" s="31"/>
      <c r="L66" s="31"/>
      <c r="M66" s="31"/>
      <c r="N66" s="31"/>
      <c r="O66" s="36"/>
      <c r="P66" s="31"/>
      <c r="Q66" s="31"/>
      <c r="R66" s="31"/>
      <c r="S66" s="15"/>
      <c r="T66" s="15"/>
      <c r="U66" s="232" t="str">
        <f>IF($A$67=FALSE,$Z$65,IF(ISBLANK('Questions - Fragen'!D$363),"--",'Questions - Fragen'!D$363))</f>
        <v>n.e.</v>
      </c>
      <c r="V66" s="232" t="str">
        <f>IF($A$67=FALSE,$Z$65,IF(ISBLANK('Questions - Fragen'!D$364),"--",'Questions - Fragen'!D$364))</f>
        <v>n.e.</v>
      </c>
      <c r="W66" s="633" t="str">
        <f>IF($A$67=FALSE,$Z$65,IF(ISBLANK('Questions - Fragen'!D$365),"--",'Questions - Fragen'!D$365))</f>
        <v>n.e.</v>
      </c>
      <c r="X66" s="633" t="str">
        <f>IF($A$67=FALSE,$Z$65,IF(ISBLANK('Questions - Fragen'!D$366),"--",'Questions - Fragen'!D$366))</f>
        <v>n.e.</v>
      </c>
      <c r="Y66" s="232" t="str">
        <f>IF($A$67=FALSE,$Z$65,IF(ISBLANK('Questions - Fragen'!D$367),"--",'Questions - Fragen'!D$367))</f>
        <v>n.e.</v>
      </c>
      <c r="Z66" s="753">
        <f>COUNTIF(U66:Y66,"&gt;-")</f>
        <v>5</v>
      </c>
      <c r="AA66" s="753">
        <f>COUNT(U66:Y66)</f>
        <v>0</v>
      </c>
      <c r="AB66" s="753">
        <v>4</v>
      </c>
      <c r="AC66" s="753" t="str">
        <f>IF(AND($A67,AA66&gt;=AB66),AA66*10,"--")</f>
        <v>--</v>
      </c>
      <c r="AD66" s="753" t="str">
        <f>IF(AND($A67,AA66&gt;=AB66),SUM(U66:Y66),"--")</f>
        <v>--</v>
      </c>
      <c r="AE66" s="38"/>
      <c r="AF66" s="38"/>
      <c r="AG66" s="272"/>
      <c r="AH66" s="38"/>
      <c r="AI66" s="38"/>
      <c r="AJ66" s="38"/>
      <c r="AK66" s="38"/>
      <c r="AL66" s="38"/>
      <c r="AM66" s="38"/>
      <c r="AN66" s="38"/>
      <c r="AO66" s="38"/>
      <c r="AP66" s="38"/>
      <c r="AR66" s="204" t="s">
        <v>502</v>
      </c>
      <c r="AS66" s="1515" t="str">
        <f>IF(A67=FALSE,Z65,IF(AA66&gt;=AB66,ROUND(AD66/AC66,2),$AI$35))</f>
        <v>n.e.</v>
      </c>
      <c r="AT66" s="1516"/>
      <c r="AU66" s="16"/>
      <c r="AV66" s="184"/>
      <c r="AW66" s="184"/>
      <c r="AX66" s="184"/>
      <c r="AY66" s="184"/>
      <c r="AZ66" s="184"/>
      <c r="BA66" s="184"/>
      <c r="BB66" s="184"/>
      <c r="BC66" s="184"/>
      <c r="BD66" s="184"/>
      <c r="BE66" s="16"/>
      <c r="BF66" s="16"/>
      <c r="BG66" s="16"/>
      <c r="BH66" s="49"/>
      <c r="BI66" s="34"/>
    </row>
    <row r="67" spans="1:61">
      <c r="A67" s="970" t="b">
        <v>0</v>
      </c>
      <c r="B67" s="635"/>
      <c r="C67" s="276"/>
      <c r="D67" s="640"/>
      <c r="E67" s="640"/>
      <c r="F67" s="640"/>
      <c r="G67" s="640"/>
      <c r="H67" s="640"/>
      <c r="I67" s="31"/>
      <c r="J67" s="15"/>
      <c r="K67" s="15"/>
      <c r="L67" s="15"/>
      <c r="M67" s="15"/>
      <c r="N67" s="15"/>
      <c r="O67" s="15"/>
      <c r="P67" s="15"/>
      <c r="Q67" s="15"/>
      <c r="R67" s="15"/>
      <c r="S67" s="31"/>
      <c r="T67" s="31"/>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6"/>
      <c r="BF67" s="16"/>
      <c r="BG67" s="16"/>
      <c r="BH67" s="51"/>
      <c r="BI67" s="16"/>
    </row>
    <row r="68" spans="1:61" ht="7.5" customHeight="1">
      <c r="B68" s="1121"/>
      <c r="C68" s="1122"/>
      <c r="D68" s="1122"/>
      <c r="E68" s="1122"/>
      <c r="F68" s="1122"/>
      <c r="G68" s="1122"/>
      <c r="H68" s="1122"/>
      <c r="I68" s="1122"/>
      <c r="J68" s="1122"/>
      <c r="K68" s="1122"/>
      <c r="L68" s="1122"/>
      <c r="M68" s="1122"/>
      <c r="N68" s="1122"/>
      <c r="O68" s="1122"/>
      <c r="P68" s="1122"/>
      <c r="Q68" s="1122"/>
      <c r="R68" s="1122"/>
      <c r="S68" s="1122"/>
      <c r="T68" s="1122"/>
      <c r="U68" s="1122"/>
      <c r="V68" s="1122"/>
      <c r="W68" s="1122"/>
      <c r="X68" s="1122"/>
      <c r="Y68" s="1122"/>
      <c r="Z68" s="1122"/>
      <c r="AA68" s="1122"/>
      <c r="AB68" s="1122"/>
      <c r="AC68" s="1122"/>
      <c r="AD68" s="1122"/>
      <c r="AE68" s="1122"/>
      <c r="AF68" s="1122"/>
      <c r="AG68" s="1122"/>
      <c r="AH68" s="1122"/>
      <c r="AI68" s="1122"/>
      <c r="AJ68" s="1122"/>
      <c r="AK68" s="1122"/>
      <c r="AL68" s="1122"/>
      <c r="AM68" s="1122"/>
      <c r="AN68" s="1122"/>
      <c r="AO68" s="1122"/>
      <c r="AP68" s="1122"/>
      <c r="AQ68" s="1122"/>
      <c r="AR68" s="1122"/>
      <c r="AS68" s="1122"/>
      <c r="AT68" s="1122"/>
      <c r="AU68" s="1122"/>
      <c r="AV68" s="1122"/>
      <c r="AW68" s="1122"/>
      <c r="AX68" s="1122"/>
      <c r="AY68" s="1122"/>
      <c r="AZ68" s="1122"/>
      <c r="BA68" s="1122"/>
      <c r="BB68" s="1122"/>
      <c r="BC68" s="1122"/>
      <c r="BD68" s="1122"/>
      <c r="BE68" s="1122"/>
      <c r="BF68" s="1122"/>
      <c r="BG68" s="1122"/>
      <c r="BH68" s="1123"/>
      <c r="BI68" s="34"/>
    </row>
    <row r="69" spans="1:61" ht="12.95" customHeight="1">
      <c r="A69" s="254"/>
      <c r="B69" s="48"/>
      <c r="C69" s="577"/>
      <c r="D69" s="578"/>
      <c r="E69" s="578"/>
      <c r="F69" s="578"/>
      <c r="G69" s="578"/>
      <c r="H69" s="578"/>
      <c r="I69" s="578"/>
      <c r="J69" s="578"/>
      <c r="K69" s="578"/>
      <c r="L69" s="578"/>
      <c r="M69" s="578"/>
      <c r="N69" s="578"/>
      <c r="O69" s="578"/>
      <c r="P69" s="578"/>
      <c r="Q69" s="578"/>
      <c r="R69" s="578"/>
      <c r="S69" s="578"/>
      <c r="T69" s="578"/>
      <c r="U69" s="579"/>
      <c r="V69" s="579"/>
      <c r="W69" s="579"/>
      <c r="X69" s="579"/>
      <c r="Y69" s="579"/>
      <c r="Z69" s="579"/>
      <c r="AA69" s="579"/>
      <c r="AB69" s="579"/>
      <c r="AC69" s="579"/>
      <c r="AD69" s="579"/>
      <c r="AE69" s="579"/>
      <c r="AF69" s="579"/>
      <c r="AG69" s="579"/>
      <c r="AH69" s="579"/>
      <c r="AI69" s="580"/>
      <c r="AJ69" s="580"/>
      <c r="AK69" s="580"/>
      <c r="AL69" s="580"/>
      <c r="AM69" s="580"/>
      <c r="AN69" s="580"/>
      <c r="AO69" s="580"/>
      <c r="AP69" s="580"/>
      <c r="AQ69" s="580"/>
      <c r="AR69" s="580"/>
      <c r="AS69" s="580"/>
      <c r="AT69" s="580"/>
      <c r="AU69" s="580"/>
      <c r="AV69" s="580"/>
      <c r="AW69" s="580"/>
      <c r="AX69" s="580"/>
      <c r="AY69" s="580"/>
      <c r="AZ69" s="580"/>
      <c r="BA69" s="580"/>
      <c r="BB69" s="580"/>
      <c r="BC69" s="580"/>
      <c r="BD69" s="580"/>
      <c r="BE69" s="580"/>
      <c r="BF69" s="580"/>
      <c r="BG69" s="580"/>
      <c r="BH69" s="581"/>
      <c r="BI69" s="582"/>
    </row>
    <row r="70" spans="1:61" ht="13.5" customHeight="1">
      <c r="B70" s="48"/>
      <c r="C70" s="578"/>
      <c r="D70" s="578"/>
      <c r="E70" s="578"/>
      <c r="F70" s="578"/>
      <c r="G70" s="578"/>
      <c r="H70" s="578"/>
      <c r="I70" s="578"/>
      <c r="J70" s="578"/>
      <c r="K70" s="578"/>
      <c r="L70" s="578"/>
      <c r="M70" s="578"/>
      <c r="N70" s="578"/>
      <c r="O70" s="578"/>
      <c r="P70" s="578"/>
      <c r="Q70" s="578"/>
      <c r="R70" s="578"/>
      <c r="S70" s="578"/>
      <c r="T70" s="578"/>
      <c r="U70" s="579"/>
      <c r="V70" s="579"/>
      <c r="W70" s="579"/>
      <c r="X70" s="579"/>
      <c r="Y70" s="579"/>
      <c r="Z70" s="579"/>
      <c r="AA70" s="579"/>
      <c r="AB70" s="579"/>
      <c r="AC70" s="579"/>
      <c r="AD70" s="579"/>
      <c r="AE70" s="579"/>
      <c r="AF70" s="579"/>
      <c r="AG70" s="579"/>
      <c r="AH70" s="579"/>
      <c r="AI70" s="580"/>
      <c r="AJ70" s="580"/>
      <c r="AK70" s="580"/>
      <c r="AL70" s="580"/>
      <c r="AM70" s="580"/>
      <c r="AN70" s="580"/>
      <c r="AO70" s="580"/>
      <c r="AP70" s="580"/>
      <c r="AQ70" s="580"/>
      <c r="AR70" s="580"/>
      <c r="AS70" s="580"/>
      <c r="AT70" s="580"/>
      <c r="AU70" s="580"/>
      <c r="AV70" s="580"/>
      <c r="AW70" s="38"/>
      <c r="AX70" s="38"/>
      <c r="AY70" s="38"/>
      <c r="AZ70" s="38"/>
      <c r="BA70" s="38"/>
      <c r="BB70" s="38"/>
      <c r="BC70" s="38"/>
      <c r="BD70" s="38"/>
      <c r="BE70" s="580"/>
      <c r="BF70" s="580"/>
      <c r="BG70" s="580"/>
      <c r="BH70" s="581"/>
      <c r="BI70" s="582"/>
    </row>
    <row r="71" spans="1:61" s="493" customFormat="1" ht="19.5" customHeight="1">
      <c r="A71" s="241"/>
      <c r="B71" s="583"/>
      <c r="C71" s="495"/>
      <c r="D71" s="584" t="str">
        <f>VLOOKUP(pos(D71),'Language-Sprachen'!$A$120:$G$159,'Language-Sprachen'!$A$3,0)</f>
        <v>Responsible for downgrading</v>
      </c>
      <c r="E71" s="585"/>
      <c r="F71" s="585"/>
      <c r="G71" s="495"/>
      <c r="H71" s="585"/>
      <c r="I71" s="586"/>
      <c r="J71" s="586"/>
      <c r="K71" s="586"/>
      <c r="L71" s="586"/>
      <c r="M71" s="1525"/>
      <c r="N71" s="1525"/>
      <c r="O71" s="1525"/>
      <c r="P71" s="1525"/>
      <c r="Q71" s="1525"/>
      <c r="R71" s="1525"/>
      <c r="S71" s="1525"/>
      <c r="T71" s="1525"/>
      <c r="U71" s="587" t="str">
        <f>VLOOKUP(pos(U71),'Language-Sprachen'!$A$120:$G$159,'Language-Sprachen'!$A$3,0)</f>
        <v>Overall compliance EG (PGN) [%] for each product group</v>
      </c>
      <c r="V71" s="579"/>
      <c r="X71" s="579"/>
      <c r="Y71" s="579"/>
      <c r="Z71" s="579"/>
      <c r="AA71" s="579"/>
      <c r="AB71" s="579"/>
      <c r="AC71" s="579"/>
      <c r="AD71" s="579"/>
      <c r="AE71" s="579"/>
      <c r="AF71" s="579"/>
      <c r="AG71" s="579"/>
      <c r="AH71" s="579"/>
      <c r="AI71" s="588"/>
      <c r="AJ71" s="588"/>
      <c r="AK71" s="588"/>
      <c r="AL71" s="588"/>
      <c r="AM71" s="588"/>
      <c r="AN71" s="588"/>
      <c r="AO71" s="588"/>
      <c r="AP71" s="588"/>
      <c r="AQ71" s="588"/>
      <c r="AR71" s="588"/>
      <c r="AS71" s="588"/>
      <c r="AT71" s="588"/>
      <c r="AU71" s="589" t="str">
        <f>VLOOKUP(pos(AU71),'Language-Sprachen'!$A$120:$G$159,'Language-Sprachen'!$A$3,0)</f>
        <v>Overall compliance EG:</v>
      </c>
      <c r="AV71" s="590"/>
      <c r="AW71" s="591"/>
      <c r="AX71" s="591"/>
      <c r="AY71" s="591"/>
      <c r="AZ71" s="591"/>
      <c r="BA71" s="591"/>
      <c r="BB71" s="591"/>
      <c r="BC71" s="591"/>
      <c r="BD71" s="591"/>
      <c r="BE71" s="580"/>
      <c r="BF71" s="580"/>
      <c r="BG71" s="580"/>
      <c r="BH71" s="592"/>
      <c r="BI71" s="593"/>
    </row>
    <row r="72" spans="1:61" ht="12" customHeight="1" thickBot="1">
      <c r="B72" s="48"/>
      <c r="C72" s="578"/>
      <c r="D72" s="1499"/>
      <c r="E72" s="1499"/>
      <c r="F72" s="1499"/>
      <c r="G72" s="1499"/>
      <c r="H72" s="1499"/>
      <c r="I72" s="1500"/>
      <c r="J72" s="1500"/>
      <c r="K72" s="1500"/>
      <c r="L72" s="1500"/>
      <c r="M72" s="1500"/>
      <c r="N72" s="1500"/>
      <c r="O72" s="1500"/>
      <c r="P72" s="1500"/>
      <c r="Q72" s="1500"/>
      <c r="R72" s="1500"/>
      <c r="S72" s="1500"/>
      <c r="T72" s="1500"/>
      <c r="U72" s="579"/>
      <c r="V72" s="579"/>
      <c r="W72" s="579"/>
      <c r="X72" s="579"/>
      <c r="Y72" s="579"/>
      <c r="Z72" s="579"/>
      <c r="AA72" s="579"/>
      <c r="AB72" s="579"/>
      <c r="AC72" s="579"/>
      <c r="AD72" s="579"/>
      <c r="AE72" s="579"/>
      <c r="AF72" s="579"/>
      <c r="AG72" s="579"/>
      <c r="AH72" s="579"/>
      <c r="AI72" s="588"/>
      <c r="AJ72" s="588"/>
      <c r="AK72" s="588"/>
      <c r="AL72" s="588"/>
      <c r="AM72" s="588"/>
      <c r="AN72" s="588"/>
      <c r="AO72" s="588"/>
      <c r="AP72" s="588"/>
      <c r="AQ72" s="588"/>
      <c r="AR72" s="588"/>
      <c r="AS72" s="588"/>
      <c r="AT72" s="588"/>
      <c r="AU72" s="38"/>
      <c r="AV72" s="38"/>
      <c r="AW72" s="591"/>
      <c r="AX72" s="591"/>
      <c r="AY72" s="591"/>
      <c r="AZ72" s="591"/>
      <c r="BA72" s="591"/>
      <c r="BB72" s="591"/>
      <c r="BC72" s="591"/>
      <c r="BD72" s="591"/>
      <c r="BE72" s="580"/>
      <c r="BF72" s="580"/>
      <c r="BG72" s="580"/>
      <c r="BH72" s="581"/>
      <c r="BI72" s="582"/>
    </row>
    <row r="73" spans="1:61" ht="19.5" customHeight="1" thickBot="1">
      <c r="B73" s="48"/>
      <c r="C73" s="38"/>
      <c r="D73" s="594" t="str">
        <f>+IF(K163=$AI$35,$AI$35,+IF(K163&lt;80%,"C",+IF(K163&lt;90%,"B","A")))</f>
        <v>A</v>
      </c>
      <c r="E73" s="595" t="str">
        <f>VLOOKUP(pos(E73),'Language-Sprachen'!$A$120:$G$159,'Language-Sprachen'!$A$3,0)</f>
        <v>Calculated EG, C&lt;80, B&lt;90</v>
      </c>
      <c r="F73" s="596"/>
      <c r="G73" s="596"/>
      <c r="H73" s="596"/>
      <c r="I73" s="596"/>
      <c r="J73" s="596"/>
      <c r="K73" s="596"/>
      <c r="L73" s="596"/>
      <c r="M73" s="597"/>
      <c r="N73" s="597"/>
      <c r="O73" s="598"/>
      <c r="P73" s="598"/>
      <c r="Q73" s="598"/>
      <c r="R73" s="599"/>
      <c r="S73" s="38"/>
      <c r="T73" s="578"/>
      <c r="U73" s="579"/>
      <c r="V73" s="579"/>
      <c r="W73" s="579"/>
      <c r="X73" s="579"/>
      <c r="Y73" s="579"/>
      <c r="Z73" s="579"/>
      <c r="AA73" s="579"/>
      <c r="AB73" s="579"/>
      <c r="AC73" s="579"/>
      <c r="AD73" s="579"/>
      <c r="AE73" s="579"/>
      <c r="AF73" s="579"/>
      <c r="AG73" s="579"/>
      <c r="AH73" s="579"/>
      <c r="AI73" s="588"/>
      <c r="AJ73" s="588"/>
      <c r="AK73" s="588"/>
      <c r="AL73" s="588"/>
      <c r="AM73" s="588"/>
      <c r="AN73" s="588"/>
      <c r="AO73" s="588"/>
      <c r="AP73" s="588"/>
      <c r="AQ73" s="588"/>
      <c r="AR73" s="588"/>
      <c r="AS73" s="588"/>
      <c r="AT73" s="588"/>
      <c r="AU73" s="600"/>
      <c r="AV73" s="600"/>
      <c r="AW73" s="591"/>
      <c r="AX73" s="591"/>
      <c r="AY73" s="591"/>
      <c r="AZ73" s="591"/>
      <c r="BA73" s="591"/>
      <c r="BB73" s="591"/>
      <c r="BC73" s="591"/>
      <c r="BD73" s="591"/>
      <c r="BE73" s="580"/>
      <c r="BF73" s="580"/>
      <c r="BG73" s="580"/>
      <c r="BH73" s="581"/>
      <c r="BI73" s="582"/>
    </row>
    <row r="74" spans="1:61" ht="18">
      <c r="B74" s="48"/>
      <c r="C74" s="38"/>
      <c r="D74" s="601" t="str">
        <f>+E160</f>
        <v>A</v>
      </c>
      <c r="E74" s="602" t="str">
        <f>VLOOKUP(pos(E74),'Language-Sprachen'!$A$120:$G$159,'Language-Sprachen'!$A$3,0)</f>
        <v xml:space="preserve">Asterisk questions for EG, minimum 1 question with 4 ratings = "B", minimum 1 question with 0 = "C"  </v>
      </c>
      <c r="F74" s="603"/>
      <c r="G74" s="603"/>
      <c r="H74" s="603"/>
      <c r="I74" s="603"/>
      <c r="J74" s="603"/>
      <c r="K74" s="603"/>
      <c r="L74" s="603"/>
      <c r="M74" s="267"/>
      <c r="N74" s="267"/>
      <c r="O74" s="604"/>
      <c r="P74" s="604"/>
      <c r="Q74" s="604"/>
      <c r="R74" s="605"/>
      <c r="S74" s="38"/>
      <c r="T74" s="1537" t="str">
        <f>'Input Form - EingabeMaske'!D37</f>
        <v>Process Step No.:</v>
      </c>
      <c r="U74" s="1538"/>
      <c r="V74" s="1539"/>
      <c r="W74" s="1543" t="str">
        <f>'Input Form - EingabeMaske'!B33</f>
        <v>Product Group(s):</v>
      </c>
      <c r="X74" s="1544"/>
      <c r="Y74" s="1544"/>
      <c r="Z74" s="1544"/>
      <c r="AA74" s="1545"/>
      <c r="AB74" s="1549" t="s">
        <v>258</v>
      </c>
      <c r="AC74" s="1550"/>
      <c r="AD74" s="1549" t="str">
        <f>VLOOKUP(pos(AD74),'Language-Sprachen'!$A$120:$G$159,'Language-Sprachen'!$A$3,0)</f>
        <v>Rating</v>
      </c>
      <c r="AE74" s="1553" t="e">
        <f>VLOOKUP(pos(AE74),'Language-Sprachen'!$A$120:$G$159,'Language-Sprachen'!$A$3,0)</f>
        <v>#N/A</v>
      </c>
      <c r="AF74" s="1550" t="e">
        <f>VLOOKUP(pos(AF74),'Language-Sprachen'!$A$120:$G$159,'Language-Sprachen'!$A$3,0)</f>
        <v>#N/A</v>
      </c>
      <c r="AG74" s="579"/>
      <c r="AH74" s="579"/>
      <c r="AI74" s="260"/>
      <c r="AJ74" s="260"/>
      <c r="AK74" s="260"/>
      <c r="AL74" s="260"/>
      <c r="AM74" s="579"/>
      <c r="AN74" s="579"/>
      <c r="AO74" s="579"/>
      <c r="AP74" s="579"/>
      <c r="AR74" s="38"/>
      <c r="AS74" s="589"/>
      <c r="AT74" s="589"/>
      <c r="AU74" s="589"/>
      <c r="AV74" s="589"/>
      <c r="AW74" s="589"/>
      <c r="AX74" s="589"/>
      <c r="AY74" s="589"/>
      <c r="AZ74" s="589"/>
      <c r="BA74" s="589"/>
      <c r="BB74" s="589"/>
      <c r="BC74" s="589"/>
      <c r="BD74" s="600"/>
      <c r="BE74" s="606"/>
      <c r="BF74" s="600"/>
      <c r="BG74" s="600"/>
      <c r="BH74" s="581"/>
      <c r="BI74" s="582"/>
    </row>
    <row r="75" spans="1:61" ht="16.5" thickBot="1">
      <c r="B75" s="48"/>
      <c r="C75" s="38"/>
      <c r="D75" s="607" t="str">
        <f>IF(COUNTIF(A8:A66,Z65)=16,Z65,+IF(COUNTIF((A8:A66),"C")&gt;=1,"C",+IF(+COUNTIF((A8:A66),"B")&gt;=1,"B","A")))</f>
        <v>A</v>
      </c>
      <c r="E75" s="602" t="str">
        <f>VLOOKUP(pos(E75),'Language-Sprachen'!$A$120:$G$159,'Language-Sprachen'!$A$3,0)</f>
        <v>No question rated 0, otherwise "B"</v>
      </c>
      <c r="F75" s="603"/>
      <c r="G75" s="603"/>
      <c r="H75" s="603"/>
      <c r="I75" s="603"/>
      <c r="J75" s="603"/>
      <c r="K75" s="603"/>
      <c r="L75" s="603"/>
      <c r="M75" s="267"/>
      <c r="N75" s="267"/>
      <c r="O75" s="604"/>
      <c r="P75" s="604"/>
      <c r="Q75" s="604"/>
      <c r="R75" s="605"/>
      <c r="S75" s="38"/>
      <c r="T75" s="1540"/>
      <c r="U75" s="1541"/>
      <c r="V75" s="1542"/>
      <c r="W75" s="1546"/>
      <c r="X75" s="1547"/>
      <c r="Y75" s="1547"/>
      <c r="Z75" s="1547"/>
      <c r="AA75" s="1548"/>
      <c r="AB75" s="1551"/>
      <c r="AC75" s="1552"/>
      <c r="AD75" s="1554" t="e">
        <f>VLOOKUP(pos(AD75),'Language-Sprachen'!$A$120:$G$159,'Language-Sprachen'!$A$3,0)</f>
        <v>#N/A</v>
      </c>
      <c r="AE75" s="1555" t="e">
        <f>VLOOKUP(pos(AE75),'Language-Sprachen'!$A$120:$G$159,'Language-Sprachen'!$A$3,0)</f>
        <v>#N/A</v>
      </c>
      <c r="AF75" s="1556" t="e">
        <f>VLOOKUP(pos(AF75),'Language-Sprachen'!$A$120:$G$159,'Language-Sprachen'!$A$3,0)</f>
        <v>#N/A</v>
      </c>
      <c r="AG75" s="579"/>
      <c r="AH75" s="579"/>
      <c r="AI75" s="608"/>
      <c r="AJ75" s="608"/>
      <c r="AK75" s="608"/>
      <c r="AL75" s="1454" t="str">
        <f>VLOOKUP(pos(AL75),'Language-Sprachen'!$A$120:$G$159,'Language-Sprachen'!$A$3,0)</f>
        <v>Total points awarded for the relevant questions</v>
      </c>
      <c r="AM75" s="1454" t="e">
        <f>VLOOKUP(pos(AM75),'Language-Sprachen'!$A$120:$G$159,'Language-Sprachen'!$A$3,0)</f>
        <v>#N/A</v>
      </c>
      <c r="AN75" s="1454" t="e">
        <f>VLOOKUP(pos(AN75),'Language-Sprachen'!$A$120:$G$159,'Language-Sprachen'!$A$3,0)</f>
        <v>#N/A</v>
      </c>
      <c r="AO75" s="1454" t="e">
        <f>VLOOKUP(pos(AO75),'Language-Sprachen'!$A$120:$G$159,'Language-Sprachen'!$A$3,0)</f>
        <v>#N/A</v>
      </c>
      <c r="AP75" s="1454" t="e">
        <f>VLOOKUP(pos(AP75),'Language-Sprachen'!$A$120:$G$159,'Language-Sprachen'!$A$3,0)</f>
        <v>#N/A</v>
      </c>
      <c r="AQ75" s="1454" t="e">
        <f>VLOOKUP(pos(AQ75),'Language-Sprachen'!$A$120:$G$159,'Language-Sprachen'!$A$3,0)</f>
        <v>#N/A</v>
      </c>
      <c r="AR75" s="1454" t="e">
        <f>VLOOKUP(pos(AR75),'Language-Sprachen'!$A$120:$G$159,'Language-Sprachen'!$A$3,0)</f>
        <v>#N/A</v>
      </c>
      <c r="AS75" s="1454" t="e">
        <f>VLOOKUP(pos(AS75),'Language-Sprachen'!$A$120:$G$159,'Language-Sprachen'!$A$3,0)</f>
        <v>#N/A</v>
      </c>
      <c r="AT75" s="1454" t="e">
        <f>VLOOKUP(pos(AT75),'Language-Sprachen'!$A$120:$G$159,'Language-Sprachen'!$A$3,0)</f>
        <v>#N/A</v>
      </c>
      <c r="AU75" s="1454" t="e">
        <f>VLOOKUP(pos(AU75),'Language-Sprachen'!$A$120:$G$159,'Language-Sprachen'!$A$3,0)</f>
        <v>#N/A</v>
      </c>
      <c r="AV75" s="1454" t="e">
        <f>VLOOKUP(pos(AV75),'Language-Sprachen'!$A$120:$G$159,'Language-Sprachen'!$A$3,0)</f>
        <v>#N/A</v>
      </c>
      <c r="AW75" s="1454" t="e">
        <f>VLOOKUP(pos(AW75),'Language-Sprachen'!$A$120:$G$159,'Language-Sprachen'!$A$3,0)</f>
        <v>#N/A</v>
      </c>
      <c r="AX75" s="1454" t="e">
        <f>VLOOKUP(pos(AX75),'Language-Sprachen'!$A$120:$G$159,'Language-Sprachen'!$A$3,0)</f>
        <v>#N/A</v>
      </c>
      <c r="AY75" s="1587">
        <f>SUM(O8,AI14,AP22,W29,AM59,AD66)</f>
        <v>204</v>
      </c>
      <c r="AZ75" s="1587"/>
      <c r="BA75" s="741"/>
      <c r="BB75" s="1453" t="s">
        <v>257</v>
      </c>
      <c r="BC75" s="1453"/>
      <c r="BD75" s="1453"/>
      <c r="BE75" s="1453" t="str">
        <f>AD74</f>
        <v>Rating</v>
      </c>
      <c r="BF75" s="1453"/>
      <c r="BG75" s="609"/>
      <c r="BH75" s="581"/>
      <c r="BI75" s="582"/>
    </row>
    <row r="76" spans="1:61" ht="15.75">
      <c r="B76" s="48"/>
      <c r="C76" s="38"/>
      <c r="D76" s="601" t="str">
        <f>+AD166</f>
        <v>A</v>
      </c>
      <c r="E76" s="602" t="str">
        <f>VLOOKUP(pos(E76),'Language-Sprachen'!$A$120:$G$159,'Language-Sprachen'!$A$3,0)</f>
        <v>Eu1…Eu7, &lt;80% rated "B"</v>
      </c>
      <c r="F76" s="603"/>
      <c r="G76" s="603"/>
      <c r="H76" s="603"/>
      <c r="I76" s="603"/>
      <c r="J76" s="603"/>
      <c r="K76" s="603"/>
      <c r="L76" s="603"/>
      <c r="M76" s="267"/>
      <c r="N76" s="267"/>
      <c r="O76" s="604"/>
      <c r="P76" s="604"/>
      <c r="Q76" s="604"/>
      <c r="R76" s="605"/>
      <c r="S76" s="38"/>
      <c r="T76" s="1557">
        <f>'Input Form - EingabeMaske'!D38</f>
        <v>2</v>
      </c>
      <c r="U76" s="1558"/>
      <c r="V76" s="1559"/>
      <c r="W76" s="1560" t="str">
        <f>'Input Form - EingabeMaske'!C34</f>
        <v>Billets</v>
      </c>
      <c r="X76" s="1561"/>
      <c r="Y76" s="1561"/>
      <c r="Z76" s="1561"/>
      <c r="AA76" s="1562"/>
      <c r="AB76" s="1563">
        <f>PrGr1!BB76</f>
        <v>0.97</v>
      </c>
      <c r="AC76" s="1564"/>
      <c r="AD76" s="1565" t="str">
        <f>PrGr1!BE76</f>
        <v>A</v>
      </c>
      <c r="AE76" s="1566"/>
      <c r="AF76" s="1567"/>
      <c r="AG76" s="579"/>
      <c r="AH76" s="579"/>
      <c r="AI76" s="608"/>
      <c r="AJ76" s="608"/>
      <c r="AK76" s="608"/>
      <c r="AL76" s="1454" t="e">
        <f>VLOOKUP(pos(AL76),'Language-Sprachen'!$A$120:$G$159,'Language-Sprachen'!$A$3,0)</f>
        <v>#N/A</v>
      </c>
      <c r="AM76" s="1454" t="e">
        <f>VLOOKUP(pos(AM76),'Language-Sprachen'!$A$120:$G$159,'Language-Sprachen'!$A$3,0)</f>
        <v>#N/A</v>
      </c>
      <c r="AN76" s="1454" t="e">
        <f>VLOOKUP(pos(AN76),'Language-Sprachen'!$A$120:$G$159,'Language-Sprachen'!$A$3,0)</f>
        <v>#N/A</v>
      </c>
      <c r="AO76" s="1454" t="e">
        <f>VLOOKUP(pos(AO76),'Language-Sprachen'!$A$120:$G$159,'Language-Sprachen'!$A$3,0)</f>
        <v>#N/A</v>
      </c>
      <c r="AP76" s="1454" t="e">
        <f>VLOOKUP(pos(AP76),'Language-Sprachen'!$A$120:$G$159,'Language-Sprachen'!$A$3,0)</f>
        <v>#N/A</v>
      </c>
      <c r="AQ76" s="1454" t="e">
        <f>VLOOKUP(pos(AQ76),'Language-Sprachen'!$A$120:$G$159,'Language-Sprachen'!$A$3,0)</f>
        <v>#N/A</v>
      </c>
      <c r="AR76" s="1454" t="e">
        <f>VLOOKUP(pos(AR76),'Language-Sprachen'!$A$120:$G$159,'Language-Sprachen'!$A$3,0)</f>
        <v>#N/A</v>
      </c>
      <c r="AS76" s="1454" t="e">
        <f>VLOOKUP(pos(AS76),'Language-Sprachen'!$A$120:$G$159,'Language-Sprachen'!$A$3,0)</f>
        <v>#N/A</v>
      </c>
      <c r="AT76" s="1454" t="e">
        <f>VLOOKUP(pos(AT76),'Language-Sprachen'!$A$120:$G$159,'Language-Sprachen'!$A$3,0)</f>
        <v>#N/A</v>
      </c>
      <c r="AU76" s="1454" t="e">
        <f>VLOOKUP(pos(AU76),'Language-Sprachen'!$A$120:$G$159,'Language-Sprachen'!$A$3,0)</f>
        <v>#N/A</v>
      </c>
      <c r="AV76" s="1454" t="e">
        <f>VLOOKUP(pos(AV76),'Language-Sprachen'!$A$120:$G$159,'Language-Sprachen'!$A$3,0)</f>
        <v>#N/A</v>
      </c>
      <c r="AW76" s="1454" t="e">
        <f>VLOOKUP(pos(AW76),'Language-Sprachen'!$A$120:$G$159,'Language-Sprachen'!$A$3,0)</f>
        <v>#N/A</v>
      </c>
      <c r="AX76" s="1454" t="e">
        <f>VLOOKUP(pos(AX76),'Language-Sprachen'!$A$120:$G$159,'Language-Sprachen'!$A$3,0)</f>
        <v>#N/A</v>
      </c>
      <c r="AY76" s="1587"/>
      <c r="AZ76" s="1587"/>
      <c r="BA76" s="741"/>
      <c r="BB76" s="1455">
        <f>IF(ISERROR(AVERAGE(epm,epp,epr,ez,epg,ek)),$AI$35,ROUND(AY75/AY78,2))</f>
        <v>0.97</v>
      </c>
      <c r="BC76" s="1456"/>
      <c r="BD76" s="1457"/>
      <c r="BE76" s="1590" t="str">
        <f>+IF(BB76=$AI$35,$AI$35,+D79)</f>
        <v>A</v>
      </c>
      <c r="BF76" s="1591"/>
      <c r="BG76" s="609"/>
      <c r="BH76" s="581"/>
      <c r="BI76" s="582"/>
    </row>
    <row r="77" spans="1:61" ht="16.5" customHeight="1">
      <c r="B77" s="48"/>
      <c r="C77" s="38"/>
      <c r="D77" s="601" t="str">
        <f>+AD181</f>
        <v>A</v>
      </c>
      <c r="E77" s="602" t="str">
        <f>VLOOKUP(pos(E77),'Language-Sprachen'!$A$120:$G$159,'Language-Sprachen'!$A$3,0)</f>
        <v>E1…E10, &lt;80% rated "B", &lt;70% rated "C"</v>
      </c>
      <c r="F77" s="603"/>
      <c r="G77" s="603"/>
      <c r="H77" s="603"/>
      <c r="I77" s="603"/>
      <c r="J77" s="603"/>
      <c r="K77" s="603"/>
      <c r="L77" s="603"/>
      <c r="M77" s="267"/>
      <c r="N77" s="267"/>
      <c r="O77" s="604"/>
      <c r="P77" s="604"/>
      <c r="Q77" s="604"/>
      <c r="R77" s="605"/>
      <c r="S77" s="38"/>
      <c r="T77" s="1568">
        <f>'Input Form - EingabeMaske'!D39</f>
        <v>3</v>
      </c>
      <c r="U77" s="1569"/>
      <c r="V77" s="1570"/>
      <c r="W77" s="1571">
        <f>'Input Form - EingabeMaske'!D34</f>
        <v>0</v>
      </c>
      <c r="X77" s="1572"/>
      <c r="Y77" s="1572"/>
      <c r="Z77" s="1572"/>
      <c r="AA77" s="1573"/>
      <c r="AB77" s="1464" t="str">
        <f>PrGr2!BB62</f>
        <v>n.e.</v>
      </c>
      <c r="AC77" s="1465"/>
      <c r="AD77" s="1466" t="str">
        <f>PrGr2!BE62</f>
        <v>n.e.</v>
      </c>
      <c r="AE77" s="1467"/>
      <c r="AF77" s="1468"/>
      <c r="AG77" s="579"/>
      <c r="AH77" s="579"/>
      <c r="AI77" s="608"/>
      <c r="AJ77" s="608"/>
      <c r="AK77" s="608"/>
      <c r="AL77" s="490" t="s">
        <v>259</v>
      </c>
      <c r="AM77" s="490"/>
      <c r="AN77" s="490"/>
      <c r="AO77" s="490"/>
      <c r="AP77" s="490"/>
      <c r="AQ77" s="490"/>
      <c r="AR77" s="490"/>
      <c r="AS77" s="490"/>
      <c r="AT77" s="490"/>
      <c r="AU77" s="490"/>
      <c r="AV77" s="490"/>
      <c r="AW77" s="490"/>
      <c r="AX77" s="490"/>
      <c r="AY77" s="490"/>
      <c r="AZ77" s="490"/>
      <c r="BA77" s="490"/>
      <c r="BB77" s="1458"/>
      <c r="BC77" s="1459"/>
      <c r="BD77" s="1460"/>
      <c r="BE77" s="1592"/>
      <c r="BF77" s="1593"/>
      <c r="BG77" s="610"/>
      <c r="BH77" s="581"/>
      <c r="BI77" s="582"/>
    </row>
    <row r="78" spans="1:61" ht="16.5" customHeight="1" thickBot="1">
      <c r="B78" s="48"/>
      <c r="C78" s="38"/>
      <c r="D78" s="601" t="str">
        <f>++IF(K163=$AI$35,$AI$35,+IF(MIN(epm,ede,epe,elm,ek,epg)&lt;70%,"C",+IF(MIN(epm,ede,epe,elm,ek,epg)&lt;80%,"B","A")))</f>
        <v>A</v>
      </c>
      <c r="E78" s="602" t="str">
        <f>VLOOKUP(pos(E78),'Language-Sprachen'!$A$120:$G$159,'Language-Sprachen'!$A$3,0)</f>
        <v>Sub ratings Ep2, Ep3, Ep4, Ep5, Ep6, Ep7 &lt;80% rate "B", &lt;70% rate "C"</v>
      </c>
      <c r="F78" s="603"/>
      <c r="G78" s="603"/>
      <c r="H78" s="603"/>
      <c r="I78" s="603"/>
      <c r="J78" s="603"/>
      <c r="K78" s="603"/>
      <c r="L78" s="603"/>
      <c r="M78" s="267"/>
      <c r="N78" s="267"/>
      <c r="O78" s="604"/>
      <c r="P78" s="604"/>
      <c r="Q78" s="604"/>
      <c r="R78" s="605"/>
      <c r="S78" s="38"/>
      <c r="T78" s="1568">
        <f>'Input Form - EingabeMaske'!D40</f>
        <v>5</v>
      </c>
      <c r="U78" s="1569"/>
      <c r="V78" s="1570"/>
      <c r="W78" s="1571">
        <f>'Input Form - EingabeMaske'!E34</f>
        <v>0</v>
      </c>
      <c r="X78" s="1572"/>
      <c r="Y78" s="1572"/>
      <c r="Z78" s="1572"/>
      <c r="AA78" s="1573"/>
      <c r="AB78" s="1464" t="str">
        <f>PrGr3!BB62</f>
        <v>n.e.</v>
      </c>
      <c r="AC78" s="1465"/>
      <c r="AD78" s="1466" t="str">
        <f>PrGr3!BE62</f>
        <v>n.e.</v>
      </c>
      <c r="AE78" s="1467"/>
      <c r="AF78" s="1468"/>
      <c r="AG78" s="579"/>
      <c r="AH78" s="579"/>
      <c r="AI78" s="608"/>
      <c r="AJ78" s="608"/>
      <c r="AK78" s="608"/>
      <c r="AL78" s="1454" t="str">
        <f>VLOOKUP(pos(AL78),'Language-Sprachen'!$A$120:$G$159,'Language-Sprachen'!$A$3,0)</f>
        <v>Total possible number of points for the relevant questions</v>
      </c>
      <c r="AM78" s="1454" t="e">
        <f>VLOOKUP(pos(AM78),'Language-Sprachen'!$A$120:$G$159,'Language-Sprachen'!$A$3,0)</f>
        <v>#N/A</v>
      </c>
      <c r="AN78" s="1454" t="e">
        <f>VLOOKUP(pos(AN78),'Language-Sprachen'!$A$120:$G$159,'Language-Sprachen'!$A$3,0)</f>
        <v>#N/A</v>
      </c>
      <c r="AO78" s="1454" t="e">
        <f>VLOOKUP(pos(AO78),'Language-Sprachen'!$A$120:$G$159,'Language-Sprachen'!$A$3,0)</f>
        <v>#N/A</v>
      </c>
      <c r="AP78" s="1454" t="e">
        <f>VLOOKUP(pos(AP78),'Language-Sprachen'!$A$120:$G$159,'Language-Sprachen'!$A$3,0)</f>
        <v>#N/A</v>
      </c>
      <c r="AQ78" s="1454" t="e">
        <f>VLOOKUP(pos(AQ78),'Language-Sprachen'!$A$120:$G$159,'Language-Sprachen'!$A$3,0)</f>
        <v>#N/A</v>
      </c>
      <c r="AR78" s="1454" t="e">
        <f>VLOOKUP(pos(AR78),'Language-Sprachen'!$A$120:$G$159,'Language-Sprachen'!$A$3,0)</f>
        <v>#N/A</v>
      </c>
      <c r="AS78" s="1454" t="e">
        <f>VLOOKUP(pos(AS78),'Language-Sprachen'!$A$120:$G$159,'Language-Sprachen'!$A$3,0)</f>
        <v>#N/A</v>
      </c>
      <c r="AT78" s="1454" t="e">
        <f>VLOOKUP(pos(AT78),'Language-Sprachen'!$A$120:$G$159,'Language-Sprachen'!$A$3,0)</f>
        <v>#N/A</v>
      </c>
      <c r="AU78" s="1454" t="e">
        <f>VLOOKUP(pos(AU78),'Language-Sprachen'!$A$120:$G$159,'Language-Sprachen'!$A$3,0)</f>
        <v>#N/A</v>
      </c>
      <c r="AV78" s="1454" t="e">
        <f>VLOOKUP(pos(AV78),'Language-Sprachen'!$A$120:$G$159,'Language-Sprachen'!$A$3,0)</f>
        <v>#N/A</v>
      </c>
      <c r="AW78" s="1454" t="e">
        <f>VLOOKUP(pos(AW78),'Language-Sprachen'!$A$120:$G$159,'Language-Sprachen'!$A$3,0)</f>
        <v>#N/A</v>
      </c>
      <c r="AX78" s="1454" t="e">
        <f>VLOOKUP(pos(AX78),'Language-Sprachen'!$A$120:$G$159,'Language-Sprachen'!$A$3,0)</f>
        <v>#N/A</v>
      </c>
      <c r="AY78" s="1587">
        <f>SUM(N8,AH14,AO22,V29,AL59,AC66)</f>
        <v>210</v>
      </c>
      <c r="AZ78" s="1587"/>
      <c r="BA78" s="741"/>
      <c r="BB78" s="1461"/>
      <c r="BC78" s="1462"/>
      <c r="BD78" s="1463"/>
      <c r="BE78" s="1594"/>
      <c r="BF78" s="1595"/>
      <c r="BG78" s="610"/>
      <c r="BH78" s="581"/>
      <c r="BI78" s="582"/>
    </row>
    <row r="79" spans="1:61" ht="16.5" customHeight="1" thickBot="1">
      <c r="B79" s="48"/>
      <c r="C79" s="38"/>
      <c r="D79" s="611" t="str">
        <f>IF(COUNTIF(D73:D78,$AI$35)=6,$AI$35,IF(COUNTIF(D73:D78,"C")&gt;=1,"C",IF(COUNTIF(D73:D78,"B")&gt;=1,"B","A")))</f>
        <v>A</v>
      </c>
      <c r="E79" s="612" t="str">
        <f>AU71</f>
        <v>Overall compliance EG:</v>
      </c>
      <c r="F79" s="613"/>
      <c r="G79" s="613"/>
      <c r="H79" s="613"/>
      <c r="I79" s="613"/>
      <c r="J79" s="613"/>
      <c r="K79" s="613"/>
      <c r="L79" s="613"/>
      <c r="M79" s="614"/>
      <c r="N79" s="614"/>
      <c r="O79" s="615"/>
      <c r="P79" s="615"/>
      <c r="Q79" s="615"/>
      <c r="R79" s="616"/>
      <c r="S79" s="38"/>
      <c r="T79" s="1526">
        <f>'Input Form - EingabeMaske'!D41</f>
        <v>4</v>
      </c>
      <c r="U79" s="1527"/>
      <c r="V79" s="1528"/>
      <c r="W79" s="1529">
        <f>'Input Form - EingabeMaske'!F34</f>
        <v>0</v>
      </c>
      <c r="X79" s="1530"/>
      <c r="Y79" s="1530"/>
      <c r="Z79" s="1530"/>
      <c r="AA79" s="1531"/>
      <c r="AB79" s="1532" t="str">
        <f>PrGr4!BB62</f>
        <v>n.e.</v>
      </c>
      <c r="AC79" s="1533"/>
      <c r="AD79" s="1534" t="str">
        <f>PrGr4!BE62</f>
        <v>n.e.</v>
      </c>
      <c r="AE79" s="1535"/>
      <c r="AF79" s="1536"/>
      <c r="AG79" s="579"/>
      <c r="AH79" s="579"/>
      <c r="AI79" s="608"/>
      <c r="AJ79" s="608"/>
      <c r="AK79" s="608"/>
      <c r="AL79" s="1454" t="e">
        <f>VLOOKUP(pos(AL79),'Language-Sprachen'!$A$120:$G$159,'Language-Sprachen'!$A$3,0)</f>
        <v>#N/A</v>
      </c>
      <c r="AM79" s="1454" t="e">
        <f>VLOOKUP(pos(AM79),'Language-Sprachen'!$A$120:$G$159,'Language-Sprachen'!$A$3,0)</f>
        <v>#N/A</v>
      </c>
      <c r="AN79" s="1454" t="e">
        <f>VLOOKUP(pos(AN79),'Language-Sprachen'!$A$120:$G$159,'Language-Sprachen'!$A$3,0)</f>
        <v>#N/A</v>
      </c>
      <c r="AO79" s="1454" t="e">
        <f>VLOOKUP(pos(AO79),'Language-Sprachen'!$A$120:$G$159,'Language-Sprachen'!$A$3,0)</f>
        <v>#N/A</v>
      </c>
      <c r="AP79" s="1454" t="e">
        <f>VLOOKUP(pos(AP79),'Language-Sprachen'!$A$120:$G$159,'Language-Sprachen'!$A$3,0)</f>
        <v>#N/A</v>
      </c>
      <c r="AQ79" s="1454" t="e">
        <f>VLOOKUP(pos(AQ79),'Language-Sprachen'!$A$120:$G$159,'Language-Sprachen'!$A$3,0)</f>
        <v>#N/A</v>
      </c>
      <c r="AR79" s="1454" t="e">
        <f>VLOOKUP(pos(AR79),'Language-Sprachen'!$A$120:$G$159,'Language-Sprachen'!$A$3,0)</f>
        <v>#N/A</v>
      </c>
      <c r="AS79" s="1454" t="e">
        <f>VLOOKUP(pos(AS79),'Language-Sprachen'!$A$120:$G$159,'Language-Sprachen'!$A$3,0)</f>
        <v>#N/A</v>
      </c>
      <c r="AT79" s="1454" t="e">
        <f>VLOOKUP(pos(AT79),'Language-Sprachen'!$A$120:$G$159,'Language-Sprachen'!$A$3,0)</f>
        <v>#N/A</v>
      </c>
      <c r="AU79" s="1454" t="e">
        <f>VLOOKUP(pos(AU79),'Language-Sprachen'!$A$120:$G$159,'Language-Sprachen'!$A$3,0)</f>
        <v>#N/A</v>
      </c>
      <c r="AV79" s="1454" t="e">
        <f>VLOOKUP(pos(AV79),'Language-Sprachen'!$A$120:$G$159,'Language-Sprachen'!$A$3,0)</f>
        <v>#N/A</v>
      </c>
      <c r="AW79" s="1454" t="e">
        <f>VLOOKUP(pos(AW79),'Language-Sprachen'!$A$120:$G$159,'Language-Sprachen'!$A$3,0)</f>
        <v>#N/A</v>
      </c>
      <c r="AX79" s="1454" t="e">
        <f>VLOOKUP(pos(AX79),'Language-Sprachen'!$A$120:$G$159,'Language-Sprachen'!$A$3,0)</f>
        <v>#N/A</v>
      </c>
      <c r="AY79" s="1587"/>
      <c r="AZ79" s="1587"/>
      <c r="BA79" s="741"/>
      <c r="BB79" s="490"/>
      <c r="BC79" s="38"/>
      <c r="BD79" s="38"/>
      <c r="BE79" s="38"/>
      <c r="BF79" s="38"/>
      <c r="BG79" s="610"/>
      <c r="BH79" s="581"/>
      <c r="BI79" s="582"/>
    </row>
    <row r="80" spans="1:61" ht="19.5" customHeight="1">
      <c r="B80" s="48"/>
      <c r="C80" s="580"/>
      <c r="D80" s="604"/>
      <c r="E80" s="604"/>
      <c r="F80" s="604"/>
      <c r="G80" s="604"/>
      <c r="H80" s="604"/>
      <c r="I80" s="604"/>
      <c r="J80" s="604"/>
      <c r="K80" s="604"/>
      <c r="L80" s="604"/>
      <c r="M80" s="604"/>
      <c r="N80" s="604"/>
      <c r="O80" s="604"/>
      <c r="P80" s="604"/>
      <c r="Q80" s="604"/>
      <c r="R80" s="604"/>
      <c r="S80" s="604"/>
      <c r="T80" s="580"/>
      <c r="U80" s="579"/>
      <c r="V80" s="579"/>
      <c r="W80" s="579"/>
      <c r="X80" s="579"/>
      <c r="Y80" s="579"/>
      <c r="Z80" s="579"/>
      <c r="AA80" s="579"/>
      <c r="AB80" s="579"/>
      <c r="AC80" s="579"/>
      <c r="AD80" s="579"/>
      <c r="AE80" s="579"/>
      <c r="AF80" s="579"/>
      <c r="AG80" s="579"/>
      <c r="AH80" s="579"/>
      <c r="AI80" s="608"/>
      <c r="AJ80" s="608"/>
      <c r="AK80" s="608"/>
      <c r="AL80" s="608"/>
      <c r="AM80" s="608"/>
      <c r="AN80" s="608"/>
      <c r="AO80" s="608"/>
      <c r="AP80" s="608"/>
      <c r="AQ80" s="608"/>
      <c r="AR80" s="608"/>
      <c r="AS80" s="608"/>
      <c r="AT80" s="608"/>
      <c r="AU80" s="608"/>
      <c r="AV80" s="608"/>
      <c r="AW80" s="608"/>
      <c r="AX80" s="608"/>
      <c r="AY80" s="608"/>
      <c r="AZ80" s="38"/>
      <c r="BA80" s="38"/>
      <c r="BB80" s="38"/>
      <c r="BC80" s="38"/>
      <c r="BD80" s="610"/>
      <c r="BE80" s="38"/>
      <c r="BF80" s="38"/>
      <c r="BG80" s="38"/>
      <c r="BH80" s="581"/>
      <c r="BI80" s="582"/>
    </row>
    <row r="81" spans="1:61" ht="15" customHeight="1">
      <c r="B81" s="48"/>
      <c r="D81" s="604"/>
      <c r="E81" s="604"/>
      <c r="F81" s="604"/>
      <c r="G81" s="604"/>
      <c r="H81" s="604"/>
      <c r="I81" s="604"/>
      <c r="J81" s="604"/>
      <c r="K81" s="604"/>
      <c r="L81" s="604"/>
      <c r="M81" s="604"/>
      <c r="N81" s="604"/>
      <c r="O81" s="604"/>
      <c r="P81" s="604"/>
      <c r="Q81" s="604"/>
      <c r="R81" s="604"/>
      <c r="S81" s="604"/>
      <c r="T81" s="31"/>
      <c r="U81" s="579"/>
      <c r="V81" s="38"/>
      <c r="W81" s="579"/>
      <c r="X81" s="579"/>
      <c r="Y81" s="579"/>
      <c r="Z81" s="579"/>
      <c r="AA81" s="579"/>
      <c r="AB81" s="579"/>
      <c r="AC81" s="579"/>
      <c r="AD81" s="579"/>
      <c r="AE81" s="579"/>
      <c r="AF81" s="579"/>
      <c r="AG81" s="579"/>
      <c r="AH81" s="579"/>
      <c r="AI81" s="1474"/>
      <c r="AJ81" s="1474"/>
      <c r="AK81" s="1474"/>
      <c r="AL81" s="1474"/>
      <c r="AM81" s="1474"/>
      <c r="AN81" s="1474"/>
      <c r="AO81" s="1474"/>
      <c r="AP81" s="1474"/>
      <c r="AQ81" s="1596"/>
      <c r="AR81" s="491"/>
      <c r="AS81" s="491"/>
      <c r="AT81" s="964"/>
      <c r="AU81" s="38"/>
      <c r="AV81" s="38"/>
      <c r="AW81" s="38"/>
      <c r="AX81" s="617"/>
      <c r="AY81" s="617"/>
      <c r="AZ81" s="38"/>
      <c r="BA81" s="38"/>
      <c r="BB81" s="38"/>
      <c r="BC81" s="38"/>
      <c r="BD81" s="38"/>
      <c r="BE81" s="606"/>
      <c r="BF81" s="617"/>
      <c r="BG81" s="617"/>
      <c r="BH81" s="618"/>
      <c r="BI81" s="34"/>
    </row>
    <row r="82" spans="1:61" ht="14.25" customHeight="1">
      <c r="B82" s="48"/>
      <c r="C82" s="33"/>
      <c r="D82" s="31"/>
      <c r="E82" s="31"/>
      <c r="F82" s="31"/>
      <c r="G82" s="31"/>
      <c r="H82" s="31"/>
      <c r="I82" s="31"/>
      <c r="J82" s="31"/>
      <c r="K82" s="31"/>
      <c r="L82" s="31"/>
      <c r="M82" s="31"/>
      <c r="N82" s="31"/>
      <c r="O82" s="174"/>
      <c r="P82" s="31"/>
      <c r="Q82" s="31"/>
      <c r="R82" s="31"/>
      <c r="S82" s="31"/>
      <c r="T82" s="31"/>
      <c r="U82" s="31"/>
      <c r="V82" s="965"/>
      <c r="W82" s="965"/>
      <c r="X82" s="965"/>
      <c r="Y82" s="606"/>
      <c r="Z82" s="212"/>
      <c r="AA82" s="212"/>
      <c r="AB82" s="31"/>
      <c r="AC82" s="31"/>
      <c r="AD82" s="31"/>
      <c r="AE82" s="619"/>
      <c r="AF82" s="966"/>
      <c r="AG82" s="967"/>
      <c r="AH82" s="966"/>
      <c r="AI82" s="213"/>
      <c r="AJ82" s="213"/>
      <c r="AK82" s="213"/>
      <c r="AL82" s="213"/>
      <c r="AM82" s="213"/>
      <c r="AN82" s="213"/>
      <c r="AO82" s="213"/>
      <c r="AP82" s="213"/>
      <c r="AQ82" s="966"/>
      <c r="AR82" s="212"/>
      <c r="AS82" s="212"/>
      <c r="AT82" s="965"/>
      <c r="AU82" s="38"/>
      <c r="AV82" s="38"/>
      <c r="AW82" s="38"/>
      <c r="AX82" s="617"/>
      <c r="AY82" s="617"/>
      <c r="AZ82" s="38"/>
      <c r="BA82" s="38"/>
      <c r="BB82" s="38"/>
      <c r="BC82" s="38"/>
      <c r="BD82" s="38"/>
      <c r="BE82" s="38"/>
      <c r="BF82" s="617"/>
      <c r="BG82" s="617"/>
      <c r="BH82" s="618"/>
      <c r="BI82" s="34"/>
    </row>
    <row r="83" spans="1:61" ht="15" customHeight="1">
      <c r="B83" s="48"/>
      <c r="C83" s="620" t="str">
        <f>VLOOKUP(pos(C83),'Language-Sprachen'!$A$120:$G$159,'Language-Sprachen'!$A$3,0)</f>
        <v>At least 2/3 of questions must be answered for each evaluated process element and sub element</v>
      </c>
      <c r="D83" s="580"/>
      <c r="E83" s="580"/>
      <c r="F83" s="580"/>
      <c r="G83" s="580"/>
      <c r="H83" s="580"/>
      <c r="I83" s="31"/>
      <c r="J83" s="580"/>
      <c r="K83" s="580"/>
      <c r="L83" s="580"/>
      <c r="M83" s="580"/>
      <c r="N83" s="578"/>
      <c r="O83" s="621"/>
      <c r="P83" s="622"/>
      <c r="Q83" s="578"/>
      <c r="R83" s="578"/>
      <c r="S83" s="267"/>
      <c r="T83" s="267"/>
      <c r="U83" s="578"/>
      <c r="V83" s="578"/>
      <c r="W83" s="38"/>
      <c r="X83" s="578"/>
      <c r="Y83" s="578"/>
      <c r="Z83" s="578"/>
      <c r="AA83" s="580"/>
      <c r="AB83" s="580"/>
      <c r="AC83" s="580"/>
      <c r="AD83" s="580"/>
      <c r="AE83" s="38"/>
      <c r="AF83" s="38"/>
      <c r="AG83" s="620" t="str">
        <f>VLOOKUP(pos(AG83),'Language-Sprachen'!$A$120:$G$159,'Language-Sprachen'!$A$3,0)</f>
        <v xml:space="preserve">Down grading rules must be applied to the classification results (A, B. C). This must be checked by the auditor! </v>
      </c>
      <c r="AH83" s="38"/>
      <c r="AI83" s="38"/>
      <c r="AJ83" s="38"/>
      <c r="AK83" s="38"/>
      <c r="AL83" s="38"/>
      <c r="AQ83" s="38"/>
      <c r="AR83" s="38"/>
      <c r="AS83" s="38"/>
      <c r="AT83" s="38"/>
      <c r="AU83" s="38"/>
      <c r="AV83" s="38"/>
      <c r="AW83" s="38"/>
      <c r="AX83" s="617"/>
      <c r="AY83" s="617"/>
      <c r="AZ83" s="617"/>
      <c r="BA83" s="617"/>
      <c r="BB83" s="617"/>
      <c r="BC83" s="617"/>
      <c r="BD83" s="617"/>
      <c r="BE83" s="617"/>
      <c r="BF83" s="617"/>
      <c r="BG83" s="617"/>
      <c r="BH83" s="581"/>
      <c r="BI83" s="582"/>
    </row>
    <row r="84" spans="1:61" ht="4.5" customHeight="1" thickBot="1">
      <c r="B84" s="101"/>
      <c r="C84" s="623"/>
      <c r="D84" s="624"/>
      <c r="E84" s="624"/>
      <c r="F84" s="624"/>
      <c r="G84" s="624"/>
      <c r="H84" s="624"/>
      <c r="I84" s="624"/>
      <c r="J84" s="624"/>
      <c r="K84" s="624"/>
      <c r="L84" s="624"/>
      <c r="M84" s="624"/>
      <c r="N84" s="624"/>
      <c r="O84" s="624"/>
      <c r="P84" s="624"/>
      <c r="Q84" s="624"/>
      <c r="R84" s="624"/>
      <c r="S84" s="624"/>
      <c r="T84" s="624"/>
      <c r="U84" s="624"/>
      <c r="V84" s="624"/>
      <c r="W84" s="624"/>
      <c r="X84" s="624"/>
      <c r="Y84" s="624"/>
      <c r="Z84" s="624"/>
      <c r="AA84" s="624"/>
      <c r="AB84" s="624"/>
      <c r="AC84" s="624"/>
      <c r="AD84" s="624"/>
      <c r="AE84" s="624"/>
      <c r="AF84" s="624"/>
      <c r="AG84" s="624"/>
      <c r="AH84" s="624"/>
      <c r="AI84" s="624"/>
      <c r="AJ84" s="624"/>
      <c r="AK84" s="624"/>
      <c r="AL84" s="624"/>
      <c r="AM84" s="624"/>
      <c r="AN84" s="624"/>
      <c r="AO84" s="624"/>
      <c r="AP84" s="624"/>
      <c r="AQ84" s="624"/>
      <c r="AR84" s="624"/>
      <c r="AS84" s="624"/>
      <c r="AT84" s="624"/>
      <c r="AU84" s="624"/>
      <c r="AV84" s="624"/>
      <c r="AW84" s="624"/>
      <c r="AX84" s="624"/>
      <c r="AY84" s="624"/>
      <c r="AZ84" s="624"/>
      <c r="BA84" s="624"/>
      <c r="BB84" s="624"/>
      <c r="BC84" s="624"/>
      <c r="BD84" s="624"/>
      <c r="BE84" s="624"/>
      <c r="BF84" s="624"/>
      <c r="BG84" s="624"/>
      <c r="BH84" s="625"/>
      <c r="BI84" s="582"/>
    </row>
    <row r="85" spans="1:61" ht="10.5" customHeight="1">
      <c r="A85" s="1020" t="s">
        <v>505</v>
      </c>
      <c r="C85" s="214"/>
      <c r="D85" s="215"/>
      <c r="E85" s="215"/>
      <c r="F85" s="215"/>
      <c r="G85" s="215"/>
      <c r="H85" s="215"/>
      <c r="I85" s="215"/>
      <c r="J85" s="215"/>
      <c r="K85" s="215"/>
      <c r="L85" s="16"/>
      <c r="M85" s="16"/>
      <c r="N85" s="16"/>
      <c r="O85" s="16"/>
      <c r="P85" s="16"/>
      <c r="Q85" s="16"/>
      <c r="R85" s="16"/>
      <c r="S85" s="16"/>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row>
    <row r="86" spans="1:61" ht="21" customHeight="1">
      <c r="A86" s="1020"/>
      <c r="T86" s="290"/>
      <c r="U86" s="290"/>
      <c r="V86" s="290"/>
      <c r="W86" s="290"/>
      <c r="X86" s="290"/>
      <c r="Y86" s="290"/>
      <c r="Z86" s="290"/>
      <c r="AA86" s="290"/>
      <c r="AB86" s="290"/>
      <c r="AC86" s="290"/>
      <c r="AD86" s="290"/>
      <c r="AE86" s="290"/>
      <c r="AF86" s="290"/>
      <c r="AG86" s="290"/>
      <c r="AH86" s="290"/>
      <c r="AI86" s="290"/>
      <c r="AJ86" s="290"/>
      <c r="AK86" s="290"/>
      <c r="AL86" s="290"/>
      <c r="AM86" s="290"/>
      <c r="AN86" s="290"/>
      <c r="AO86" s="290"/>
      <c r="AP86" s="290"/>
      <c r="AQ86" s="290"/>
      <c r="AR86" s="290"/>
      <c r="AS86" s="290"/>
      <c r="AT86" s="290"/>
      <c r="AU86" s="290"/>
      <c r="AV86" s="290"/>
      <c r="AW86" s="1498"/>
      <c r="AX86" s="1498"/>
      <c r="AY86" s="1498"/>
      <c r="AZ86" s="1498"/>
      <c r="BA86" s="1498"/>
      <c r="BB86" s="1498"/>
      <c r="BC86" s="1498"/>
      <c r="BD86" s="1498"/>
      <c r="BE86" s="1498"/>
      <c r="BF86" s="1498"/>
      <c r="BG86" s="1498"/>
      <c r="BH86" s="1498"/>
    </row>
    <row r="87" spans="1:61" ht="138" customHeight="1">
      <c r="D87" s="309" t="s">
        <v>76</v>
      </c>
      <c r="E87" s="310" t="s">
        <v>147</v>
      </c>
      <c r="F87" s="311"/>
      <c r="G87" s="274"/>
      <c r="H87" s="310" t="s">
        <v>153</v>
      </c>
      <c r="I87" s="312" t="s">
        <v>154</v>
      </c>
      <c r="J87" s="289"/>
      <c r="K87" s="289"/>
      <c r="L87" s="289"/>
      <c r="T87" s="290"/>
      <c r="U87" s="290"/>
      <c r="V87" s="290"/>
      <c r="W87" s="290"/>
      <c r="X87" s="290"/>
      <c r="Y87" s="290"/>
      <c r="Z87" s="290"/>
      <c r="AA87" s="290"/>
      <c r="AB87" s="290"/>
      <c r="AC87" s="290"/>
      <c r="AD87" s="290"/>
      <c r="AE87" s="290"/>
      <c r="AF87" s="289"/>
      <c r="AG87" s="289"/>
      <c r="AH87" s="289"/>
      <c r="AI87" s="289"/>
      <c r="AJ87" s="289"/>
      <c r="AK87" s="289"/>
      <c r="AL87" s="289"/>
      <c r="AM87" s="290"/>
      <c r="AN87" s="290"/>
      <c r="AO87" s="290"/>
      <c r="AP87" s="290"/>
      <c r="AQ87" s="290"/>
      <c r="AR87" s="290"/>
      <c r="AS87" s="290"/>
      <c r="AT87" s="290"/>
      <c r="AU87" s="290"/>
      <c r="AV87" s="290"/>
      <c r="AW87" s="1498"/>
      <c r="AX87" s="1498"/>
      <c r="AY87" s="1498"/>
      <c r="AZ87" s="1498"/>
      <c r="BA87" s="1498"/>
      <c r="BB87" s="1498"/>
      <c r="BC87" s="1498"/>
      <c r="BD87" s="1498"/>
      <c r="BE87" s="1498"/>
      <c r="BF87" s="1498"/>
      <c r="BG87" s="1498"/>
      <c r="BH87" s="1498"/>
    </row>
    <row r="88" spans="1:61" ht="15.75">
      <c r="D88" s="313" t="s">
        <v>96</v>
      </c>
      <c r="E88" s="38"/>
      <c r="F88" s="38"/>
      <c r="G88" s="38"/>
      <c r="H88" s="38"/>
      <c r="I88" s="275"/>
      <c r="T88" s="290"/>
      <c r="U88" s="290"/>
      <c r="V88" s="290"/>
      <c r="W88" s="290"/>
      <c r="X88" s="290"/>
      <c r="Y88" s="290"/>
      <c r="Z88" s="290"/>
      <c r="AA88" s="290"/>
      <c r="AB88" s="290"/>
      <c r="AC88" s="290"/>
      <c r="AD88" s="290"/>
      <c r="AE88" s="290"/>
      <c r="AM88" s="290"/>
      <c r="AN88" s="290"/>
      <c r="AO88" s="290"/>
      <c r="AP88" s="290"/>
      <c r="AQ88" s="290"/>
      <c r="AR88" s="290"/>
      <c r="AS88" s="290"/>
      <c r="AT88" s="290"/>
      <c r="AU88" s="290"/>
      <c r="AV88" s="290"/>
      <c r="AW88" s="1589"/>
      <c r="AX88" s="1589"/>
      <c r="AY88" s="1589"/>
      <c r="AZ88" s="1589"/>
      <c r="BA88" s="1589"/>
      <c r="BB88" s="1589"/>
      <c r="BC88" s="1589"/>
      <c r="BD88" s="1589"/>
      <c r="BE88" s="1589"/>
      <c r="BF88" s="1589"/>
      <c r="BG88" s="1589"/>
      <c r="BH88" s="1589"/>
    </row>
    <row r="89" spans="1:61" ht="15">
      <c r="D89" s="314" t="str">
        <f>+'Questions - Fragen'!$A13</f>
        <v>2.1</v>
      </c>
      <c r="E89" s="38"/>
      <c r="F89" s="38"/>
      <c r="G89" s="38"/>
      <c r="H89" s="38"/>
      <c r="I89" s="275"/>
      <c r="T89" s="290"/>
      <c r="U89" s="290"/>
      <c r="V89" s="290"/>
      <c r="W89" s="290"/>
      <c r="X89" s="290"/>
      <c r="Y89" s="290"/>
      <c r="Z89" s="290"/>
      <c r="AA89" s="290"/>
      <c r="AB89" s="290"/>
      <c r="AC89" s="290"/>
      <c r="AD89" s="290"/>
      <c r="AE89" s="290"/>
      <c r="AM89" s="290"/>
      <c r="AN89" s="290"/>
      <c r="AO89" s="290"/>
      <c r="AP89" s="290"/>
      <c r="AQ89" s="290"/>
      <c r="AR89" s="290"/>
      <c r="AS89" s="290"/>
      <c r="AT89" s="290"/>
      <c r="AU89" s="290"/>
      <c r="AV89" s="290"/>
      <c r="AW89" s="1589"/>
      <c r="AX89" s="1589"/>
      <c r="AY89" s="1589"/>
      <c r="AZ89" s="1589"/>
      <c r="BA89" s="1589"/>
      <c r="BB89" s="1589"/>
      <c r="BC89" s="1589"/>
      <c r="BD89" s="1589"/>
      <c r="BE89" s="1589"/>
      <c r="BF89" s="1589"/>
      <c r="BG89" s="1589"/>
      <c r="BH89" s="1589"/>
    </row>
    <row r="90" spans="1:61" ht="15">
      <c r="D90" s="314" t="str">
        <f>+'Questions - Fragen'!$A14</f>
        <v>2.2</v>
      </c>
      <c r="E90" s="38"/>
      <c r="F90" s="38"/>
      <c r="G90" s="38"/>
      <c r="H90" s="38"/>
      <c r="I90" s="275"/>
      <c r="T90" s="290"/>
      <c r="U90" s="744"/>
      <c r="V90" s="744"/>
      <c r="W90" s="291"/>
      <c r="X90" s="744"/>
      <c r="Y90" s="744"/>
      <c r="Z90" s="744"/>
      <c r="AA90" s="744"/>
      <c r="AB90" s="744"/>
      <c r="AC90" s="744"/>
      <c r="AD90" s="744"/>
      <c r="AE90" s="744"/>
      <c r="AF90" s="744"/>
      <c r="AG90" s="744"/>
      <c r="AH90" s="744"/>
      <c r="AI90" s="744"/>
      <c r="AJ90" s="744"/>
      <c r="AK90" s="744"/>
      <c r="AL90" s="744"/>
      <c r="AM90" s="744"/>
      <c r="AN90" s="744"/>
      <c r="AO90" s="744"/>
      <c r="AP90" s="744"/>
      <c r="AQ90" s="744"/>
      <c r="AR90" s="744"/>
      <c r="AS90" s="744"/>
      <c r="AT90" s="744"/>
      <c r="AU90" s="744"/>
      <c r="AV90" s="744"/>
      <c r="AW90" s="1498"/>
      <c r="AX90" s="1498"/>
      <c r="AY90" s="1498"/>
      <c r="AZ90" s="1498"/>
      <c r="BA90" s="1498"/>
      <c r="BB90" s="1498"/>
      <c r="BC90" s="1498"/>
      <c r="BD90" s="1498"/>
      <c r="BE90" s="1498"/>
      <c r="BF90" s="1498"/>
      <c r="BG90" s="1498"/>
      <c r="BH90" s="1498"/>
    </row>
    <row r="91" spans="1:61" ht="15">
      <c r="D91" s="314" t="str">
        <f>+'Questions - Fragen'!$A15</f>
        <v>2.3</v>
      </c>
      <c r="E91" s="38"/>
      <c r="F91" s="38"/>
      <c r="G91" s="38"/>
      <c r="H91" s="38"/>
      <c r="I91" s="275"/>
      <c r="T91" s="290"/>
      <c r="U91" s="744"/>
      <c r="V91" s="744"/>
      <c r="W91" s="744"/>
      <c r="X91" s="744"/>
      <c r="Y91" s="744"/>
      <c r="Z91" s="744"/>
      <c r="AA91" s="744"/>
      <c r="AB91" s="744"/>
      <c r="AC91" s="744"/>
      <c r="AD91" s="744"/>
      <c r="AE91" s="744"/>
      <c r="AF91" s="744"/>
      <c r="AG91" s="744"/>
      <c r="AH91" s="744"/>
      <c r="AI91" s="744"/>
      <c r="AJ91" s="744"/>
      <c r="AK91" s="744"/>
      <c r="AL91" s="744"/>
      <c r="AM91" s="744"/>
      <c r="AN91" s="744"/>
      <c r="AO91" s="744"/>
      <c r="AP91" s="744"/>
      <c r="AQ91" s="744"/>
      <c r="AR91" s="744"/>
      <c r="AS91" s="744"/>
      <c r="AT91" s="744"/>
      <c r="AU91" s="744"/>
      <c r="AV91" s="744"/>
      <c r="AW91" s="1498"/>
      <c r="AX91" s="1498"/>
      <c r="AY91" s="1498"/>
      <c r="AZ91" s="1498"/>
      <c r="BA91" s="1498"/>
      <c r="BB91" s="1498"/>
      <c r="BC91" s="1498"/>
      <c r="BD91" s="1498"/>
      <c r="BE91" s="1498"/>
      <c r="BF91" s="1498"/>
      <c r="BG91" s="1498"/>
      <c r="BH91" s="1498"/>
    </row>
    <row r="92" spans="1:61" ht="15">
      <c r="D92" s="314" t="str">
        <f>+'Questions - Fragen'!$A16</f>
        <v>2.4</v>
      </c>
      <c r="E92" s="38"/>
      <c r="F92" s="38"/>
      <c r="G92" s="38"/>
      <c r="H92" s="38"/>
      <c r="I92" s="275"/>
      <c r="T92" s="290"/>
      <c r="U92" s="744"/>
      <c r="V92" s="744"/>
      <c r="W92" s="1479"/>
      <c r="X92" s="1480"/>
      <c r="Y92" s="1480"/>
      <c r="Z92" s="1480"/>
      <c r="AA92" s="1480"/>
      <c r="AB92" s="1480"/>
      <c r="AC92" s="1480"/>
      <c r="AD92" s="1480"/>
      <c r="AE92" s="1480"/>
      <c r="AF92" s="1480"/>
      <c r="AG92" s="1480"/>
      <c r="AH92" s="1480"/>
      <c r="AI92" s="1480"/>
      <c r="AJ92" s="1480"/>
      <c r="AK92" s="1480"/>
      <c r="AL92" s="1480"/>
      <c r="AM92" s="1480"/>
      <c r="AN92" s="1480"/>
      <c r="AO92" s="1480"/>
      <c r="AP92" s="1480"/>
      <c r="AQ92" s="1480"/>
      <c r="AR92" s="1480"/>
      <c r="AS92" s="1480"/>
      <c r="AT92" s="1480"/>
      <c r="AU92" s="1480"/>
      <c r="AV92" s="1480"/>
      <c r="AW92" s="1498"/>
      <c r="AX92" s="1498"/>
      <c r="AY92" s="1498"/>
      <c r="AZ92" s="1498"/>
      <c r="BA92" s="1498"/>
      <c r="BB92" s="1498"/>
      <c r="BC92" s="1498"/>
      <c r="BD92" s="1498"/>
      <c r="BE92" s="1498"/>
      <c r="BF92" s="1498"/>
      <c r="BG92" s="1498"/>
      <c r="BH92" s="1498"/>
    </row>
    <row r="93" spans="1:61" ht="15">
      <c r="D93" s="314" t="str">
        <f>+'Questions - Fragen'!$A17</f>
        <v>2.5</v>
      </c>
      <c r="E93" s="38" t="str">
        <f>H8</f>
        <v>n.e.</v>
      </c>
      <c r="F93" s="38"/>
      <c r="G93" s="38"/>
      <c r="H93" s="38"/>
      <c r="I93" s="275"/>
      <c r="T93" s="290"/>
      <c r="U93" s="744"/>
      <c r="V93" s="744"/>
      <c r="W93" s="1480"/>
      <c r="X93" s="1480"/>
      <c r="Y93" s="1480"/>
      <c r="Z93" s="1480"/>
      <c r="AA93" s="1480"/>
      <c r="AB93" s="1480"/>
      <c r="AC93" s="1480"/>
      <c r="AD93" s="1480"/>
      <c r="AE93" s="1480"/>
      <c r="AF93" s="1480"/>
      <c r="AG93" s="1480"/>
      <c r="AH93" s="1480"/>
      <c r="AI93" s="1480"/>
      <c r="AJ93" s="1480"/>
      <c r="AK93" s="1480"/>
      <c r="AL93" s="1480"/>
      <c r="AM93" s="1480"/>
      <c r="AN93" s="1480"/>
      <c r="AO93" s="1480"/>
      <c r="AP93" s="1480"/>
      <c r="AQ93" s="1480"/>
      <c r="AR93" s="1480"/>
      <c r="AS93" s="1480"/>
      <c r="AT93" s="1480"/>
      <c r="AU93" s="1480"/>
      <c r="AV93" s="1480"/>
      <c r="AW93" s="1498"/>
      <c r="AX93" s="1498"/>
      <c r="AY93" s="1498"/>
      <c r="AZ93" s="1498"/>
      <c r="BA93" s="1498"/>
      <c r="BB93" s="1498"/>
      <c r="BC93" s="1498"/>
      <c r="BD93" s="1498"/>
      <c r="BE93" s="1498"/>
      <c r="BF93" s="1498"/>
      <c r="BG93" s="1498"/>
      <c r="BH93" s="1498"/>
    </row>
    <row r="94" spans="1:61" ht="15">
      <c r="D94" s="314" t="str">
        <f>+'Questions - Fragen'!$A18</f>
        <v>2.6</v>
      </c>
      <c r="E94" s="38" t="str">
        <f>I8</f>
        <v>n.e.</v>
      </c>
      <c r="F94" s="38"/>
      <c r="G94" s="38"/>
      <c r="H94" s="38"/>
      <c r="I94" s="275"/>
      <c r="T94" s="290"/>
      <c r="U94" s="744"/>
      <c r="V94" s="744"/>
      <c r="W94" s="1476"/>
      <c r="X94" s="1477"/>
      <c r="Y94" s="1477"/>
      <c r="Z94" s="1477"/>
      <c r="AA94" s="1477"/>
      <c r="AB94" s="1477"/>
      <c r="AC94" s="1477"/>
      <c r="AD94" s="1477"/>
      <c r="AE94" s="1477"/>
      <c r="AF94" s="1477"/>
      <c r="AG94" s="1477"/>
      <c r="AH94" s="1477"/>
      <c r="AI94" s="1477"/>
      <c r="AJ94" s="1477"/>
      <c r="AK94" s="1477"/>
      <c r="AL94" s="1477"/>
      <c r="AM94" s="1477"/>
      <c r="AN94" s="1477"/>
      <c r="AO94" s="1477"/>
      <c r="AP94" s="1477"/>
      <c r="AQ94" s="1477"/>
      <c r="AR94" s="1477"/>
      <c r="AS94" s="1477"/>
      <c r="AT94" s="1477"/>
      <c r="AU94" s="1477"/>
      <c r="AV94" s="1477"/>
      <c r="AW94" s="1498"/>
      <c r="AX94" s="1498"/>
      <c r="AY94" s="1498"/>
      <c r="AZ94" s="1498"/>
      <c r="BA94" s="1498"/>
      <c r="BB94" s="1498"/>
      <c r="BC94" s="1498"/>
      <c r="BD94" s="1498"/>
      <c r="BE94" s="1498"/>
      <c r="BF94" s="1498"/>
      <c r="BG94" s="1498"/>
      <c r="BH94" s="1498"/>
    </row>
    <row r="95" spans="1:61" ht="15">
      <c r="D95" s="314" t="str">
        <f>+'Questions - Fragen'!$A19</f>
        <v>2.7</v>
      </c>
      <c r="E95" s="38"/>
      <c r="F95" s="38"/>
      <c r="G95" s="38"/>
      <c r="H95" s="38"/>
      <c r="I95" s="275"/>
      <c r="T95" s="290"/>
      <c r="U95" s="744"/>
      <c r="V95" s="744"/>
      <c r="W95" s="1477"/>
      <c r="X95" s="1477"/>
      <c r="Y95" s="1477"/>
      <c r="Z95" s="1477"/>
      <c r="AA95" s="1477"/>
      <c r="AB95" s="1477"/>
      <c r="AC95" s="1477"/>
      <c r="AD95" s="1477"/>
      <c r="AE95" s="1477"/>
      <c r="AF95" s="1477"/>
      <c r="AG95" s="1477"/>
      <c r="AH95" s="1477"/>
      <c r="AI95" s="1477"/>
      <c r="AJ95" s="1477"/>
      <c r="AK95" s="1477"/>
      <c r="AL95" s="1477"/>
      <c r="AM95" s="1477"/>
      <c r="AN95" s="1477"/>
      <c r="AO95" s="1477"/>
      <c r="AP95" s="1477"/>
      <c r="AQ95" s="1477"/>
      <c r="AR95" s="1477"/>
      <c r="AS95" s="1477"/>
      <c r="AT95" s="1477"/>
      <c r="AU95" s="1477"/>
      <c r="AV95" s="1477"/>
      <c r="AW95" s="1498"/>
      <c r="AX95" s="1498"/>
      <c r="AY95" s="1498"/>
      <c r="AZ95" s="1498"/>
      <c r="BA95" s="1498"/>
      <c r="BB95" s="1498"/>
      <c r="BC95" s="1498"/>
      <c r="BD95" s="1498"/>
      <c r="BE95" s="1498"/>
      <c r="BF95" s="1498"/>
      <c r="BG95" s="1498"/>
      <c r="BH95" s="1498"/>
    </row>
    <row r="96" spans="1:61" ht="15.75">
      <c r="D96" s="315" t="str">
        <f>+'Questions - Fragen'!$A20</f>
        <v>P3</v>
      </c>
      <c r="E96" s="38"/>
      <c r="F96" s="38"/>
      <c r="G96" s="272" t="s">
        <v>96</v>
      </c>
      <c r="H96" s="38" t="str">
        <f>+IF(COUNT(E89:E95)=0,$AI$35,+IF(MIN(E89:E95)=0,"C",+IF(MIN(E89:E95)=4,"B","A")))</f>
        <v>n.e.</v>
      </c>
      <c r="I96" s="275" t="str">
        <f>+A8</f>
        <v>n.e.</v>
      </c>
      <c r="T96" s="290"/>
      <c r="U96" s="744"/>
      <c r="V96" s="744"/>
      <c r="W96" s="1477"/>
      <c r="X96" s="1477"/>
      <c r="Y96" s="1477"/>
      <c r="Z96" s="1477"/>
      <c r="AA96" s="1477"/>
      <c r="AB96" s="1477"/>
      <c r="AC96" s="1477"/>
      <c r="AD96" s="1477"/>
      <c r="AE96" s="1477"/>
      <c r="AF96" s="1477"/>
      <c r="AG96" s="1477"/>
      <c r="AH96" s="1477"/>
      <c r="AI96" s="1477"/>
      <c r="AJ96" s="1477"/>
      <c r="AK96" s="1477"/>
      <c r="AL96" s="1477"/>
      <c r="AM96" s="1477"/>
      <c r="AN96" s="1477"/>
      <c r="AO96" s="1477"/>
      <c r="AP96" s="1477"/>
      <c r="AQ96" s="1477"/>
      <c r="AR96" s="1477"/>
      <c r="AS96" s="1477"/>
      <c r="AT96" s="1477"/>
      <c r="AU96" s="1477"/>
      <c r="AV96" s="1477"/>
      <c r="AW96" s="1482"/>
      <c r="AX96" s="1482"/>
      <c r="AY96" s="1482"/>
      <c r="AZ96" s="1482"/>
      <c r="BA96" s="1482"/>
      <c r="BB96" s="1482"/>
      <c r="BC96" s="1482"/>
      <c r="BD96" s="1482"/>
      <c r="BE96" s="1482"/>
      <c r="BF96" s="1482"/>
      <c r="BG96" s="1482"/>
      <c r="BH96" s="1482"/>
    </row>
    <row r="97" spans="4:60" ht="15">
      <c r="D97" s="314" t="str">
        <f>+'Questions - Fragen'!$A22</f>
        <v>3.1</v>
      </c>
      <c r="E97" s="38"/>
      <c r="F97" s="38"/>
      <c r="G97" s="38"/>
      <c r="H97" s="38"/>
      <c r="I97" s="275"/>
      <c r="T97" s="290"/>
      <c r="U97" s="744"/>
      <c r="V97" s="744"/>
      <c r="W97" s="1476"/>
      <c r="X97" s="1477"/>
      <c r="Y97" s="1477"/>
      <c r="Z97" s="1477"/>
      <c r="AA97" s="1477"/>
      <c r="AB97" s="1477"/>
      <c r="AC97" s="1477"/>
      <c r="AD97" s="1477"/>
      <c r="AE97" s="1477"/>
      <c r="AF97" s="1477"/>
      <c r="AG97" s="1477"/>
      <c r="AH97" s="1477"/>
      <c r="AI97" s="1477"/>
      <c r="AJ97" s="1477"/>
      <c r="AK97" s="1477"/>
      <c r="AL97" s="1477"/>
      <c r="AM97" s="1477"/>
      <c r="AN97" s="1477"/>
      <c r="AO97" s="1477"/>
      <c r="AP97" s="1477"/>
      <c r="AQ97" s="1477"/>
      <c r="AR97" s="1477"/>
      <c r="AS97" s="1477"/>
      <c r="AT97" s="1477"/>
      <c r="AU97" s="1477"/>
      <c r="AV97" s="1477"/>
      <c r="AW97" s="1481"/>
      <c r="AX97" s="1482"/>
      <c r="AY97" s="1482"/>
      <c r="AZ97" s="1482"/>
      <c r="BA97" s="1482"/>
      <c r="BB97" s="1482"/>
      <c r="BC97" s="1482"/>
      <c r="BD97" s="1482"/>
      <c r="BE97" s="1482"/>
      <c r="BF97" s="1482"/>
      <c r="BG97" s="1482"/>
      <c r="BH97" s="1482"/>
    </row>
    <row r="98" spans="4:60" ht="15">
      <c r="D98" s="314" t="str">
        <f>+'Questions - Fragen'!$A25</f>
        <v>3.2</v>
      </c>
      <c r="E98" s="38" t="str">
        <f>IF(COUNT(J98:K98)&gt;0,MIN(J98:K98),"n.b")</f>
        <v>n.b</v>
      </c>
      <c r="F98" s="38"/>
      <c r="G98" s="38"/>
      <c r="H98" s="38"/>
      <c r="I98" s="275"/>
      <c r="J98" s="167" t="str">
        <f>E14</f>
        <v>n.e.</v>
      </c>
      <c r="K98" s="167" t="str">
        <f>P14</f>
        <v>n.e.</v>
      </c>
      <c r="T98" s="290"/>
      <c r="U98" s="744"/>
      <c r="V98" s="744"/>
      <c r="W98" s="1477"/>
      <c r="X98" s="1477"/>
      <c r="Y98" s="1477"/>
      <c r="Z98" s="1477"/>
      <c r="AA98" s="1477"/>
      <c r="AB98" s="1477"/>
      <c r="AC98" s="1477"/>
      <c r="AD98" s="1477"/>
      <c r="AE98" s="1477"/>
      <c r="AF98" s="1477"/>
      <c r="AG98" s="1477"/>
      <c r="AH98" s="1477"/>
      <c r="AI98" s="1477"/>
      <c r="AJ98" s="1477"/>
      <c r="AK98" s="1477"/>
      <c r="AL98" s="1477"/>
      <c r="AM98" s="1477"/>
      <c r="AN98" s="1477"/>
      <c r="AO98" s="1477"/>
      <c r="AP98" s="1477"/>
      <c r="AQ98" s="1477"/>
      <c r="AR98" s="1477"/>
      <c r="AS98" s="1477"/>
      <c r="AT98" s="1477"/>
      <c r="AU98" s="1477"/>
      <c r="AV98" s="1477"/>
      <c r="AW98" s="1482"/>
      <c r="AX98" s="1482"/>
      <c r="AY98" s="1482"/>
      <c r="AZ98" s="1482"/>
      <c r="BA98" s="1482"/>
      <c r="BB98" s="1482"/>
      <c r="BC98" s="1482"/>
      <c r="BD98" s="1482"/>
      <c r="BE98" s="1482"/>
      <c r="BF98" s="1482"/>
      <c r="BG98" s="1482"/>
      <c r="BH98" s="1482"/>
    </row>
    <row r="99" spans="4:60" ht="15">
      <c r="D99" s="314" t="str">
        <f>+'Questions - Fragen'!$A28</f>
        <v>3.3</v>
      </c>
      <c r="E99" s="38"/>
      <c r="F99" s="38"/>
      <c r="G99" s="38"/>
      <c r="H99" s="38"/>
      <c r="I99" s="275"/>
      <c r="J99" s="167"/>
      <c r="K99" s="167"/>
      <c r="T99" s="290"/>
      <c r="U99" s="744"/>
      <c r="V99" s="744"/>
      <c r="W99" s="1588"/>
      <c r="X99" s="1588"/>
      <c r="Y99" s="1588"/>
      <c r="Z99" s="1588"/>
      <c r="AA99" s="1588"/>
      <c r="AB99" s="1588"/>
      <c r="AC99" s="1588"/>
      <c r="AD99" s="1588"/>
      <c r="AE99" s="1588"/>
      <c r="AF99" s="1588"/>
      <c r="AG99" s="1588"/>
      <c r="AH99" s="1588"/>
      <c r="AI99" s="1588"/>
      <c r="AJ99" s="1588"/>
      <c r="AK99" s="1588"/>
      <c r="AL99" s="1588"/>
      <c r="AM99" s="1588"/>
      <c r="AN99" s="1588"/>
      <c r="AO99" s="1588"/>
      <c r="AP99" s="1588"/>
      <c r="AQ99" s="1588"/>
      <c r="AR99" s="1588"/>
      <c r="AS99" s="1588"/>
      <c r="AT99" s="1588"/>
      <c r="AU99" s="1588"/>
      <c r="AV99" s="1588"/>
      <c r="AW99" s="1481"/>
      <c r="AX99" s="1482"/>
      <c r="AY99" s="1482"/>
      <c r="AZ99" s="1482"/>
      <c r="BA99" s="1482"/>
      <c r="BB99" s="1482"/>
      <c r="BC99" s="1482"/>
      <c r="BD99" s="1482"/>
      <c r="BE99" s="1482"/>
      <c r="BF99" s="1482"/>
      <c r="BG99" s="1482"/>
      <c r="BH99" s="1482"/>
    </row>
    <row r="100" spans="4:60" ht="15">
      <c r="D100" s="314" t="str">
        <f>+'Questions - Fragen'!$A31</f>
        <v>3.4</v>
      </c>
      <c r="E100" s="38"/>
      <c r="F100" s="38"/>
      <c r="G100" s="38"/>
      <c r="H100" s="38"/>
      <c r="I100" s="275"/>
      <c r="J100" s="167"/>
      <c r="K100" s="167"/>
      <c r="T100" s="290"/>
      <c r="U100" s="744"/>
      <c r="V100" s="744"/>
      <c r="W100" s="1588"/>
      <c r="X100" s="1588"/>
      <c r="Y100" s="1588"/>
      <c r="Z100" s="1588"/>
      <c r="AA100" s="1588"/>
      <c r="AB100" s="1588"/>
      <c r="AC100" s="1588"/>
      <c r="AD100" s="1588"/>
      <c r="AE100" s="1588"/>
      <c r="AF100" s="1588"/>
      <c r="AG100" s="1588"/>
      <c r="AH100" s="1588"/>
      <c r="AI100" s="1588"/>
      <c r="AJ100" s="1588"/>
      <c r="AK100" s="1588"/>
      <c r="AL100" s="1588"/>
      <c r="AM100" s="1588"/>
      <c r="AN100" s="1588"/>
      <c r="AO100" s="1588"/>
      <c r="AP100" s="1588"/>
      <c r="AQ100" s="1588"/>
      <c r="AR100" s="1588"/>
      <c r="AS100" s="1588"/>
      <c r="AT100" s="1588"/>
      <c r="AU100" s="1588"/>
      <c r="AV100" s="1588"/>
      <c r="AW100" s="1482"/>
      <c r="AX100" s="1482"/>
      <c r="AY100" s="1482"/>
      <c r="AZ100" s="1482"/>
      <c r="BA100" s="1482"/>
      <c r="BB100" s="1482"/>
      <c r="BC100" s="1482"/>
      <c r="BD100" s="1482"/>
      <c r="BE100" s="1482"/>
      <c r="BF100" s="1482"/>
      <c r="BG100" s="1482"/>
      <c r="BH100" s="1482"/>
    </row>
    <row r="101" spans="4:60">
      <c r="D101" s="314" t="str">
        <f>+'Questions - Fragen'!$A34</f>
        <v>3.5</v>
      </c>
      <c r="E101" s="38"/>
      <c r="F101" s="38"/>
      <c r="G101" s="38"/>
      <c r="H101" s="38"/>
      <c r="I101" s="275"/>
      <c r="J101" s="167"/>
      <c r="K101" s="167"/>
      <c r="T101" s="260"/>
      <c r="U101" s="1497"/>
      <c r="V101" s="1497"/>
      <c r="W101" s="1497"/>
      <c r="X101" s="1497"/>
      <c r="Y101" s="1497"/>
      <c r="Z101" s="1497"/>
      <c r="AA101" s="1497"/>
      <c r="AB101" s="1497"/>
      <c r="AC101" s="1497"/>
      <c r="AD101" s="1497"/>
      <c r="AE101" s="1497"/>
      <c r="AF101" s="1497"/>
      <c r="AG101" s="1497"/>
      <c r="AH101" s="1497"/>
      <c r="AI101" s="1497"/>
      <c r="AJ101" s="1497"/>
      <c r="AK101" s="1497"/>
      <c r="AL101" s="1497"/>
      <c r="AM101" s="1497"/>
      <c r="AN101" s="1497"/>
      <c r="AO101" s="1497"/>
      <c r="AP101" s="1497"/>
      <c r="AQ101" s="1497"/>
      <c r="AR101" s="1497"/>
      <c r="AS101" s="1497"/>
      <c r="AT101" s="1497"/>
      <c r="AU101" s="1497"/>
      <c r="AV101" s="1497"/>
      <c r="AW101" s="1482"/>
      <c r="AX101" s="1482"/>
      <c r="AY101" s="1482"/>
      <c r="AZ101" s="1482"/>
      <c r="BA101" s="1482"/>
      <c r="BB101" s="1482"/>
      <c r="BC101" s="1482"/>
      <c r="BD101" s="1482"/>
      <c r="BE101" s="1482"/>
      <c r="BF101" s="1482"/>
      <c r="BG101" s="1482"/>
      <c r="BH101" s="1482"/>
    </row>
    <row r="102" spans="4:60" ht="15">
      <c r="D102" s="315" t="str">
        <f>+'Questions - Fragen'!$A37</f>
        <v>P4</v>
      </c>
      <c r="E102" s="38"/>
      <c r="F102" s="38"/>
      <c r="G102" s="272" t="s">
        <v>97</v>
      </c>
      <c r="H102" s="38" t="str">
        <f>+IF(COUNT(E96:E101)=0,$AI$35,+IF(MIN(E96:E101)=0,"C",+IF(MIN(E96:E101)=4,"B","A")))</f>
        <v>n.e.</v>
      </c>
      <c r="I102" s="275" t="str">
        <f>+A14</f>
        <v>n.e.</v>
      </c>
      <c r="J102" s="167"/>
      <c r="K102" s="167"/>
      <c r="T102" s="260"/>
      <c r="U102" s="1497"/>
      <c r="V102" s="1497"/>
      <c r="W102" s="1497"/>
      <c r="X102" s="1497"/>
      <c r="Y102" s="1497"/>
      <c r="Z102" s="1497"/>
      <c r="AA102" s="1497"/>
      <c r="AB102" s="1497"/>
      <c r="AC102" s="1497"/>
      <c r="AD102" s="1497"/>
      <c r="AE102" s="1497"/>
      <c r="AF102" s="1497"/>
      <c r="AG102" s="1497"/>
      <c r="AH102" s="1497"/>
      <c r="AI102" s="1497"/>
      <c r="AJ102" s="1497"/>
      <c r="AK102" s="1497"/>
      <c r="AL102" s="1497"/>
      <c r="AM102" s="1497"/>
      <c r="AN102" s="1497"/>
      <c r="AO102" s="1497"/>
      <c r="AP102" s="1497"/>
      <c r="AQ102" s="1497"/>
      <c r="AR102" s="1497"/>
      <c r="AS102" s="1497"/>
      <c r="AT102" s="1497"/>
      <c r="AU102" s="1497"/>
      <c r="AV102" s="1497"/>
      <c r="AW102" s="1482"/>
      <c r="AX102" s="1482"/>
      <c r="AY102" s="1482"/>
      <c r="AZ102" s="1482"/>
      <c r="BA102" s="1482"/>
      <c r="BB102" s="1482"/>
      <c r="BC102" s="1482"/>
      <c r="BD102" s="1482"/>
      <c r="BE102" s="1482"/>
      <c r="BF102" s="1482"/>
      <c r="BG102" s="1482"/>
      <c r="BH102" s="1482"/>
    </row>
    <row r="103" spans="4:60">
      <c r="D103" s="314" t="str">
        <f>+'Questions - Fragen'!$A39</f>
        <v>4.1</v>
      </c>
      <c r="E103" s="38" t="str">
        <f>IF(COUNT(J103:K103)&gt;0,MIN(J103:K103),"n.b")</f>
        <v>n.b</v>
      </c>
      <c r="F103" s="38"/>
      <c r="G103" s="38"/>
      <c r="H103" s="38"/>
      <c r="I103" s="275"/>
      <c r="J103" s="167" t="str">
        <f>D22</f>
        <v>n.e.</v>
      </c>
      <c r="K103" s="167" t="str">
        <f>Q22</f>
        <v>n.e.</v>
      </c>
      <c r="T103" s="260"/>
      <c r="U103" s="1497"/>
      <c r="V103" s="1497"/>
      <c r="W103" s="1497"/>
      <c r="X103" s="1497"/>
      <c r="Y103" s="1497"/>
      <c r="Z103" s="1497"/>
      <c r="AA103" s="1497"/>
      <c r="AB103" s="1497"/>
      <c r="AC103" s="1497"/>
      <c r="AD103" s="1497"/>
      <c r="AE103" s="1497"/>
      <c r="AF103" s="1497"/>
      <c r="AG103" s="1497"/>
      <c r="AH103" s="1497"/>
      <c r="AI103" s="1497"/>
      <c r="AJ103" s="1497"/>
      <c r="AK103" s="1497"/>
      <c r="AL103" s="1497"/>
      <c r="AM103" s="1497"/>
      <c r="AN103" s="1497"/>
      <c r="AO103" s="1497"/>
      <c r="AP103" s="1497"/>
      <c r="AQ103" s="1497"/>
      <c r="AR103" s="1497"/>
      <c r="AS103" s="1497"/>
      <c r="AT103" s="1497"/>
      <c r="AU103" s="1497"/>
      <c r="AV103" s="1497"/>
      <c r="AW103" s="1482"/>
      <c r="AX103" s="1482"/>
      <c r="AY103" s="1482"/>
      <c r="AZ103" s="1482"/>
      <c r="BA103" s="1482"/>
      <c r="BB103" s="1482"/>
      <c r="BC103" s="1482"/>
      <c r="BD103" s="1482"/>
      <c r="BE103" s="1482"/>
      <c r="BF103" s="1482"/>
      <c r="BG103" s="1482"/>
      <c r="BH103" s="1482"/>
    </row>
    <row r="104" spans="4:60">
      <c r="D104" s="314" t="str">
        <f>+'Questions - Fragen'!$A42</f>
        <v>4.2</v>
      </c>
      <c r="E104" s="38"/>
      <c r="F104" s="38"/>
      <c r="G104" s="38"/>
      <c r="H104" s="38"/>
      <c r="I104" s="275"/>
      <c r="J104" s="167"/>
      <c r="K104" s="167"/>
      <c r="T104" s="260"/>
      <c r="U104" s="1497"/>
      <c r="V104" s="1497"/>
      <c r="W104" s="1497"/>
      <c r="X104" s="1497"/>
      <c r="Y104" s="1497"/>
      <c r="Z104" s="1497"/>
      <c r="AA104" s="1497"/>
      <c r="AB104" s="1497"/>
      <c r="AC104" s="1497"/>
      <c r="AD104" s="1497"/>
      <c r="AE104" s="1497"/>
      <c r="AF104" s="1497"/>
      <c r="AG104" s="1497"/>
      <c r="AH104" s="1497"/>
      <c r="AI104" s="1497"/>
      <c r="AJ104" s="1497"/>
      <c r="AK104" s="1497"/>
      <c r="AL104" s="1497"/>
      <c r="AM104" s="1497"/>
      <c r="AN104" s="1497"/>
      <c r="AO104" s="1497"/>
      <c r="AP104" s="1497"/>
      <c r="AQ104" s="1497"/>
      <c r="AR104" s="1497"/>
      <c r="AS104" s="1497"/>
      <c r="AT104" s="1497"/>
      <c r="AU104" s="1497"/>
      <c r="AV104" s="1497"/>
      <c r="AW104" s="1482"/>
      <c r="AX104" s="1482"/>
      <c r="AY104" s="1482"/>
      <c r="AZ104" s="1482"/>
      <c r="BA104" s="1482"/>
      <c r="BB104" s="1482"/>
      <c r="BC104" s="1482"/>
      <c r="BD104" s="1482"/>
      <c r="BE104" s="1482"/>
      <c r="BF104" s="1482"/>
      <c r="BG104" s="1482"/>
      <c r="BH104" s="1482"/>
    </row>
    <row r="105" spans="4:60">
      <c r="D105" s="314" t="str">
        <f>+'Questions - Fragen'!$A45</f>
        <v>4.3</v>
      </c>
      <c r="E105" s="38"/>
      <c r="F105" s="38"/>
      <c r="G105" s="38"/>
      <c r="H105" s="38"/>
      <c r="I105" s="275"/>
      <c r="J105" s="167"/>
      <c r="K105" s="167"/>
      <c r="T105" s="260"/>
      <c r="U105" s="1497"/>
      <c r="V105" s="1497"/>
      <c r="W105" s="1497"/>
      <c r="X105" s="1497"/>
      <c r="Y105" s="1497"/>
      <c r="Z105" s="1497"/>
      <c r="AA105" s="1497"/>
      <c r="AB105" s="1497"/>
      <c r="AC105" s="1497"/>
      <c r="AD105" s="1497"/>
      <c r="AE105" s="1497"/>
      <c r="AF105" s="1497"/>
      <c r="AG105" s="1497"/>
      <c r="AH105" s="1497"/>
      <c r="AI105" s="1497"/>
      <c r="AJ105" s="1497"/>
      <c r="AK105" s="1497"/>
      <c r="AL105" s="1497"/>
      <c r="AM105" s="1497"/>
      <c r="AN105" s="1497"/>
      <c r="AO105" s="1497"/>
      <c r="AP105" s="1497"/>
      <c r="AQ105" s="1497"/>
      <c r="AR105" s="1497"/>
      <c r="AS105" s="1497"/>
      <c r="AT105" s="1497"/>
      <c r="AU105" s="1497"/>
      <c r="AV105" s="1497"/>
      <c r="AW105" s="1482"/>
      <c r="AX105" s="1482"/>
      <c r="AY105" s="1482"/>
      <c r="AZ105" s="1482"/>
      <c r="BA105" s="1482"/>
      <c r="BB105" s="1482"/>
      <c r="BC105" s="1482"/>
      <c r="BD105" s="1482"/>
      <c r="BE105" s="1482"/>
      <c r="BF105" s="1482"/>
      <c r="BG105" s="1482"/>
      <c r="BH105" s="1482"/>
    </row>
    <row r="106" spans="4:60">
      <c r="D106" s="314" t="str">
        <f>+'Questions - Fragen'!$A48</f>
        <v>4.4</v>
      </c>
      <c r="E106" s="38" t="str">
        <f>IF(COUNT(J106:K106)&gt;0,MIN(J106:K106),"n.b")</f>
        <v>n.b</v>
      </c>
      <c r="F106" s="38"/>
      <c r="G106" s="38"/>
      <c r="H106" s="38"/>
      <c r="I106" s="275"/>
      <c r="J106" s="167" t="str">
        <f>G22</f>
        <v>n.e.</v>
      </c>
      <c r="K106" s="167" t="str">
        <f>T22</f>
        <v>n.e.</v>
      </c>
      <c r="T106" s="260"/>
      <c r="U106" s="1497"/>
      <c r="V106" s="1497"/>
      <c r="W106" s="1497"/>
      <c r="X106" s="1497"/>
      <c r="Y106" s="1497"/>
      <c r="Z106" s="1497"/>
      <c r="AA106" s="1497"/>
      <c r="AB106" s="1497"/>
      <c r="AC106" s="1497"/>
      <c r="AD106" s="1497"/>
      <c r="AE106" s="1497"/>
      <c r="AF106" s="1497"/>
      <c r="AG106" s="1497"/>
      <c r="AH106" s="1497"/>
      <c r="AI106" s="1497"/>
      <c r="AJ106" s="1497"/>
      <c r="AK106" s="1497"/>
      <c r="AL106" s="1497"/>
      <c r="AM106" s="1497"/>
      <c r="AN106" s="1497"/>
      <c r="AO106" s="1497"/>
      <c r="AP106" s="1497"/>
      <c r="AQ106" s="1497"/>
      <c r="AR106" s="1497"/>
      <c r="AS106" s="1497"/>
      <c r="AT106" s="1497"/>
      <c r="AU106" s="1497"/>
      <c r="AV106" s="1497"/>
      <c r="AW106" s="1482"/>
      <c r="AX106" s="1482"/>
      <c r="AY106" s="1482"/>
      <c r="AZ106" s="1482"/>
      <c r="BA106" s="1482"/>
      <c r="BB106" s="1482"/>
      <c r="BC106" s="1482"/>
      <c r="BD106" s="1482"/>
      <c r="BE106" s="1482"/>
      <c r="BF106" s="1482"/>
      <c r="BG106" s="1482"/>
      <c r="BH106" s="1482"/>
    </row>
    <row r="107" spans="4:60">
      <c r="D107" s="314" t="str">
        <f>+'Questions - Fragen'!$A51</f>
        <v>4.5</v>
      </c>
      <c r="E107" s="38"/>
      <c r="F107" s="38"/>
      <c r="G107" s="38"/>
      <c r="H107" s="38"/>
      <c r="I107" s="275"/>
      <c r="J107" s="167"/>
      <c r="K107" s="167"/>
      <c r="T107" s="260"/>
      <c r="U107" s="1497"/>
      <c r="V107" s="1497"/>
      <c r="W107" s="1497"/>
      <c r="X107" s="1497"/>
      <c r="Y107" s="1497"/>
      <c r="Z107" s="1497"/>
      <c r="AA107" s="1497"/>
      <c r="AB107" s="1497"/>
      <c r="AC107" s="1497"/>
      <c r="AD107" s="1497"/>
      <c r="AE107" s="1497"/>
      <c r="AF107" s="1497"/>
      <c r="AG107" s="1497"/>
      <c r="AH107" s="1497"/>
      <c r="AI107" s="1497"/>
      <c r="AJ107" s="1497"/>
      <c r="AK107" s="1497"/>
      <c r="AL107" s="1497"/>
      <c r="AM107" s="1497"/>
      <c r="AN107" s="1497"/>
      <c r="AO107" s="1497"/>
      <c r="AP107" s="1497"/>
      <c r="AQ107" s="1497"/>
      <c r="AR107" s="1497"/>
      <c r="AS107" s="1497"/>
      <c r="AT107" s="1497"/>
      <c r="AU107" s="1497"/>
      <c r="AV107" s="1497"/>
      <c r="AW107" s="1482"/>
      <c r="AX107" s="1482"/>
      <c r="AY107" s="1482"/>
      <c r="AZ107" s="1482"/>
      <c r="BA107" s="1482"/>
      <c r="BB107" s="1482"/>
      <c r="BC107" s="1482"/>
      <c r="BD107" s="1482"/>
      <c r="BE107" s="1482"/>
      <c r="BF107" s="1482"/>
      <c r="BG107" s="1482"/>
      <c r="BH107" s="1482"/>
    </row>
    <row r="108" spans="4:60">
      <c r="D108" s="314" t="str">
        <f>+'Questions - Fragen'!$A54</f>
        <v>4.6</v>
      </c>
      <c r="E108" s="38"/>
      <c r="F108" s="38"/>
      <c r="G108" s="38"/>
      <c r="H108" s="38"/>
      <c r="I108" s="275"/>
      <c r="J108" s="167"/>
      <c r="K108" s="167"/>
      <c r="T108" s="260"/>
      <c r="U108" s="1497"/>
      <c r="V108" s="1497"/>
      <c r="W108" s="1497"/>
      <c r="X108" s="1497"/>
      <c r="Y108" s="1497"/>
      <c r="Z108" s="1497"/>
      <c r="AA108" s="1497"/>
      <c r="AB108" s="1497"/>
      <c r="AC108" s="1497"/>
      <c r="AD108" s="1497"/>
      <c r="AE108" s="1497"/>
      <c r="AF108" s="1497"/>
      <c r="AG108" s="1497"/>
      <c r="AH108" s="1497"/>
      <c r="AI108" s="1497"/>
      <c r="AJ108" s="1497"/>
      <c r="AK108" s="1497"/>
      <c r="AL108" s="1497"/>
      <c r="AM108" s="1497"/>
      <c r="AN108" s="1497"/>
      <c r="AO108" s="1497"/>
      <c r="AP108" s="1497"/>
      <c r="AQ108" s="1497"/>
      <c r="AR108" s="1497"/>
      <c r="AS108" s="1497"/>
      <c r="AT108" s="1497"/>
      <c r="AU108" s="1497"/>
      <c r="AV108" s="1497"/>
      <c r="AW108" s="1482"/>
      <c r="AX108" s="1482"/>
      <c r="AY108" s="1482"/>
      <c r="AZ108" s="1482"/>
      <c r="BA108" s="1482"/>
      <c r="BB108" s="1482"/>
      <c r="BC108" s="1482"/>
      <c r="BD108" s="1482"/>
      <c r="BE108" s="1482"/>
      <c r="BF108" s="1482"/>
      <c r="BG108" s="1482"/>
      <c r="BH108" s="1482"/>
    </row>
    <row r="109" spans="4:60" ht="15">
      <c r="D109" s="398" t="str">
        <f>'Questions - Fragen'!A56</f>
        <v>4.7</v>
      </c>
      <c r="E109" s="38"/>
      <c r="F109" s="38"/>
      <c r="G109" s="38"/>
      <c r="H109" s="38"/>
      <c r="I109" s="275"/>
      <c r="J109" s="167"/>
      <c r="K109" s="167"/>
      <c r="T109" s="260"/>
      <c r="U109" s="1022"/>
      <c r="V109" s="1022"/>
      <c r="W109" s="1022"/>
      <c r="X109" s="1022"/>
      <c r="Y109" s="1022"/>
      <c r="Z109" s="1022"/>
      <c r="AA109" s="1022"/>
      <c r="AB109" s="1022"/>
      <c r="AC109" s="1022"/>
      <c r="AD109" s="1022"/>
      <c r="AE109" s="1022"/>
      <c r="AF109" s="1022"/>
      <c r="AG109" s="1022"/>
      <c r="AH109" s="1022"/>
      <c r="AI109" s="1022"/>
      <c r="AJ109" s="1022"/>
      <c r="AK109" s="1022"/>
      <c r="AL109" s="1022"/>
      <c r="AM109" s="1022"/>
      <c r="AN109" s="1022"/>
      <c r="AO109" s="1022"/>
      <c r="AP109" s="1022"/>
      <c r="AQ109" s="1022"/>
      <c r="AR109" s="1022"/>
      <c r="AS109" s="1022"/>
      <c r="AT109" s="1022"/>
      <c r="AU109" s="1022"/>
      <c r="AV109" s="1022"/>
      <c r="AW109" s="1021"/>
      <c r="AX109" s="1021"/>
      <c r="AY109" s="1021"/>
      <c r="AZ109" s="1021"/>
      <c r="BA109" s="1021"/>
      <c r="BB109" s="1021"/>
      <c r="BC109" s="1021"/>
      <c r="BD109" s="1021"/>
      <c r="BE109" s="1021"/>
      <c r="BF109" s="1021"/>
      <c r="BG109" s="1021"/>
      <c r="BH109" s="1021"/>
    </row>
    <row r="110" spans="4:60" ht="15">
      <c r="D110" s="314" t="str">
        <f>+'Questions - Fragen'!$A58</f>
        <v>4.8</v>
      </c>
      <c r="E110" s="38" t="str">
        <f>IF(COUNT(J110:K110)&gt;0,MIN(J110:K110),"n.b")</f>
        <v>n.b</v>
      </c>
      <c r="F110" s="38"/>
      <c r="G110" s="38"/>
      <c r="H110" s="38"/>
      <c r="I110" s="275"/>
      <c r="J110" s="167" t="str">
        <f>K22</f>
        <v>n.e.</v>
      </c>
      <c r="K110" s="167" t="str">
        <f>X22</f>
        <v>n.e.</v>
      </c>
      <c r="T110" s="260"/>
      <c r="U110" s="1497"/>
      <c r="V110" s="1497"/>
      <c r="W110" s="1497"/>
      <c r="X110" s="1497"/>
      <c r="Y110" s="1497"/>
      <c r="Z110" s="1497"/>
      <c r="AA110" s="1497"/>
      <c r="AB110" s="1497"/>
      <c r="AC110" s="1497"/>
      <c r="AD110" s="1497"/>
      <c r="AE110" s="1497"/>
      <c r="AF110" s="1497"/>
      <c r="AG110" s="1497"/>
      <c r="AH110" s="1497"/>
      <c r="AI110" s="1497"/>
      <c r="AJ110" s="1497"/>
      <c r="AK110" s="1497"/>
      <c r="AL110" s="1497"/>
      <c r="AM110" s="1497"/>
      <c r="AN110" s="1497"/>
      <c r="AO110" s="1497"/>
      <c r="AP110" s="1497"/>
      <c r="AQ110" s="1497"/>
      <c r="AR110" s="1497"/>
      <c r="AS110" s="1497"/>
      <c r="AT110" s="1497"/>
      <c r="AU110" s="1497"/>
      <c r="AV110" s="1497"/>
      <c r="AW110" s="1482"/>
      <c r="AX110" s="1482"/>
      <c r="AY110" s="1482"/>
      <c r="AZ110" s="1482"/>
      <c r="BA110" s="1482"/>
      <c r="BB110" s="1482"/>
      <c r="BC110" s="1482"/>
      <c r="BD110" s="1482"/>
      <c r="BE110" s="1482"/>
      <c r="BF110" s="1482"/>
      <c r="BG110" s="1482"/>
      <c r="BH110" s="1482"/>
    </row>
    <row r="111" spans="4:60" ht="15">
      <c r="D111" s="315" t="str">
        <f>+'Questions - Fragen'!$A61</f>
        <v>P5</v>
      </c>
      <c r="E111" s="38"/>
      <c r="F111" s="38"/>
      <c r="G111" s="272" t="s">
        <v>98</v>
      </c>
      <c r="H111" s="38" t="str">
        <f>+IF(COUNT(E103:E110)=0,$AI$35,+IF(MIN(E103:E110)=0,"C",+IF(MIN(E103:E110)=4,"B","A")))</f>
        <v>n.e.</v>
      </c>
      <c r="I111" s="275" t="str">
        <f>+A22</f>
        <v>n.e.</v>
      </c>
    </row>
    <row r="112" spans="4:60">
      <c r="D112" s="314" t="str">
        <f>+'Questions - Fragen'!$A62</f>
        <v>5.1</v>
      </c>
      <c r="E112" s="38"/>
      <c r="F112" s="38"/>
      <c r="G112" s="38"/>
      <c r="H112" s="38"/>
      <c r="I112" s="275"/>
    </row>
    <row r="113" spans="4:19">
      <c r="D113" s="314" t="str">
        <f>+'Questions - Fragen'!$A63</f>
        <v>5.2</v>
      </c>
      <c r="E113" s="38"/>
      <c r="F113" s="38"/>
      <c r="G113" s="38"/>
      <c r="H113" s="38"/>
      <c r="I113" s="275"/>
    </row>
    <row r="114" spans="4:19">
      <c r="D114" s="314" t="str">
        <f>+'Questions - Fragen'!$A64</f>
        <v>5.3</v>
      </c>
      <c r="E114" s="38"/>
      <c r="F114" s="38"/>
      <c r="G114" s="38"/>
      <c r="H114" s="38"/>
      <c r="I114" s="275"/>
    </row>
    <row r="115" spans="4:19">
      <c r="D115" s="314" t="str">
        <f>+'Questions - Fragen'!$A65</f>
        <v>5.4</v>
      </c>
      <c r="E115" s="38" t="str">
        <f>O29</f>
        <v>n.e.</v>
      </c>
      <c r="F115" s="38"/>
      <c r="G115" s="38"/>
      <c r="H115" s="38"/>
      <c r="I115" s="275"/>
    </row>
    <row r="116" spans="4:19">
      <c r="D116" s="314" t="str">
        <f>+'Questions - Fragen'!$A66</f>
        <v>5.5</v>
      </c>
      <c r="E116" s="38" t="str">
        <f>P29</f>
        <v>n.e.</v>
      </c>
      <c r="F116" s="38"/>
      <c r="G116" s="38"/>
      <c r="H116" s="38"/>
      <c r="I116" s="275"/>
    </row>
    <row r="117" spans="4:19">
      <c r="D117" s="314" t="str">
        <f>+'Questions - Fragen'!$A67</f>
        <v>5.6</v>
      </c>
      <c r="E117" s="38"/>
      <c r="F117" s="38"/>
      <c r="G117" s="38"/>
      <c r="H117" s="38"/>
      <c r="I117" s="275"/>
    </row>
    <row r="118" spans="4:19">
      <c r="D118" s="314" t="str">
        <f>+'Questions - Fragen'!$A68</f>
        <v>5.7</v>
      </c>
      <c r="E118" s="38"/>
      <c r="F118" s="38"/>
      <c r="G118" s="272" t="s">
        <v>99</v>
      </c>
      <c r="H118" s="186" t="str">
        <f>+IF(COUNT(E112:E118)=0,$AI$35,+IF(MIN(E112:E118)=0,"C",+IF(MIN(E112:E118)=4,"B","A")))</f>
        <v>n.e.</v>
      </c>
      <c r="I118" s="275" t="str">
        <f>+A29</f>
        <v>n.e.</v>
      </c>
    </row>
    <row r="119" spans="4:19" ht="15">
      <c r="D119" s="315" t="str">
        <f>+'Questions - Fragen'!$A69</f>
        <v>P6</v>
      </c>
      <c r="E119" s="272" t="s">
        <v>162</v>
      </c>
      <c r="F119" s="38"/>
      <c r="G119" s="38"/>
      <c r="H119" s="38"/>
      <c r="I119" s="275"/>
      <c r="J119" s="177" t="s">
        <v>29</v>
      </c>
    </row>
    <row r="120" spans="4:19">
      <c r="D120" s="314" t="str">
        <f>+'Questions - Fragen'!$A70</f>
        <v>6.1</v>
      </c>
      <c r="E120" s="272" t="s">
        <v>162</v>
      </c>
      <c r="F120" s="38"/>
      <c r="G120" s="38"/>
      <c r="H120" s="38"/>
      <c r="I120" s="275"/>
      <c r="J120" s="32" t="s">
        <v>197</v>
      </c>
      <c r="K120" s="32" t="s">
        <v>198</v>
      </c>
      <c r="L120" s="32" t="s">
        <v>199</v>
      </c>
      <c r="M120" s="32" t="s">
        <v>767</v>
      </c>
      <c r="N120" s="32" t="s">
        <v>768</v>
      </c>
      <c r="O120" s="32" t="s">
        <v>769</v>
      </c>
      <c r="P120" s="32" t="s">
        <v>770</v>
      </c>
      <c r="Q120" s="32" t="s">
        <v>771</v>
      </c>
      <c r="R120" s="32" t="s">
        <v>772</v>
      </c>
      <c r="S120" s="32" t="s">
        <v>773</v>
      </c>
    </row>
    <row r="121" spans="4:19">
      <c r="D121" s="314" t="str">
        <f>+'Questions - Fragen'!$A71</f>
        <v>6.1.1</v>
      </c>
      <c r="E121" s="38" t="s">
        <v>210</v>
      </c>
      <c r="F121" s="38"/>
      <c r="G121" s="38"/>
      <c r="H121" s="38"/>
      <c r="I121" s="275"/>
      <c r="J121" s="177" t="str">
        <f>IF('Questions - Fragen'!$B71&lt;&gt;"x","kein *",IF(ISBLANK('Questions - Fragen'!D72),"--",'Questions - Fragen'!D72))</f>
        <v>kein *</v>
      </c>
      <c r="K121" s="177" t="str">
        <f>IF('Questions - Fragen'!$B71&lt;&gt;"x","kein *",IF(ISBLANK('Questions - Fragen'!D73),"--",'Questions - Fragen'!D73))</f>
        <v>kein *</v>
      </c>
      <c r="L121" s="177" t="str">
        <f>IF('Questions - Fragen'!$B71&lt;&gt;"x","kein *",IF(ISBLANK('Questions - Fragen'!D74),"--",'Questions - Fragen'!D74))</f>
        <v>kein *</v>
      </c>
      <c r="M121" s="177" t="str">
        <f>IF('Questions - Fragen'!$B71&lt;&gt;"x","kein *",IF(ISBLANK('Questions - Fragen'!D75),"--",'Questions - Fragen'!D75))</f>
        <v>kein *</v>
      </c>
      <c r="N121" s="177" t="str">
        <f>IF('Questions - Fragen'!$B71&lt;&gt;"x","kein *",IF(ISBLANK('Questions - Fragen'!D76),"--",'Questions - Fragen'!D76))</f>
        <v>kein *</v>
      </c>
      <c r="O121" s="177" t="str">
        <f>IF('Questions - Fragen'!$B71&lt;&gt;"x","kein *",IF(ISBLANK('Questions - Fragen'!D77),"--",'Questions - Fragen'!D77))</f>
        <v>kein *</v>
      </c>
      <c r="P121" s="177" t="str">
        <f>IF('Questions - Fragen'!$B71&lt;&gt;"x","kein *",IF(ISBLANK('Questions - Fragen'!D78),"--",'Questions - Fragen'!D78))</f>
        <v>kein *</v>
      </c>
      <c r="Q121" s="177" t="str">
        <f>IF('Questions - Fragen'!$B71&lt;&gt;"x","kein *",IF(ISBLANK('Questions - Fragen'!D79),"--",'Questions - Fragen'!D79))</f>
        <v>kein *</v>
      </c>
      <c r="R121" s="177" t="str">
        <f>IF('Questions - Fragen'!$B71&lt;&gt;"x","kein *",IF(ISBLANK('Questions - Fragen'!D80),"--",'Questions - Fragen'!D80))</f>
        <v>kein *</v>
      </c>
      <c r="S121" s="177" t="str">
        <f>IF('Questions - Fragen'!$B71&lt;&gt;"x","kein *",IF(ISBLANK('Questions - Fragen'!D81),"--",'Questions - Fragen'!D81))</f>
        <v>kein *</v>
      </c>
    </row>
    <row r="122" spans="4:19">
      <c r="D122" s="314" t="str">
        <f>+'Questions - Fragen'!$A82</f>
        <v>6.1.2</v>
      </c>
      <c r="E122" s="38" t="str">
        <f>+IF('Questions - Fragen'!B82&lt;&gt;"x","kein *",+IF(ISERROR(AVERAGE('Questions - Fragen'!D83:D85)),$AI$35,+MIN('Questions - Fragen'!D83:D85)))</f>
        <v>kein *</v>
      </c>
      <c r="F122" s="38"/>
      <c r="G122" s="38"/>
      <c r="H122" s="38"/>
      <c r="I122" s="275"/>
      <c r="J122" s="177" t="str">
        <f>IF('Questions - Fragen'!$B82&lt;&gt;"x","kein *",IF(ISBLANK('Questions - Fragen'!D83),"--",'Questions - Fragen'!D83))</f>
        <v>kein *</v>
      </c>
      <c r="K122" s="177" t="str">
        <f>IF('Questions - Fragen'!$B82&lt;&gt;"x","kein *",IF(ISBLANK('Questions - Fragen'!D84),"--",'Questions - Fragen'!D84))</f>
        <v>kein *</v>
      </c>
      <c r="L122" s="177" t="str">
        <f>IF('Questions - Fragen'!$B82&lt;&gt;"x","kein *",IF(ISBLANK('Questions - Fragen'!D85),"--",'Questions - Fragen'!D85))</f>
        <v>kein *</v>
      </c>
      <c r="M122" s="177" t="str">
        <f>IF('Questions - Fragen'!$B82&lt;&gt;"x","kein *",IF(ISBLANK('Questions - Fragen'!D86),"--",'Questions - Fragen'!D86))</f>
        <v>kein *</v>
      </c>
      <c r="N122" s="177" t="str">
        <f>IF('Questions - Fragen'!$B82&lt;&gt;"x","kein *",IF(ISBLANK('Questions - Fragen'!D87),"--",'Questions - Fragen'!D87))</f>
        <v>kein *</v>
      </c>
      <c r="O122" s="177" t="str">
        <f>IF('Questions - Fragen'!$B82&lt;&gt;"x","kein *",IF(ISBLANK('Questions - Fragen'!D88),"--",'Questions - Fragen'!D88))</f>
        <v>kein *</v>
      </c>
      <c r="P122" s="177" t="str">
        <f>IF('Questions - Fragen'!$B82&lt;&gt;"x","kein *",IF(ISBLANK('Questions - Fragen'!D89),"--",'Questions - Fragen'!D89))</f>
        <v>kein *</v>
      </c>
      <c r="Q122" s="177" t="str">
        <f>IF('Questions - Fragen'!$B82&lt;&gt;"x","kein *",IF(ISBLANK('Questions - Fragen'!D90),"--",'Questions - Fragen'!D90))</f>
        <v>kein *</v>
      </c>
      <c r="R122" s="177" t="str">
        <f>IF('Questions - Fragen'!$B82&lt;&gt;"x","kein *",IF(ISBLANK('Questions - Fragen'!D91),"--",'Questions - Fragen'!D91))</f>
        <v>kein *</v>
      </c>
      <c r="S122" s="177" t="str">
        <f>IF('Questions - Fragen'!$B82&lt;&gt;"x","kein *",IF(ISBLANK('Questions - Fragen'!D92),"--",'Questions - Fragen'!D92))</f>
        <v>kein *</v>
      </c>
    </row>
    <row r="123" spans="4:19">
      <c r="D123" s="314" t="str">
        <f>+'Questions - Fragen'!$A93</f>
        <v>6.1.3</v>
      </c>
      <c r="E123" s="38" t="str">
        <f>+IF('Questions - Fragen'!B93&lt;&gt;"x","kein *",+IF(ISERROR(AVERAGE('Questions - Fragen'!D94:D96)),$AI$35,+MIN('Questions - Fragen'!D94:D96)))</f>
        <v>kein *</v>
      </c>
      <c r="F123" s="38"/>
      <c r="G123" s="38"/>
      <c r="H123" s="38"/>
      <c r="I123" s="275"/>
      <c r="J123" s="177" t="str">
        <f>IF('Questions - Fragen'!$B93&lt;&gt;"x","kein *",IF(ISBLANK('Questions - Fragen'!D94),"--",'Questions - Fragen'!D94))</f>
        <v>kein *</v>
      </c>
      <c r="K123" s="177" t="str">
        <f>IF('Questions - Fragen'!$B93&lt;&gt;"x","kein *",IF(ISBLANK('Questions - Fragen'!D95),"--",'Questions - Fragen'!D95))</f>
        <v>kein *</v>
      </c>
      <c r="L123" s="177" t="str">
        <f>IF('Questions - Fragen'!$B93&lt;&gt;"x","kein *",IF(ISBLANK('Questions - Fragen'!D96),"--",'Questions - Fragen'!D96))</f>
        <v>kein *</v>
      </c>
      <c r="M123" s="177" t="str">
        <f>IF('Questions - Fragen'!$B93&lt;&gt;"x","kein *",IF(ISBLANK('Questions - Fragen'!D97),"--",'Questions - Fragen'!D97))</f>
        <v>kein *</v>
      </c>
      <c r="N123" s="177" t="str">
        <f>IF('Questions - Fragen'!$B93&lt;&gt;"x","kein *",IF(ISBLANK('Questions - Fragen'!D98),"--",'Questions - Fragen'!D98))</f>
        <v>kein *</v>
      </c>
      <c r="O123" s="177" t="str">
        <f>IF('Questions - Fragen'!$B93&lt;&gt;"x","kein *",IF(ISBLANK('Questions - Fragen'!D99),"--",'Questions - Fragen'!D99))</f>
        <v>kein *</v>
      </c>
      <c r="P123" s="177" t="str">
        <f>IF('Questions - Fragen'!$B93&lt;&gt;"x","kein *",IF(ISBLANK('Questions - Fragen'!D100),"--",'Questions - Fragen'!D100))</f>
        <v>kein *</v>
      </c>
      <c r="Q123" s="177" t="str">
        <f>IF('Questions - Fragen'!$B93&lt;&gt;"x","kein *",IF(ISBLANK('Questions - Fragen'!D101),"--",'Questions - Fragen'!D101))</f>
        <v>kein *</v>
      </c>
      <c r="R123" s="177" t="str">
        <f>IF('Questions - Fragen'!$B93&lt;&gt;"x","kein *",IF(ISBLANK('Questions - Fragen'!D102),"--",'Questions - Fragen'!D102))</f>
        <v>kein *</v>
      </c>
      <c r="S123" s="177" t="str">
        <f>IF('Questions - Fragen'!$B93&lt;&gt;"x","kein *",IF(ISBLANK('Questions - Fragen'!D103),"--",'Questions - Fragen'!D103))</f>
        <v>kein *</v>
      </c>
    </row>
    <row r="124" spans="4:19">
      <c r="D124" s="314" t="str">
        <f>+'Questions - Fragen'!$A104</f>
        <v>6.1.4</v>
      </c>
      <c r="E124" s="38" t="str">
        <f>+IF('Questions - Fragen'!B104&lt;&gt;"x","kein *",+IF(ISERROR(AVERAGE('Questions - Fragen'!D105:D107)),$AI$35,+MIN('Questions - Fragen'!D105:D107)))</f>
        <v>kein *</v>
      </c>
      <c r="F124" s="38"/>
      <c r="G124" s="38"/>
      <c r="H124" s="38"/>
      <c r="I124" s="275"/>
      <c r="J124" s="177" t="str">
        <f>IF('Questions - Fragen'!$B104&lt;&gt;"x","kein *",IF(ISBLANK('Questions - Fragen'!D105),"--",'Questions - Fragen'!D105))</f>
        <v>kein *</v>
      </c>
      <c r="K124" s="177" t="str">
        <f>IF('Questions - Fragen'!$B104&lt;&gt;"x","kein *",IF(ISBLANK('Questions - Fragen'!D106),"--",'Questions - Fragen'!D106))</f>
        <v>kein *</v>
      </c>
      <c r="L124" s="177" t="str">
        <f>IF('Questions - Fragen'!$B104&lt;&gt;"x","kein *",IF(ISBLANK('Questions - Fragen'!D107),"--",'Questions - Fragen'!D107))</f>
        <v>kein *</v>
      </c>
      <c r="M124" s="177" t="str">
        <f>IF('Questions - Fragen'!$B104&lt;&gt;"x","kein *",IF(ISBLANK('Questions - Fragen'!D108),"--",'Questions - Fragen'!D108))</f>
        <v>kein *</v>
      </c>
      <c r="N124" s="177" t="str">
        <f>IF('Questions - Fragen'!$B104&lt;&gt;"x","kein *",IF(ISBLANK('Questions - Fragen'!D109),"--",'Questions - Fragen'!D109))</f>
        <v>kein *</v>
      </c>
      <c r="O124" s="177" t="str">
        <f>IF('Questions - Fragen'!$B104&lt;&gt;"x","kein *",IF(ISBLANK('Questions - Fragen'!D110),"--",'Questions - Fragen'!D110))</f>
        <v>kein *</v>
      </c>
      <c r="P124" s="177" t="str">
        <f>IF('Questions - Fragen'!$B104&lt;&gt;"x","kein *",IF(ISBLANK('Questions - Fragen'!D111),"--",'Questions - Fragen'!D111))</f>
        <v>kein *</v>
      </c>
      <c r="Q124" s="177" t="str">
        <f>IF('Questions - Fragen'!$B104&lt;&gt;"x","kein *",IF(ISBLANK('Questions - Fragen'!D112),"--",'Questions - Fragen'!D112))</f>
        <v>kein *</v>
      </c>
      <c r="R124" s="177" t="str">
        <f>IF('Questions - Fragen'!$B104&lt;&gt;"x","kein *",IF(ISBLANK('Questions - Fragen'!D113),"--",'Questions - Fragen'!D113))</f>
        <v>kein *</v>
      </c>
      <c r="S124" s="177" t="str">
        <f>IF('Questions - Fragen'!$B104&lt;&gt;"x","kein *",IF(ISBLANK('Questions - Fragen'!D114),"--",'Questions - Fragen'!D114))</f>
        <v>kein *</v>
      </c>
    </row>
    <row r="125" spans="4:19">
      <c r="D125" s="314" t="str">
        <f>+'Questions - Fragen'!$A115</f>
        <v>6.1.5</v>
      </c>
      <c r="E125" s="38" t="str">
        <f>IF(COUNT(J125:S125)&gt;0,MIN(J125:S125),"n.b")</f>
        <v>n.b</v>
      </c>
      <c r="F125" s="38"/>
      <c r="G125" s="38"/>
      <c r="H125" s="38"/>
      <c r="I125" s="275"/>
      <c r="J125" s="177" t="str">
        <f>IF('Questions - Fragen'!$B115&lt;&gt;"x","kein *",IF(ISBLANK('Questions - Fragen'!D116),"--",'Questions - Fragen'!D116))</f>
        <v>n.e.</v>
      </c>
      <c r="K125" s="177" t="str">
        <f>IF('Questions - Fragen'!$B115&lt;&gt;"x","kein *",IF(ISBLANK('Questions - Fragen'!D117),"--",'Questions - Fragen'!D117))</f>
        <v>n.e.</v>
      </c>
      <c r="L125" s="177" t="str">
        <f>IF('Questions - Fragen'!$B115&lt;&gt;"x","kein *",IF(ISBLANK('Questions - Fragen'!D118),"--",'Questions - Fragen'!D118))</f>
        <v>n.e.</v>
      </c>
      <c r="M125" s="177" t="str">
        <f>IF('Questions - Fragen'!$B115&lt;&gt;"x","kein *",IF(ISBLANK('Questions - Fragen'!D119),"--",'Questions - Fragen'!D119))</f>
        <v>n.e.</v>
      </c>
      <c r="N125" s="177" t="str">
        <f>IF('Questions - Fragen'!$B115&lt;&gt;"x","kein *",IF(ISBLANK('Questions - Fragen'!D120),"--",'Questions - Fragen'!D120))</f>
        <v>n.e.</v>
      </c>
      <c r="O125" s="177" t="str">
        <f>IF('Questions - Fragen'!$B115&lt;&gt;"x","kein *",IF(ISBLANK('Questions - Fragen'!D121),"--",'Questions - Fragen'!D121))</f>
        <v>n.e.</v>
      </c>
      <c r="P125" s="177" t="str">
        <f>IF('Questions - Fragen'!$B115&lt;&gt;"x","kein *",IF(ISBLANK('Questions - Fragen'!D122),"--",'Questions - Fragen'!D122))</f>
        <v>n.e.</v>
      </c>
      <c r="Q125" s="177" t="str">
        <f>IF('Questions - Fragen'!$B115&lt;&gt;"x","kein *",IF(ISBLANK('Questions - Fragen'!D123),"--",'Questions - Fragen'!D123))</f>
        <v>n.e.</v>
      </c>
      <c r="R125" s="177" t="str">
        <f>IF('Questions - Fragen'!$B115&lt;&gt;"x","kein *",IF(ISBLANK('Questions - Fragen'!D124),"--",'Questions - Fragen'!D124))</f>
        <v>n.e.</v>
      </c>
      <c r="S125" s="177" t="str">
        <f>IF('Questions - Fragen'!$B115&lt;&gt;"x","kein *",IF(ISBLANK('Questions - Fragen'!D125),"--",'Questions - Fragen'!D125))</f>
        <v>n.e.</v>
      </c>
    </row>
    <row r="126" spans="4:19">
      <c r="D126" s="314" t="str">
        <f>+'Questions - Fragen'!$A126</f>
        <v>6.2</v>
      </c>
      <c r="E126" s="272" t="s">
        <v>162</v>
      </c>
      <c r="F126" s="38"/>
      <c r="G126" s="38"/>
      <c r="H126" s="38"/>
      <c r="I126" s="275"/>
      <c r="J126" s="177"/>
      <c r="K126" s="177"/>
      <c r="L126" s="177"/>
      <c r="M126" s="177"/>
      <c r="N126" s="177"/>
      <c r="O126" s="177"/>
      <c r="P126" s="177"/>
      <c r="Q126" s="177"/>
      <c r="R126" s="177"/>
      <c r="S126" s="177"/>
    </row>
    <row r="127" spans="4:19">
      <c r="D127" s="314" t="str">
        <f>+'Questions - Fragen'!$A127</f>
        <v>6.2.1</v>
      </c>
      <c r="E127" s="38" t="s">
        <v>210</v>
      </c>
      <c r="F127" s="38"/>
      <c r="G127" s="38"/>
      <c r="H127" s="38"/>
      <c r="I127" s="275"/>
      <c r="J127" s="177" t="str">
        <f>IF('Questions - Fragen'!$B127&lt;&gt;"x","kein *",IF(ISBLANK('Questions - Fragen'!D128),"--",'Questions - Fragen'!D128))</f>
        <v>kein *</v>
      </c>
      <c r="K127" s="177" t="str">
        <f>IF('Questions - Fragen'!$B127&lt;&gt;"x","kein *",IF(ISBLANK('Questions - Fragen'!D129),"--",'Questions - Fragen'!D129))</f>
        <v>kein *</v>
      </c>
      <c r="L127" s="177" t="str">
        <f>IF('Questions - Fragen'!$B127&lt;&gt;"x","kein *",IF(ISBLANK('Questions - Fragen'!D130),"--",'Questions - Fragen'!D130))</f>
        <v>kein *</v>
      </c>
      <c r="M127" s="177"/>
      <c r="N127" s="177"/>
      <c r="O127" s="177"/>
      <c r="P127" s="177"/>
      <c r="Q127" s="177"/>
      <c r="R127" s="177"/>
      <c r="S127" s="177"/>
    </row>
    <row r="128" spans="4:19">
      <c r="D128" s="314" t="str">
        <f>+'Questions - Fragen'!$A138</f>
        <v>6.2.2</v>
      </c>
      <c r="E128" s="38" t="s">
        <v>210</v>
      </c>
      <c r="F128" s="38"/>
      <c r="G128" s="38"/>
      <c r="H128" s="38"/>
      <c r="I128" s="275"/>
      <c r="J128" s="177" t="str">
        <f>IF('Questions - Fragen'!$B138&lt;&gt;"x","kein *",IF(ISBLANK('Questions - Fragen'!D139),"--",'Questions - Fragen'!D139))</f>
        <v>kein *</v>
      </c>
      <c r="K128" s="177" t="str">
        <f>IF('Questions - Fragen'!$B138&lt;&gt;"x","kein *",IF(ISBLANK('Questions - Fragen'!D140),"--",'Questions - Fragen'!D140))</f>
        <v>kein *</v>
      </c>
      <c r="L128" s="177" t="str">
        <f>IF('Questions - Fragen'!$B138&lt;&gt;"x","kein *",IF(ISBLANK('Questions - Fragen'!D141),"--",'Questions - Fragen'!D141))</f>
        <v>kein *</v>
      </c>
      <c r="M128" s="177"/>
      <c r="N128" s="177"/>
      <c r="O128" s="177"/>
      <c r="P128" s="177"/>
      <c r="Q128" s="177"/>
      <c r="R128" s="177"/>
      <c r="S128" s="177"/>
    </row>
    <row r="129" spans="4:19">
      <c r="D129" s="314" t="str">
        <f>+'Questions - Fragen'!$A149</f>
        <v>6.2.3</v>
      </c>
      <c r="E129" s="38">
        <f>IF(COUNT(J129:S129)&gt;0,MIN(J129:S129),"n.b")</f>
        <v>10</v>
      </c>
      <c r="F129" s="38"/>
      <c r="G129" s="38"/>
      <c r="H129" s="38"/>
      <c r="I129" s="275"/>
      <c r="J129" s="177" t="str">
        <f>IF('Questions - Fragen'!$B149&lt;&gt;"x","kein *",IF(ISBLANK('Questions - Fragen'!D150),"--",'Questions - Fragen'!D150))</f>
        <v>n.e.</v>
      </c>
      <c r="K129" s="177">
        <f>IF('Questions - Fragen'!$B149&lt;&gt;"x","kein *",IF(ISBLANK('Questions - Fragen'!D151),"--",'Questions - Fragen'!D151))</f>
        <v>10</v>
      </c>
      <c r="L129" s="177" t="str">
        <f>IF('Questions - Fragen'!$B149&lt;&gt;"x","kein *",IF(ISBLANK('Questions - Fragen'!D152),"--",'Questions - Fragen'!D152))</f>
        <v>n.e.</v>
      </c>
      <c r="M129" s="177"/>
      <c r="N129" s="177"/>
      <c r="O129" s="177"/>
      <c r="P129" s="177"/>
      <c r="Q129" s="177"/>
      <c r="R129" s="177"/>
      <c r="S129" s="177"/>
    </row>
    <row r="130" spans="4:19">
      <c r="D130" s="314" t="str">
        <f>+'Questions - Fragen'!$A160</f>
        <v>6.2.4</v>
      </c>
      <c r="E130" s="38">
        <f>IF(COUNT(J130:S130)&gt;0,MIN(J130:S130),"n.b")</f>
        <v>10</v>
      </c>
      <c r="F130" s="38"/>
      <c r="G130" s="38"/>
      <c r="H130" s="38"/>
      <c r="I130" s="275"/>
      <c r="J130" s="177">
        <f>IF('Questions - Fragen'!$B160&lt;&gt;"x","kein *",IF(ISBLANK('Questions - Fragen'!D161),"--",'Questions - Fragen'!D161))</f>
        <v>10</v>
      </c>
      <c r="K130" s="177">
        <f>IF('Questions - Fragen'!$B160&lt;&gt;"x","kein *",IF(ISBLANK('Questions - Fragen'!D162),"--",'Questions - Fragen'!D162))</f>
        <v>10</v>
      </c>
      <c r="L130" s="177">
        <f>IF('Questions - Fragen'!$B160&lt;&gt;"x","kein *",IF(ISBLANK('Questions - Fragen'!D163),"--",'Questions - Fragen'!D163))</f>
        <v>10</v>
      </c>
      <c r="M130" s="177"/>
      <c r="N130" s="177"/>
      <c r="O130" s="177"/>
      <c r="P130" s="177"/>
      <c r="Q130" s="177"/>
      <c r="R130" s="177"/>
      <c r="S130" s="177"/>
    </row>
    <row r="131" spans="4:19">
      <c r="D131" s="314" t="str">
        <f>+'Questions - Fragen'!$A171</f>
        <v>6.2.5</v>
      </c>
      <c r="E131" s="38" t="str">
        <f>+IF('Questions - Fragen'!B171&lt;&gt;"x","kein *",+IF(ISERROR(AVERAGE('Questions - Fragen'!D172:D174)),$AI$35,+MIN('Questions - Fragen'!D172:D174)))</f>
        <v>kein *</v>
      </c>
      <c r="F131" s="38"/>
      <c r="G131" s="38"/>
      <c r="H131" s="38"/>
      <c r="I131" s="275"/>
      <c r="J131" s="177" t="str">
        <f>IF('Questions - Fragen'!$B171&lt;&gt;"x","kein *",IF(ISBLANK('Questions - Fragen'!D172),"--",'Questions - Fragen'!D172))</f>
        <v>kein *</v>
      </c>
      <c r="K131" s="177" t="str">
        <f>IF('Questions - Fragen'!$B171&lt;&gt;"x","kein *",IF(ISBLANK('Questions - Fragen'!D173),"--",'Questions - Fragen'!D173))</f>
        <v>kein *</v>
      </c>
      <c r="L131" s="177" t="str">
        <f>IF('Questions - Fragen'!$B171&lt;&gt;"x","kein *",IF(ISBLANK('Questions - Fragen'!D174),"--",'Questions - Fragen'!D174))</f>
        <v>kein *</v>
      </c>
      <c r="M131" s="177"/>
      <c r="N131" s="177"/>
      <c r="O131" s="177"/>
      <c r="P131" s="177"/>
      <c r="Q131" s="177"/>
      <c r="R131" s="177"/>
      <c r="S131" s="177"/>
    </row>
    <row r="132" spans="4:19">
      <c r="D132" s="314" t="str">
        <f>+'Questions - Fragen'!$A182</f>
        <v>6.3</v>
      </c>
      <c r="E132" s="272" t="s">
        <v>162</v>
      </c>
      <c r="F132" s="38"/>
      <c r="G132" s="38"/>
      <c r="H132" s="38"/>
      <c r="I132" s="275"/>
      <c r="J132" s="177"/>
      <c r="K132" s="177"/>
      <c r="L132" s="177"/>
      <c r="M132" s="177"/>
      <c r="N132" s="177"/>
      <c r="O132" s="177"/>
      <c r="P132" s="177"/>
      <c r="Q132" s="177"/>
      <c r="R132" s="177"/>
      <c r="S132" s="177"/>
    </row>
    <row r="133" spans="4:19">
      <c r="D133" s="314" t="str">
        <f>+'Questions - Fragen'!$A183</f>
        <v>6.3.1</v>
      </c>
      <c r="E133" s="38">
        <f>IF(COUNT(J133:S133)&gt;0,MIN(J133:S133),"n.b")</f>
        <v>10</v>
      </c>
      <c r="F133" s="38"/>
      <c r="G133" s="38"/>
      <c r="H133" s="38"/>
      <c r="I133" s="275"/>
      <c r="J133" s="177">
        <f>IF('Questions - Fragen'!$B183&lt;&gt;"x","kein *",IF(ISBLANK('Questions - Fragen'!D184),"--",'Questions - Fragen'!D184))</f>
        <v>10</v>
      </c>
      <c r="K133" s="177">
        <f>IF('Questions - Fragen'!$B183&lt;&gt;"x","kein *",IF(ISBLANK('Questions - Fragen'!D185),"--",'Questions - Fragen'!D185))</f>
        <v>10</v>
      </c>
      <c r="L133" s="177" t="str">
        <f>IF('Questions - Fragen'!$B183&lt;&gt;"x","kein *",IF(ISBLANK('Questions - Fragen'!D186),"--",'Questions - Fragen'!D186))</f>
        <v>n.e.</v>
      </c>
      <c r="M133" s="177"/>
      <c r="N133" s="177"/>
      <c r="O133" s="177"/>
      <c r="P133" s="177"/>
      <c r="Q133" s="177"/>
      <c r="R133" s="177"/>
      <c r="S133" s="177"/>
    </row>
    <row r="134" spans="4:19">
      <c r="D134" s="314" t="str">
        <f>+'Questions - Fragen'!$A194</f>
        <v>6.3.2</v>
      </c>
      <c r="E134" s="38" t="s">
        <v>210</v>
      </c>
      <c r="F134" s="38"/>
      <c r="G134" s="38"/>
      <c r="H134" s="38"/>
      <c r="I134" s="275"/>
      <c r="J134" s="177" t="str">
        <f>IF('Questions - Fragen'!$B194&lt;&gt;"x","kein *",IF(ISBLANK('Questions - Fragen'!D195),"--",'Questions - Fragen'!D195))</f>
        <v>kein *</v>
      </c>
      <c r="K134" s="177" t="str">
        <f>IF('Questions - Fragen'!$B194&lt;&gt;"x","kein *",IF(ISBLANK('Questions - Fragen'!D196),"--",'Questions - Fragen'!D196))</f>
        <v>kein *</v>
      </c>
      <c r="L134" s="177" t="str">
        <f>IF('Questions - Fragen'!$B194&lt;&gt;"x","kein *",IF(ISBLANK('Questions - Fragen'!D197),"--",'Questions - Fragen'!D197))</f>
        <v>kein *</v>
      </c>
      <c r="M134" s="177"/>
      <c r="N134" s="177"/>
      <c r="O134" s="177"/>
      <c r="P134" s="177"/>
      <c r="Q134" s="177"/>
      <c r="R134" s="177"/>
      <c r="S134" s="177"/>
    </row>
    <row r="135" spans="4:19">
      <c r="D135" s="314" t="str">
        <f>+'Questions - Fragen'!$A205</f>
        <v>6.3.3</v>
      </c>
      <c r="E135" s="38" t="str">
        <f>+IF('Questions - Fragen'!B205&lt;&gt;"x","kein *",+IF(ISERROR(AVERAGE('Questions - Fragen'!D206:D208)),$AI$35,+MIN('Questions - Fragen'!D206:D208)))</f>
        <v>kein *</v>
      </c>
      <c r="F135" s="38"/>
      <c r="G135" s="38"/>
      <c r="H135" s="38"/>
      <c r="I135" s="275"/>
      <c r="J135" s="177" t="str">
        <f>IF('Questions - Fragen'!$B205&lt;&gt;"x","kein *",IF(ISBLANK('Questions - Fragen'!D206),"--",'Questions - Fragen'!D206))</f>
        <v>kein *</v>
      </c>
      <c r="K135" s="177" t="str">
        <f>IF('Questions - Fragen'!$B205&lt;&gt;"x","kein *",IF(ISBLANK('Questions - Fragen'!D207),"--",'Questions - Fragen'!D207))</f>
        <v>kein *</v>
      </c>
      <c r="L135" s="177" t="str">
        <f>IF('Questions - Fragen'!$B205&lt;&gt;"x","kein *",IF(ISBLANK('Questions - Fragen'!D208),"--",'Questions - Fragen'!D208))</f>
        <v>kein *</v>
      </c>
      <c r="M135" s="177"/>
      <c r="N135" s="177"/>
      <c r="O135" s="177"/>
      <c r="P135" s="177"/>
      <c r="Q135" s="177"/>
      <c r="R135" s="177"/>
      <c r="S135" s="177"/>
    </row>
    <row r="136" spans="4:19">
      <c r="D136" s="314" t="str">
        <f>+'Questions - Fragen'!$A216</f>
        <v>6.4</v>
      </c>
      <c r="E136" s="272" t="s">
        <v>162</v>
      </c>
      <c r="F136" s="38"/>
      <c r="G136" s="38"/>
      <c r="H136" s="38"/>
      <c r="I136" s="275"/>
      <c r="J136" s="177"/>
      <c r="K136" s="177"/>
      <c r="L136" s="177"/>
      <c r="M136" s="177"/>
      <c r="N136" s="177"/>
      <c r="O136" s="177"/>
      <c r="P136" s="177"/>
      <c r="Q136" s="177"/>
      <c r="R136" s="177"/>
      <c r="S136" s="177"/>
    </row>
    <row r="137" spans="4:19">
      <c r="D137" s="314" t="str">
        <f>+'Questions - Fragen'!$A217</f>
        <v>6.4.1</v>
      </c>
      <c r="E137" s="38">
        <f>IF(COUNT(J137:S137)&gt;0,MIN(J137:S137),"n.b")</f>
        <v>10</v>
      </c>
      <c r="F137" s="38"/>
      <c r="G137" s="38"/>
      <c r="H137" s="38"/>
      <c r="I137" s="275"/>
      <c r="J137" s="177" t="str">
        <f>IF('Questions - Fragen'!$B217&lt;&gt;"x","kein *",IF(ISBLANK('Questions - Fragen'!D218),"--",'Questions - Fragen'!D218))</f>
        <v>n.e.</v>
      </c>
      <c r="K137" s="177">
        <f>IF('Questions - Fragen'!$B217&lt;&gt;"x","kein *",IF(ISBLANK('Questions - Fragen'!D219),"--",'Questions - Fragen'!D219))</f>
        <v>10</v>
      </c>
      <c r="L137" s="177" t="str">
        <f>IF('Questions - Fragen'!$B217&lt;&gt;"x","kein *",IF(ISBLANK('Questions - Fragen'!D220),"--",'Questions - Fragen'!D220))</f>
        <v>n.e.</v>
      </c>
      <c r="M137" s="177"/>
      <c r="N137" s="177"/>
      <c r="O137" s="177"/>
      <c r="P137" s="177"/>
      <c r="Q137" s="177"/>
      <c r="R137" s="177"/>
      <c r="S137" s="177"/>
    </row>
    <row r="138" spans="4:19">
      <c r="D138" s="314" t="str">
        <f>+'Questions - Fragen'!$A228</f>
        <v>6.4.2</v>
      </c>
      <c r="E138" s="38" t="s">
        <v>210</v>
      </c>
      <c r="F138" s="38"/>
      <c r="G138" s="38"/>
      <c r="H138" s="38"/>
      <c r="I138" s="275"/>
      <c r="J138" s="177" t="str">
        <f>IF('Questions - Fragen'!$B228&lt;&gt;"x","kein *",IF(ISBLANK('Questions - Fragen'!D229),"--",'Questions - Fragen'!D229))</f>
        <v>kein *</v>
      </c>
      <c r="K138" s="177" t="str">
        <f>IF('Questions - Fragen'!$B228&lt;&gt;"x","kein *",IF(ISBLANK('Questions - Fragen'!D230),"--",'Questions - Fragen'!D230))</f>
        <v>kein *</v>
      </c>
      <c r="L138" s="177" t="str">
        <f>IF('Questions - Fragen'!$B228&lt;&gt;"x","kein *",IF(ISBLANK('Questions - Fragen'!D231),"--",'Questions - Fragen'!D231))</f>
        <v>kein *</v>
      </c>
      <c r="M138" s="177"/>
      <c r="N138" s="177"/>
      <c r="O138" s="177"/>
      <c r="P138" s="177"/>
      <c r="Q138" s="177"/>
      <c r="R138" s="177"/>
      <c r="S138" s="177"/>
    </row>
    <row r="139" spans="4:19">
      <c r="D139" s="314" t="str">
        <f>+'Questions - Fragen'!$A239</f>
        <v>6.4.3</v>
      </c>
      <c r="E139" s="38">
        <f>IF(COUNT(J139:S139)&gt;0,MIN(J139:S139),"n.b")</f>
        <v>10</v>
      </c>
      <c r="F139" s="38"/>
      <c r="G139" s="38"/>
      <c r="H139" s="38"/>
      <c r="I139" s="275"/>
      <c r="J139" s="177">
        <f>IF('Questions - Fragen'!$B239&lt;&gt;"x","kein *",IF(ISBLANK('Questions - Fragen'!D240),"--",'Questions - Fragen'!D240))</f>
        <v>10</v>
      </c>
      <c r="K139" s="177">
        <f>IF('Questions - Fragen'!$B239&lt;&gt;"x","kein *",IF(ISBLANK('Questions - Fragen'!D241),"--",'Questions - Fragen'!D241))</f>
        <v>10</v>
      </c>
      <c r="L139" s="177" t="str">
        <f>IF('Questions - Fragen'!$B239&lt;&gt;"x","kein *",IF(ISBLANK('Questions - Fragen'!D242),"--",'Questions - Fragen'!D242))</f>
        <v>n.e.</v>
      </c>
      <c r="M139" s="177"/>
      <c r="N139" s="177"/>
      <c r="O139" s="177"/>
      <c r="P139" s="177"/>
      <c r="Q139" s="177"/>
      <c r="R139" s="177"/>
      <c r="S139" s="177"/>
    </row>
    <row r="140" spans="4:19">
      <c r="D140" s="314" t="str">
        <f>+'Questions - Fragen'!$A250</f>
        <v>6.4.4</v>
      </c>
      <c r="E140" s="38" t="str">
        <f>+IF('Questions - Fragen'!B250&lt;&gt;"x","kein *",+IF(ISERROR(AVERAGE('Questions - Fragen'!D251:D253)),$AI$35,+MIN('Questions - Fragen'!D251:D253)))</f>
        <v>kein *</v>
      </c>
      <c r="F140" s="38"/>
      <c r="G140" s="38"/>
      <c r="H140" s="38"/>
      <c r="I140" s="275"/>
      <c r="J140" s="177" t="str">
        <f>IF('Questions - Fragen'!$B250&lt;&gt;"x","kein *",IF(ISBLANK('Questions - Fragen'!D251),"--",'Questions - Fragen'!D251))</f>
        <v>kein *</v>
      </c>
      <c r="K140" s="177" t="str">
        <f>IF('Questions - Fragen'!$B250&lt;&gt;"x","kein *",IF(ISBLANK('Questions - Fragen'!D252),"--",'Questions - Fragen'!D252))</f>
        <v>kein *</v>
      </c>
      <c r="L140" s="177" t="str">
        <f>IF('Questions - Fragen'!$B250&lt;&gt;"x","kein *",IF(ISBLANK('Questions - Fragen'!D253),"--",'Questions - Fragen'!D253))</f>
        <v>kein *</v>
      </c>
      <c r="M140" s="177"/>
      <c r="N140" s="177"/>
      <c r="O140" s="177"/>
      <c r="P140" s="177"/>
      <c r="Q140" s="177"/>
      <c r="R140" s="177"/>
      <c r="S140" s="177"/>
    </row>
    <row r="141" spans="4:19">
      <c r="D141" s="398" t="str">
        <f>'Questions - Fragen'!A261</f>
        <v>6.4.5</v>
      </c>
      <c r="E141" s="38" t="s">
        <v>210</v>
      </c>
      <c r="F141" s="38"/>
      <c r="G141" s="38"/>
      <c r="H141" s="38"/>
      <c r="I141" s="275"/>
      <c r="J141" s="177"/>
      <c r="K141" s="177"/>
      <c r="L141" s="177"/>
      <c r="M141" s="177"/>
      <c r="N141" s="177"/>
      <c r="O141" s="177"/>
      <c r="P141" s="177"/>
      <c r="Q141" s="177"/>
      <c r="R141" s="177"/>
      <c r="S141" s="177"/>
    </row>
    <row r="142" spans="4:19">
      <c r="D142" s="314" t="str">
        <f>+'Questions - Fragen'!$A272</f>
        <v>6.5</v>
      </c>
      <c r="E142" s="272" t="s">
        <v>162</v>
      </c>
      <c r="F142" s="38"/>
      <c r="G142" s="38"/>
      <c r="H142" s="38"/>
      <c r="I142" s="275"/>
      <c r="J142" s="177"/>
      <c r="K142" s="177"/>
      <c r="L142" s="177"/>
      <c r="M142" s="177"/>
      <c r="N142" s="177"/>
      <c r="O142" s="177"/>
      <c r="P142" s="177"/>
      <c r="Q142" s="177"/>
      <c r="R142" s="177"/>
      <c r="S142" s="177"/>
    </row>
    <row r="143" spans="4:19">
      <c r="D143" s="314" t="str">
        <f>+'Questions - Fragen'!$A273</f>
        <v>6.5.1</v>
      </c>
      <c r="E143" s="38" t="str">
        <f>+IF('Questions - Fragen'!B273&lt;&gt;"x","kein *",+IF(ISERROR(AVERAGE('Questions - Fragen'!D274:D276)),$AI$35,+MIN('Questions - Fragen'!D274:D276)))</f>
        <v>kein *</v>
      </c>
      <c r="F143" s="38"/>
      <c r="G143" s="38"/>
      <c r="H143" s="38"/>
      <c r="I143" s="275"/>
      <c r="J143" s="177" t="str">
        <f>IF('Questions - Fragen'!$B273&lt;&gt;"x","kein *",IF(ISBLANK('Questions - Fragen'!D274),"--",'Questions - Fragen'!D274))</f>
        <v>kein *</v>
      </c>
      <c r="K143" s="177" t="str">
        <f>IF('Questions - Fragen'!$B273&lt;&gt;"x","kein *",IF(ISBLANK('Questions - Fragen'!D275),"--",'Questions - Fragen'!D275))</f>
        <v>kein *</v>
      </c>
      <c r="L143" s="177" t="str">
        <f>IF('Questions - Fragen'!$B273&lt;&gt;"x","kein *",IF(ISBLANK('Questions - Fragen'!D276),"--",'Questions - Fragen'!D276))</f>
        <v>kein *</v>
      </c>
      <c r="M143" s="177"/>
      <c r="N143" s="177"/>
      <c r="O143" s="177"/>
      <c r="P143" s="177"/>
      <c r="Q143" s="177"/>
      <c r="R143" s="177"/>
      <c r="S143" s="177"/>
    </row>
    <row r="144" spans="4:19">
      <c r="D144" s="314" t="str">
        <f>+'Questions - Fragen'!$A284</f>
        <v>6.5.2</v>
      </c>
      <c r="E144" s="38" t="str">
        <f>+IF('Questions - Fragen'!B284&lt;&gt;"x","kein *",+IF(ISERROR(AVERAGE('Questions - Fragen'!D285:D287)),$AI$35,+MIN('Questions - Fragen'!D285:D287)))</f>
        <v>kein *</v>
      </c>
      <c r="F144" s="38"/>
      <c r="G144" s="38"/>
      <c r="H144" s="38"/>
      <c r="I144" s="275"/>
      <c r="J144" s="177" t="str">
        <f>IF('Questions - Fragen'!$B284&lt;&gt;"x","kein *",IF(ISBLANK('Questions - Fragen'!D285),"--",'Questions - Fragen'!D285))</f>
        <v>kein *</v>
      </c>
      <c r="K144" s="177" t="str">
        <f>IF('Questions - Fragen'!$B284&lt;&gt;"x","kein *",IF(ISBLANK('Questions - Fragen'!D286),"--",'Questions - Fragen'!D286))</f>
        <v>kein *</v>
      </c>
      <c r="L144" s="177" t="str">
        <f>IF('Questions - Fragen'!$B284&lt;&gt;"x","kein *",IF(ISBLANK('Questions - Fragen'!D287),"--",'Questions - Fragen'!D287))</f>
        <v>kein *</v>
      </c>
      <c r="M144" s="177"/>
      <c r="N144" s="177"/>
      <c r="O144" s="177"/>
      <c r="P144" s="177"/>
      <c r="Q144" s="177"/>
      <c r="R144" s="177"/>
      <c r="S144" s="177"/>
    </row>
    <row r="145" spans="4:28">
      <c r="D145" s="314" t="str">
        <f>+'Questions - Fragen'!$A295</f>
        <v>6.5.3</v>
      </c>
      <c r="E145" s="38">
        <f>IF(COUNT(J145:S145)&gt;0,MIN(J145:S145),"n.b")</f>
        <v>10</v>
      </c>
      <c r="F145" s="38"/>
      <c r="G145" s="38"/>
      <c r="H145" s="38"/>
      <c r="I145" s="275"/>
      <c r="J145" s="177">
        <f>IF('Questions - Fragen'!$B295&lt;&gt;"x","kein *",IF(ISBLANK('Questions - Fragen'!D296),"--",'Questions - Fragen'!D296))</f>
        <v>10</v>
      </c>
      <c r="K145" s="177">
        <f>IF('Questions - Fragen'!$B295&lt;&gt;"x","kein *",IF(ISBLANK('Questions - Fragen'!D297),"--",'Questions - Fragen'!D297))</f>
        <v>10</v>
      </c>
      <c r="L145" s="177" t="str">
        <f>IF('Questions - Fragen'!$B295&lt;&gt;"x","kein *",IF(ISBLANK('Questions - Fragen'!D298),"--",'Questions - Fragen'!D298))</f>
        <v>n.e.</v>
      </c>
      <c r="M145" s="177"/>
      <c r="N145" s="177"/>
      <c r="O145" s="177"/>
      <c r="P145" s="177"/>
      <c r="Q145" s="177"/>
      <c r="R145" s="177"/>
      <c r="S145" s="177"/>
    </row>
    <row r="146" spans="4:28">
      <c r="D146" s="314" t="str">
        <f>+'Questions - Fragen'!$A306</f>
        <v>6.5.4</v>
      </c>
      <c r="E146" s="38" t="s">
        <v>210</v>
      </c>
      <c r="F146" s="38"/>
      <c r="G146" s="38"/>
      <c r="H146" s="38"/>
      <c r="I146" s="275"/>
      <c r="J146" s="177" t="str">
        <f>IF('Questions - Fragen'!$B306&lt;&gt;"x","kein *",IF(ISBLANK('Questions - Fragen'!D307),"--",'Questions - Fragen'!D307))</f>
        <v>kein *</v>
      </c>
      <c r="K146" s="177" t="str">
        <f>IF('Questions - Fragen'!$B306&lt;&gt;"x","kein *",IF(ISBLANK('Questions - Fragen'!D308),"--",'Questions - Fragen'!D308))</f>
        <v>kein *</v>
      </c>
      <c r="L146" s="177" t="str">
        <f>IF('Questions - Fragen'!$B306&lt;&gt;"x","kein *",IF(ISBLANK('Questions - Fragen'!D309),"--",'Questions - Fragen'!D309))</f>
        <v>kein *</v>
      </c>
      <c r="M146" s="177"/>
      <c r="N146" s="177"/>
      <c r="O146" s="177"/>
      <c r="P146" s="177"/>
      <c r="Q146" s="177"/>
      <c r="R146" s="177"/>
      <c r="S146" s="177"/>
    </row>
    <row r="147" spans="4:28">
      <c r="D147" s="314" t="str">
        <f>+'Questions - Fragen'!$A317</f>
        <v>6.6</v>
      </c>
      <c r="E147" s="272" t="s">
        <v>162</v>
      </c>
      <c r="F147" s="38"/>
      <c r="G147" s="38"/>
      <c r="H147" s="38"/>
      <c r="I147" s="275"/>
      <c r="J147" s="177"/>
      <c r="K147" s="177"/>
      <c r="L147" s="177"/>
      <c r="M147" s="177"/>
      <c r="N147" s="177"/>
      <c r="O147" s="177"/>
      <c r="P147" s="177"/>
      <c r="Q147" s="177"/>
      <c r="R147" s="177"/>
      <c r="S147" s="177"/>
    </row>
    <row r="148" spans="4:28">
      <c r="D148" s="314" t="str">
        <f>+'Questions - Fragen'!$A318</f>
        <v>6.6.1</v>
      </c>
      <c r="E148" s="38" t="s">
        <v>210</v>
      </c>
      <c r="F148" s="38"/>
      <c r="G148" s="38"/>
      <c r="H148" s="38"/>
      <c r="I148" s="275"/>
      <c r="J148" s="177" t="str">
        <f>IF('Questions - Fragen'!$B318&lt;&gt;"x","kein *",IF(ISBLANK('Questions - Fragen'!D319),"--",'Questions - Fragen'!D319))</f>
        <v>kein *</v>
      </c>
      <c r="K148" s="177" t="str">
        <f>IF('Questions - Fragen'!$B318&lt;&gt;"x","kein *",IF(ISBLANK('Questions - Fragen'!D320),"--",'Questions - Fragen'!D320))</f>
        <v>kein *</v>
      </c>
      <c r="L148" s="177" t="str">
        <f>IF('Questions - Fragen'!$B318&lt;&gt;"x","kein *",IF(ISBLANK('Questions - Fragen'!D321),"--",'Questions - Fragen'!D321))</f>
        <v>kein *</v>
      </c>
      <c r="M148" s="177"/>
      <c r="N148" s="177"/>
      <c r="O148" s="177"/>
      <c r="P148" s="177"/>
      <c r="Q148" s="177"/>
      <c r="R148" s="177"/>
      <c r="S148" s="177"/>
    </row>
    <row r="149" spans="4:28">
      <c r="D149" s="314" t="str">
        <f>+'Questions - Fragen'!$A329</f>
        <v>6.6.2</v>
      </c>
      <c r="E149" s="38" t="str">
        <f>+IF('Questions - Fragen'!B329&lt;&gt;"x","kein *",+IF(ISERROR(AVERAGE('Questions - Fragen'!D330:D332)),$AI$35,+MIN('Questions - Fragen'!D330:D332)))</f>
        <v>kein *</v>
      </c>
      <c r="F149" s="38"/>
      <c r="G149" s="38"/>
      <c r="H149" s="38"/>
      <c r="I149" s="275"/>
      <c r="J149" s="177" t="str">
        <f>IF('Questions - Fragen'!$B329&lt;&gt;"x","kein *",IF(ISBLANK('Questions - Fragen'!D330),"--",'Questions - Fragen'!D330))</f>
        <v>kein *</v>
      </c>
      <c r="K149" s="177" t="str">
        <f>IF('Questions - Fragen'!$B329&lt;&gt;"x","kein *",IF(ISBLANK('Questions - Fragen'!D331),"--",'Questions - Fragen'!D331))</f>
        <v>kein *</v>
      </c>
      <c r="L149" s="177" t="str">
        <f>IF('Questions - Fragen'!$B329&lt;&gt;"x","kein *",IF(ISBLANK('Questions - Fragen'!D332),"--",'Questions - Fragen'!D332))</f>
        <v>kein *</v>
      </c>
      <c r="M149" s="177"/>
      <c r="N149" s="177"/>
      <c r="O149" s="177"/>
      <c r="P149" s="177"/>
      <c r="Q149" s="177"/>
      <c r="R149" s="177"/>
      <c r="S149" s="177"/>
    </row>
    <row r="150" spans="4:28">
      <c r="D150" s="314" t="str">
        <f>+'Questions - Fragen'!$A340</f>
        <v>6.6.3</v>
      </c>
      <c r="E150" s="38" t="str">
        <f>+IF('Questions - Fragen'!B340&lt;&gt;"x","kein *",+IF(ISERROR(AVERAGE('Questions - Fragen'!D341:D343)),$AI$35,+MIN('Questions - Fragen'!D341:D343)))</f>
        <v>kein *</v>
      </c>
      <c r="F150" s="38"/>
      <c r="G150" s="38"/>
      <c r="H150" s="38"/>
      <c r="I150" s="275"/>
      <c r="J150" s="177" t="str">
        <f>IF('Questions - Fragen'!$B340&lt;&gt;"x","kein *",IF(ISBLANK('Questions - Fragen'!D341),"--",'Questions - Fragen'!D341))</f>
        <v>kein *</v>
      </c>
      <c r="K150" s="177" t="str">
        <f>IF('Questions - Fragen'!$B340&lt;&gt;"x","kein *",IF(ISBLANK('Questions - Fragen'!D342),"--",'Questions - Fragen'!D342))</f>
        <v>kein *</v>
      </c>
      <c r="L150" s="177" t="str">
        <f>IF('Questions - Fragen'!$B340&lt;&gt;"x","kein *",IF(ISBLANK('Questions - Fragen'!D343),"--",'Questions - Fragen'!D343))</f>
        <v>kein *</v>
      </c>
      <c r="M150" s="177"/>
      <c r="N150" s="177"/>
      <c r="O150" s="177"/>
      <c r="P150" s="177"/>
      <c r="Q150" s="177"/>
      <c r="R150" s="177"/>
      <c r="S150" s="177"/>
    </row>
    <row r="151" spans="4:28">
      <c r="D151" s="314" t="str">
        <f>+'Questions - Fragen'!$A351</f>
        <v>6.6.4</v>
      </c>
      <c r="E151" s="38">
        <f>IF(COUNT(J151:S151)&gt;0,MIN(J151:S151),"n.b")</f>
        <v>10</v>
      </c>
      <c r="F151" s="38"/>
      <c r="G151" s="38"/>
      <c r="H151" s="38"/>
      <c r="I151" s="275"/>
      <c r="J151" s="177">
        <f>IF('Questions - Fragen'!$B351&lt;&gt;"x","kein *",IF(ISBLANK('Questions - Fragen'!D352),"--",'Questions - Fragen'!D352))</f>
        <v>10</v>
      </c>
      <c r="K151" s="177">
        <f>IF('Questions - Fragen'!$B351&lt;&gt;"x","kein *",IF(ISBLANK('Questions - Fragen'!D353),"--",'Questions - Fragen'!D353))</f>
        <v>10</v>
      </c>
      <c r="L151" s="177" t="str">
        <f>IF('Questions - Fragen'!$B351&lt;&gt;"x","kein *",IF(ISBLANK('Questions - Fragen'!D354),"--",'Questions - Fragen'!D354))</f>
        <v>n.e.</v>
      </c>
      <c r="M151" s="177"/>
      <c r="N151" s="177"/>
      <c r="O151" s="177"/>
      <c r="P151" s="177"/>
      <c r="Q151" s="177"/>
      <c r="R151" s="177"/>
      <c r="S151" s="177"/>
    </row>
    <row r="152" spans="4:28" ht="15">
      <c r="D152" s="315" t="str">
        <f>+'Questions - Fragen'!$A362</f>
        <v>P7</v>
      </c>
      <c r="E152" s="272" t="s">
        <v>162</v>
      </c>
      <c r="F152" s="38"/>
      <c r="G152" s="272" t="s">
        <v>100</v>
      </c>
      <c r="H152" s="273" t="str">
        <f>IF(COUNT(E120:E151)=0,$AI$35,IF(MIN(E120:E151)=0,"C",IF(MIN(E120:E151)=4,"B","A")))</f>
        <v>A</v>
      </c>
      <c r="I152" s="292" t="str">
        <f>+A56</f>
        <v>A</v>
      </c>
      <c r="J152" s="273" t="str">
        <f>+IF(COUNTIFS('Questions - Fragen'!$A$72:$A$354,J120,'Questions - Fragen'!$D$72:$D$354,$AI$35)=26,$AI$35,+IF(MIN(J121:J151)=0,"C",+IF(MIN(J121:J151)=4,"B","A")))</f>
        <v>A</v>
      </c>
      <c r="K152" s="273" t="str">
        <f>+IF(COUNTIFS('Questions - Fragen'!$A$72:$A$354,K120,'Questions - Fragen'!$D$72:$D$354,$AI$35)=26,$AI$35,+IF(MIN(K121:K151)=0,"C",+IF(MIN(K121:K151)=4,"B","A")))</f>
        <v>A</v>
      </c>
      <c r="L152" s="273" t="str">
        <f>+IF(COUNTIFS('Questions - Fragen'!$A$72:$A$354,L120,'Questions - Fragen'!$D$72:$D$354,$AI$35)=26,$AI$35,+IF(MIN(L121:L151)=0,"C",+IF(MIN(L121:L151)=4,"B","A")))</f>
        <v>A</v>
      </c>
    </row>
    <row r="153" spans="4:28">
      <c r="D153" s="314" t="str">
        <f>+'Questions - Fragen'!$A363</f>
        <v>7.1</v>
      </c>
      <c r="E153" s="38"/>
      <c r="F153" s="38"/>
      <c r="G153" s="38"/>
      <c r="H153" s="38"/>
      <c r="I153" s="275"/>
      <c r="J153" s="32" t="s">
        <v>197</v>
      </c>
      <c r="K153" s="32" t="s">
        <v>198</v>
      </c>
      <c r="L153" s="32" t="s">
        <v>199</v>
      </c>
      <c r="M153" s="32" t="s">
        <v>767</v>
      </c>
      <c r="N153" s="32" t="s">
        <v>768</v>
      </c>
      <c r="O153" s="32" t="s">
        <v>769</v>
      </c>
      <c r="P153" s="32" t="s">
        <v>770</v>
      </c>
      <c r="Q153" s="32" t="s">
        <v>771</v>
      </c>
      <c r="R153" s="32" t="s">
        <v>772</v>
      </c>
      <c r="S153" s="32" t="s">
        <v>773</v>
      </c>
    </row>
    <row r="154" spans="4:28">
      <c r="D154" s="314" t="str">
        <f>+'Questions - Fragen'!$A364</f>
        <v>7.2</v>
      </c>
      <c r="E154" s="38"/>
      <c r="F154" s="38"/>
      <c r="G154" s="38"/>
      <c r="H154" s="38"/>
      <c r="I154" s="275"/>
    </row>
    <row r="155" spans="4:28">
      <c r="D155" s="314" t="str">
        <f>+'Questions - Fragen'!$A365</f>
        <v>7.3</v>
      </c>
      <c r="E155" s="38" t="str">
        <f>W66</f>
        <v>n.e.</v>
      </c>
      <c r="F155" s="38"/>
      <c r="G155" s="38"/>
      <c r="H155" s="38"/>
      <c r="I155" s="275"/>
    </row>
    <row r="156" spans="4:28">
      <c r="D156" s="314" t="str">
        <f>+'Questions - Fragen'!$A366</f>
        <v>7.4</v>
      </c>
      <c r="E156" s="38" t="str">
        <f>X66</f>
        <v>n.e.</v>
      </c>
      <c r="F156" s="38"/>
      <c r="G156" s="38"/>
      <c r="H156" s="38"/>
      <c r="I156" s="275"/>
    </row>
    <row r="157" spans="4:28">
      <c r="D157" s="314" t="str">
        <f>+'Questions - Fragen'!$A367</f>
        <v>7.5</v>
      </c>
      <c r="E157" s="38"/>
      <c r="F157" s="38"/>
      <c r="G157" s="38"/>
      <c r="H157" s="38"/>
      <c r="I157" s="275"/>
    </row>
    <row r="158" spans="4:28">
      <c r="D158" s="316"/>
      <c r="E158" s="276"/>
      <c r="F158" s="276"/>
      <c r="G158" s="317" t="s">
        <v>101</v>
      </c>
      <c r="H158" s="325" t="str">
        <f>IF(COUNT(E153:E157)=0,$AI$35,+IF(MIN(E153:E157)=0,"C",+IF(MIN(E153:E157)=4,"B","A")))</f>
        <v>n.e.</v>
      </c>
      <c r="I158" s="248" t="str">
        <f>+A66</f>
        <v>n.e.</v>
      </c>
    </row>
    <row r="159" spans="4:28" ht="15" thickBot="1">
      <c r="D159" s="304" t="s">
        <v>148</v>
      </c>
      <c r="E159" s="305">
        <f>+COUNT((E89:E157))</f>
        <v>7</v>
      </c>
      <c r="F159" s="305">
        <f>+COUNTIF(E89:E157,0)</f>
        <v>0</v>
      </c>
      <c r="G159" s="305">
        <f>+IF(COUNT(E89:E157)=0,$AI$35,+MIN(E89:E157))</f>
        <v>10</v>
      </c>
      <c r="H159" s="305"/>
      <c r="I159" s="306"/>
      <c r="Z159" s="177" t="s">
        <v>165</v>
      </c>
      <c r="AA159" s="177" t="s">
        <v>163</v>
      </c>
      <c r="AB159" s="195">
        <f>+G62</f>
        <v>1</v>
      </c>
    </row>
    <row r="160" spans="4:28" ht="15" thickBot="1">
      <c r="D160" s="307" t="s">
        <v>149</v>
      </c>
      <c r="E160" s="303" t="str">
        <f>+IF(E159=0,$AI$35,(+IF(F159&gt;=1,"C",(+IF(F160&gt;=1,"B","A")))))</f>
        <v>A</v>
      </c>
      <c r="F160" s="302">
        <f>+COUNTIF(E89:E157,4)</f>
        <v>0</v>
      </c>
      <c r="G160" s="302" t="str">
        <f>+IF(G159=$AI$35,$AI$35,+IF(G159=0,"C",+IF(G159=4,"B","A")))</f>
        <v>A</v>
      </c>
      <c r="H160" s="302"/>
      <c r="I160" s="308"/>
      <c r="Z160" s="177" t="s">
        <v>166</v>
      </c>
      <c r="AA160" s="177" t="s">
        <v>164</v>
      </c>
      <c r="AB160" s="195" t="str">
        <f>+M62</f>
        <v>n.e.</v>
      </c>
    </row>
    <row r="161" spans="2:31" ht="18">
      <c r="D161" s="236"/>
      <c r="G161" s="282"/>
      <c r="H161" s="260"/>
      <c r="I161" s="260"/>
      <c r="J161" s="283"/>
      <c r="K161" s="281"/>
      <c r="L161" s="268"/>
      <c r="M161" s="1254" t="s">
        <v>183</v>
      </c>
      <c r="N161" s="268"/>
      <c r="O161" s="268"/>
      <c r="P161" s="268"/>
      <c r="Q161" s="268"/>
      <c r="R161" s="268"/>
      <c r="S161" s="268"/>
      <c r="T161" s="268"/>
      <c r="U161" s="268"/>
      <c r="V161" s="269"/>
      <c r="X161" s="177"/>
      <c r="Z161" s="177" t="s">
        <v>167</v>
      </c>
      <c r="AA161" s="177" t="s">
        <v>188</v>
      </c>
      <c r="AB161" s="195">
        <f>+Q62</f>
        <v>1</v>
      </c>
    </row>
    <row r="162" spans="2:31">
      <c r="D162" s="236"/>
      <c r="G162" s="284"/>
      <c r="H162" s="260"/>
      <c r="I162" s="260"/>
      <c r="J162" s="283"/>
      <c r="K162" s="48"/>
      <c r="L162" s="38"/>
      <c r="M162" s="38"/>
      <c r="N162" s="38"/>
      <c r="O162" s="38"/>
      <c r="P162" s="38"/>
      <c r="Q162" s="38"/>
      <c r="R162" s="38"/>
      <c r="S162" s="38"/>
      <c r="T162" s="38"/>
      <c r="U162" s="38"/>
      <c r="V162" s="54"/>
      <c r="Z162" s="177" t="s">
        <v>168</v>
      </c>
      <c r="AA162" s="177" t="s">
        <v>190</v>
      </c>
      <c r="AB162" s="195">
        <f>+W62</f>
        <v>0.9</v>
      </c>
    </row>
    <row r="163" spans="2:31">
      <c r="D163" s="236"/>
      <c r="G163" s="260"/>
      <c r="H163" s="260"/>
      <c r="I163" s="260"/>
      <c r="J163" s="283"/>
      <c r="K163" s="278">
        <f>BB76</f>
        <v>0.97</v>
      </c>
      <c r="L163" s="277" t="str">
        <f>+IF(K163=$AI$35,$AI$35,+IF(K163&lt;80%,"C",+IF(K163&lt;90%,"B","A")))</f>
        <v>A</v>
      </c>
      <c r="M163" s="319" t="s">
        <v>181</v>
      </c>
      <c r="N163" s="319"/>
      <c r="O163" s="319"/>
      <c r="P163" s="319"/>
      <c r="Q163" s="319"/>
      <c r="R163" s="319"/>
      <c r="S163" s="319"/>
      <c r="T163" s="319"/>
      <c r="U163" s="260"/>
      <c r="V163" s="283"/>
      <c r="Z163" s="177" t="s">
        <v>169</v>
      </c>
      <c r="AA163" s="177" t="s">
        <v>191</v>
      </c>
      <c r="AB163" s="195">
        <f>+AB62</f>
        <v>1</v>
      </c>
    </row>
    <row r="164" spans="2:31">
      <c r="B164" s="16"/>
      <c r="C164" s="16"/>
      <c r="D164" s="16"/>
      <c r="E164" s="16"/>
      <c r="F164" s="16"/>
      <c r="G164" s="16"/>
      <c r="H164" s="260"/>
      <c r="I164" s="285"/>
      <c r="J164" s="286"/>
      <c r="K164" s="279"/>
      <c r="L164" s="270" t="str">
        <f>+E160</f>
        <v>A</v>
      </c>
      <c r="M164" s="319" t="s">
        <v>182</v>
      </c>
      <c r="N164" s="319"/>
      <c r="O164" s="319"/>
      <c r="P164" s="319"/>
      <c r="Q164" s="319"/>
      <c r="R164" s="319"/>
      <c r="S164" s="319"/>
      <c r="T164" s="319"/>
      <c r="U164" s="260"/>
      <c r="V164" s="283"/>
      <c r="Z164" s="177" t="s">
        <v>170</v>
      </c>
      <c r="AA164" s="177" t="s">
        <v>192</v>
      </c>
      <c r="AB164" s="195">
        <f>+AG62</f>
        <v>0.95</v>
      </c>
    </row>
    <row r="165" spans="2:31">
      <c r="B165" s="16"/>
      <c r="C165" s="16"/>
      <c r="D165" s="16"/>
      <c r="E165" s="16"/>
      <c r="F165" s="16"/>
      <c r="G165" s="16"/>
      <c r="H165" s="287"/>
      <c r="I165" s="260"/>
      <c r="J165" s="283"/>
      <c r="K165" s="279"/>
      <c r="L165" s="270" t="str">
        <f>IF(COUNT((A8:A66)=0),$AI$35,+IF(COUNTIF((A8:A66),"C")&gt;=1,"C",+IF(+COUNTIF((A8:A66),"B")&gt;=1,"B","A")))</f>
        <v>A</v>
      </c>
      <c r="M165" s="319" t="s">
        <v>185</v>
      </c>
      <c r="N165" s="319"/>
      <c r="O165" s="319"/>
      <c r="P165" s="319"/>
      <c r="Q165" s="319"/>
      <c r="R165" s="319"/>
      <c r="S165" s="319"/>
      <c r="T165" s="319"/>
      <c r="U165" s="260"/>
      <c r="V165" s="283"/>
      <c r="Z165" s="177" t="s">
        <v>171</v>
      </c>
      <c r="AA165" s="177" t="s">
        <v>193</v>
      </c>
      <c r="AB165" s="195">
        <f>+BD62</f>
        <v>0.98</v>
      </c>
    </row>
    <row r="166" spans="2:31">
      <c r="B166" s="16"/>
      <c r="C166" s="16"/>
      <c r="D166" s="16"/>
      <c r="E166" s="16"/>
      <c r="F166" s="16"/>
      <c r="G166" s="16"/>
      <c r="H166" s="260"/>
      <c r="I166" s="260"/>
      <c r="J166" s="283"/>
      <c r="K166" s="279"/>
      <c r="L166" s="270" t="str">
        <f>+AD166</f>
        <v>A</v>
      </c>
      <c r="M166" s="319" t="s">
        <v>431</v>
      </c>
      <c r="N166" s="319"/>
      <c r="O166" s="319"/>
      <c r="P166" s="319"/>
      <c r="Q166" s="319"/>
      <c r="R166" s="319"/>
      <c r="S166" s="319"/>
      <c r="T166" s="319"/>
      <c r="U166" s="260"/>
      <c r="V166" s="283"/>
      <c r="AA166" s="177"/>
      <c r="AB166" s="32">
        <f>+COUNTIF(AB159:AB165,$AI$35)</f>
        <v>1</v>
      </c>
      <c r="AD166" s="327" t="str">
        <f>+IF(AB166=7,$AI$35,+IF(MIN(G62,M62,Q62,W62,AB62,AG62,BD62)&lt;80%,"B","A"))</f>
        <v>A</v>
      </c>
      <c r="AE166" s="32">
        <f>+COUNTIF((AB159:AB165),"=&lt;80")</f>
        <v>0</v>
      </c>
    </row>
    <row r="167" spans="2:31">
      <c r="B167" s="16"/>
      <c r="C167" s="16"/>
      <c r="D167" s="16"/>
      <c r="E167" s="16"/>
      <c r="F167" s="16"/>
      <c r="G167" s="16"/>
      <c r="H167" s="260"/>
      <c r="I167" s="260"/>
      <c r="J167" s="283"/>
      <c r="K167" s="279"/>
      <c r="L167" s="270" t="str">
        <f>+AD181</f>
        <v>A</v>
      </c>
      <c r="M167" s="319" t="s">
        <v>150</v>
      </c>
      <c r="N167" s="319"/>
      <c r="O167" s="319"/>
      <c r="P167" s="319"/>
      <c r="Q167" s="319"/>
      <c r="R167" s="319"/>
      <c r="S167" s="319"/>
      <c r="T167" s="319"/>
      <c r="U167" s="260"/>
      <c r="V167" s="283"/>
      <c r="AA167" s="177"/>
    </row>
    <row r="168" spans="2:31" ht="15" thickBot="1">
      <c r="B168" s="16"/>
      <c r="C168" s="16"/>
      <c r="D168" s="16"/>
      <c r="E168" s="16"/>
      <c r="F168" s="16"/>
      <c r="G168" s="16"/>
      <c r="H168" s="260"/>
      <c r="I168" s="260"/>
      <c r="J168" s="283"/>
      <c r="K168" s="48"/>
      <c r="L168" s="270" t="str">
        <f>++IF(K163=$AI$35,$AI$35,+IF(MIN(epm,ede,epe,elm,ek,epg)&lt;70%,"C",+IF(MIN(epm,ede,epe,elm,ek,epg)&lt;80%,"B","kA")))</f>
        <v>kA</v>
      </c>
      <c r="M168" s="320" t="s">
        <v>194</v>
      </c>
      <c r="N168" s="319"/>
      <c r="O168" s="319"/>
      <c r="P168" s="319"/>
      <c r="Q168" s="319"/>
      <c r="R168" s="319"/>
      <c r="S168" s="319"/>
      <c r="T168" s="319"/>
      <c r="U168" s="260"/>
      <c r="V168" s="283"/>
      <c r="AA168" s="177"/>
    </row>
    <row r="169" spans="2:31" ht="15" thickBot="1">
      <c r="B169" s="16"/>
      <c r="C169" s="16"/>
      <c r="D169" s="16"/>
      <c r="E169" s="16"/>
      <c r="F169" s="16"/>
      <c r="G169" s="16"/>
      <c r="H169" s="260"/>
      <c r="I169" s="260"/>
      <c r="J169" s="283"/>
      <c r="K169" s="279"/>
      <c r="L169" s="288" t="str">
        <f>IF(COUNTIF(L163:L168,$AI$35)=6,$AI$35,IF(COUNTIF(L163:L168,"C")&gt;=1,"C",IF(COUNTIF(L163:L168,"B")&gt;=1,"B","A")))</f>
        <v>A</v>
      </c>
      <c r="M169" s="321" t="s">
        <v>151</v>
      </c>
      <c r="N169" s="321"/>
      <c r="O169" s="322"/>
      <c r="P169" s="319"/>
      <c r="Q169" s="319"/>
      <c r="R169" s="319"/>
      <c r="S169" s="319"/>
      <c r="T169" s="319"/>
      <c r="U169" s="260"/>
      <c r="V169" s="283"/>
    </row>
    <row r="170" spans="2:31">
      <c r="B170" s="16"/>
      <c r="C170" s="16"/>
      <c r="D170" s="16"/>
      <c r="E170" s="16"/>
      <c r="F170" s="16"/>
      <c r="G170" s="16"/>
      <c r="H170" s="260"/>
      <c r="I170" s="260"/>
      <c r="J170" s="283"/>
      <c r="K170" s="279"/>
      <c r="L170" s="271"/>
      <c r="M170" s="319"/>
      <c r="N170" s="319"/>
      <c r="O170" s="319"/>
      <c r="P170" s="319"/>
      <c r="Q170" s="319"/>
      <c r="R170" s="319"/>
      <c r="S170" s="319"/>
      <c r="T170" s="319"/>
      <c r="U170" s="260"/>
      <c r="V170" s="283"/>
      <c r="Z170" s="177"/>
    </row>
    <row r="171" spans="2:31">
      <c r="B171" s="16"/>
      <c r="C171" s="16"/>
      <c r="D171" s="16"/>
      <c r="E171" s="16"/>
      <c r="F171" s="16"/>
      <c r="G171" s="16"/>
      <c r="H171" s="260"/>
      <c r="I171" s="260"/>
      <c r="J171" s="283"/>
      <c r="K171" s="279"/>
      <c r="L171" s="271"/>
      <c r="M171" s="319"/>
      <c r="N171" s="319"/>
      <c r="O171" s="319"/>
      <c r="P171" s="319"/>
      <c r="Q171" s="319"/>
      <c r="R171" s="319"/>
      <c r="S171" s="319"/>
      <c r="T171" s="319"/>
      <c r="U171" s="260"/>
      <c r="V171" s="283"/>
      <c r="Y171" s="237"/>
      <c r="Z171" s="177" t="s">
        <v>12</v>
      </c>
      <c r="AA171" s="177" t="s">
        <v>172</v>
      </c>
      <c r="AB171" s="195">
        <f>+AS36</f>
        <v>0.97</v>
      </c>
    </row>
    <row r="172" spans="2:31">
      <c r="B172" s="16"/>
      <c r="C172" s="16"/>
      <c r="D172" s="16"/>
      <c r="E172" s="16"/>
      <c r="F172" s="16"/>
      <c r="G172" s="16"/>
      <c r="H172" s="260"/>
      <c r="I172" s="260"/>
      <c r="J172" s="283"/>
      <c r="K172" s="278" t="str">
        <f>+IF(ISERROR(+AVERAGE(epm,ede,epe)),$AI$35,+ROUND((+AVERAGE(epm,ede,epe)),2))</f>
        <v>n.e.</v>
      </c>
      <c r="L172" s="277" t="str">
        <f>+IF(K172=$AI$35,$AI$35,(+IF(K172&lt;80%,"C",+IF(K172&lt;90%,"B","A"))))</f>
        <v>n.e.</v>
      </c>
      <c r="M172" s="319" t="s">
        <v>155</v>
      </c>
      <c r="N172" s="319"/>
      <c r="O172" s="319"/>
      <c r="P172" s="319"/>
      <c r="Q172" s="319"/>
      <c r="R172" s="319"/>
      <c r="S172" s="319"/>
      <c r="T172" s="319"/>
      <c r="U172" s="260"/>
      <c r="V172" s="283"/>
      <c r="Y172" s="237"/>
      <c r="Z172" s="177" t="s">
        <v>13</v>
      </c>
      <c r="AA172" s="177" t="s">
        <v>173</v>
      </c>
      <c r="AB172" s="195" t="str">
        <f>+AS38</f>
        <v>xx</v>
      </c>
    </row>
    <row r="173" spans="2:31">
      <c r="B173" s="16"/>
      <c r="C173" s="16"/>
      <c r="D173" s="16"/>
      <c r="E173" s="16"/>
      <c r="F173" s="16"/>
      <c r="G173" s="16"/>
      <c r="H173" s="260"/>
      <c r="I173" s="260"/>
      <c r="J173" s="283"/>
      <c r="K173" s="279"/>
      <c r="L173" s="270" t="str">
        <f>+IF(COUNTIF(H96:H111,$AI$35)=3,$AI$35,+IF(COUNTIF((H96:H111),"C")&gt;=1,"C",+IF(+COUNTIF((H96:H111),"B")&gt;=1,"B","A")))</f>
        <v>n.e.</v>
      </c>
      <c r="M173" s="319" t="s">
        <v>184</v>
      </c>
      <c r="N173" s="319"/>
      <c r="O173" s="319"/>
      <c r="P173" s="319"/>
      <c r="Q173" s="319"/>
      <c r="R173" s="319"/>
      <c r="S173" s="319"/>
      <c r="T173" s="319"/>
      <c r="U173" s="260"/>
      <c r="V173" s="283"/>
      <c r="Y173" s="237"/>
      <c r="Z173" s="177" t="s">
        <v>14</v>
      </c>
      <c r="AA173" s="177" t="s">
        <v>174</v>
      </c>
      <c r="AB173" s="195" t="str">
        <f>+AS40</f>
        <v>xx</v>
      </c>
    </row>
    <row r="174" spans="2:31">
      <c r="B174" s="16"/>
      <c r="C174" s="16"/>
      <c r="D174" s="16"/>
      <c r="E174" s="16"/>
      <c r="F174" s="16"/>
      <c r="G174" s="16"/>
      <c r="H174" s="260"/>
      <c r="I174" s="260"/>
      <c r="J174" s="283"/>
      <c r="K174" s="48"/>
      <c r="L174" s="270" t="str">
        <f>++IF(K172=$AI$35,$AI$35,+IF(MIN(epm,ede,epe)&lt;70%,"C",+IF(MIN(epm,ede,epe)&lt;80%,"B","kA")))</f>
        <v>n.e.</v>
      </c>
      <c r="M174" s="320" t="s">
        <v>187</v>
      </c>
      <c r="N174" s="319"/>
      <c r="O174" s="319"/>
      <c r="P174" s="260"/>
      <c r="Q174" s="319"/>
      <c r="R174" s="319"/>
      <c r="S174" s="319"/>
      <c r="T174" s="319"/>
      <c r="U174" s="260"/>
      <c r="V174" s="283"/>
      <c r="Y174" s="237"/>
      <c r="Z174" s="177"/>
      <c r="AA174" s="177"/>
      <c r="AB174" s="195"/>
    </row>
    <row r="175" spans="2:31" ht="15" thickBot="1">
      <c r="B175" s="16"/>
      <c r="C175" s="16"/>
      <c r="D175" s="16"/>
      <c r="E175" s="16"/>
      <c r="F175" s="16"/>
      <c r="G175" s="16"/>
      <c r="H175" s="260"/>
      <c r="I175" s="260"/>
      <c r="J175" s="283"/>
      <c r="K175" s="48"/>
      <c r="L175" s="270" t="str">
        <f>IF(COUNT((A8:A22)=0),$AI$35,+IF(+COUNTIF((A8:A22),"C")&gt;=1,"C",+IF(+COUNTIF((A8:A22),"B")&gt;=1,"B","A")))</f>
        <v>A</v>
      </c>
      <c r="M175" s="320" t="s">
        <v>180</v>
      </c>
      <c r="N175" s="319"/>
      <c r="O175" s="319"/>
      <c r="P175" s="260"/>
      <c r="Q175" s="319"/>
      <c r="R175" s="319"/>
      <c r="S175" s="319"/>
      <c r="T175" s="319"/>
      <c r="U175" s="260"/>
      <c r="V175" s="283"/>
      <c r="Y175" s="237"/>
      <c r="Z175" s="177"/>
      <c r="AA175" s="177"/>
      <c r="AB175" s="195"/>
    </row>
    <row r="176" spans="2:31" ht="15" thickBot="1">
      <c r="B176" s="16"/>
      <c r="C176" s="16"/>
      <c r="D176" s="16"/>
      <c r="E176" s="16"/>
      <c r="F176" s="16"/>
      <c r="G176" s="16"/>
      <c r="H176" s="260"/>
      <c r="I176" s="260"/>
      <c r="J176" s="283"/>
      <c r="K176" s="279"/>
      <c r="L176" s="288" t="str">
        <f>+IF(L172=$AI$35,$AI$35,+IF(COUNTIF(L172:L175,"C")&gt;=1,"C",+IF(COUNTIF(L172:L175,"B")&gt;=1,"B","A")))</f>
        <v>n.e.</v>
      </c>
      <c r="M176" s="321" t="s">
        <v>156</v>
      </c>
      <c r="N176" s="322"/>
      <c r="O176" s="319"/>
      <c r="P176" s="319"/>
      <c r="Q176" s="319"/>
      <c r="R176" s="319"/>
      <c r="S176" s="319"/>
      <c r="T176" s="319"/>
      <c r="U176" s="260"/>
      <c r="V176" s="283"/>
      <c r="Y176" s="237"/>
      <c r="Z176" s="177"/>
      <c r="AA176" s="177"/>
      <c r="AB176" s="195"/>
    </row>
    <row r="177" spans="2:30">
      <c r="B177" s="16"/>
      <c r="C177" s="16"/>
      <c r="D177" s="16"/>
      <c r="E177" s="16"/>
      <c r="F177" s="16"/>
      <c r="G177" s="16"/>
      <c r="H177" s="260"/>
      <c r="I177" s="260"/>
      <c r="J177" s="283"/>
      <c r="K177" s="279"/>
      <c r="L177" s="271"/>
      <c r="M177" s="319"/>
      <c r="N177" s="319"/>
      <c r="O177" s="319"/>
      <c r="P177" s="319"/>
      <c r="Q177" s="319"/>
      <c r="R177" s="319"/>
      <c r="S177" s="319"/>
      <c r="T177" s="319"/>
      <c r="U177" s="260"/>
      <c r="V177" s="283"/>
      <c r="Y177" s="237"/>
      <c r="Z177" s="177"/>
      <c r="AA177" s="177"/>
      <c r="AB177" s="195"/>
    </row>
    <row r="178" spans="2:30">
      <c r="B178" s="16"/>
      <c r="C178" s="16"/>
      <c r="D178" s="16"/>
      <c r="E178" s="16"/>
      <c r="F178" s="16"/>
      <c r="G178" s="16"/>
      <c r="H178" s="260"/>
      <c r="I178" s="260"/>
      <c r="J178" s="283"/>
      <c r="K178" s="278">
        <f>++IF(ISERROR(AVERAGE(ez,epg,ek)),$AI$35,+ROUND((+AVERAGE(ez,epg,ek)),2))</f>
        <v>0.97</v>
      </c>
      <c r="L178" s="277" t="str">
        <f>+IF(K178=$AI$35,$AI$35,+IF(K178&lt;80%,"C",+IF(K178&lt;90%,"B","A")))</f>
        <v>A</v>
      </c>
      <c r="M178" s="319" t="s">
        <v>157</v>
      </c>
      <c r="N178" s="319"/>
      <c r="O178" s="319"/>
      <c r="P178" s="319"/>
      <c r="Q178" s="319"/>
      <c r="R178" s="319"/>
      <c r="S178" s="319"/>
      <c r="T178" s="319"/>
      <c r="U178" s="260"/>
      <c r="V178" s="283"/>
      <c r="Y178" s="237"/>
      <c r="Z178" s="177"/>
      <c r="AA178" s="177"/>
      <c r="AB178" s="195"/>
    </row>
    <row r="179" spans="2:30">
      <c r="B179" s="16"/>
      <c r="C179" s="16"/>
      <c r="D179" s="16"/>
      <c r="E179" s="16"/>
      <c r="F179" s="16"/>
      <c r="G179" s="16"/>
      <c r="H179" s="260"/>
      <c r="I179" s="260"/>
      <c r="J179" s="283"/>
      <c r="K179" s="279"/>
      <c r="L179" s="270" t="str">
        <f>+IF(K178=$AI$35,$AI$35,+IF(MIN(elm,epg,ek,AS36:AS40,G62,M62,Q62,W62,AB62,AG62,BD62)&lt;70%,"C",IF(MIN(elm,epg,ek,AS36:AS40,G62,M62,Q62,W62,AB62,AG62,BD62)&lt;80%,"B","A")))</f>
        <v>A</v>
      </c>
      <c r="M179" s="319" t="s">
        <v>195</v>
      </c>
      <c r="N179" s="319"/>
      <c r="O179" s="319"/>
      <c r="P179" s="319"/>
      <c r="Q179" s="319"/>
      <c r="R179" s="319"/>
      <c r="S179" s="319"/>
      <c r="T179" s="319"/>
      <c r="U179" s="260"/>
      <c r="V179" s="283"/>
      <c r="Y179" s="195"/>
      <c r="Z179" s="177"/>
      <c r="AA179" s="177"/>
      <c r="AB179" s="195"/>
    </row>
    <row r="180" spans="2:30">
      <c r="B180" s="16"/>
      <c r="C180" s="16"/>
      <c r="D180" s="16"/>
      <c r="E180" s="16"/>
      <c r="F180" s="16"/>
      <c r="G180" s="16"/>
      <c r="H180" s="260"/>
      <c r="I180" s="260"/>
      <c r="J180" s="283"/>
      <c r="K180" s="48"/>
      <c r="L180" s="270" t="str">
        <f>IF(COUNT((A29:A66)=0),$AI$35,+IF(+COUNTIF((A29:A66),"C")&gt;=1,"C",+IF(+COUNTIF((A29:A66),"B")&gt;=1,"B","A")))</f>
        <v>A</v>
      </c>
      <c r="M180" s="320" t="s">
        <v>179</v>
      </c>
      <c r="N180" s="319"/>
      <c r="O180" s="319"/>
      <c r="P180" s="319"/>
      <c r="Q180" s="319"/>
      <c r="R180" s="319"/>
      <c r="S180" s="319"/>
      <c r="T180" s="319"/>
      <c r="U180" s="260"/>
      <c r="V180" s="283"/>
      <c r="Y180" s="195"/>
      <c r="Z180" s="177"/>
      <c r="AA180" s="177"/>
      <c r="AB180" s="195"/>
    </row>
    <row r="181" spans="2:30" ht="15" thickBot="1">
      <c r="B181" s="16"/>
      <c r="C181" s="16"/>
      <c r="D181" s="16"/>
      <c r="E181" s="16"/>
      <c r="F181" s="16"/>
      <c r="G181" s="16"/>
      <c r="H181" s="260"/>
      <c r="I181" s="260"/>
      <c r="J181" s="283"/>
      <c r="K181" s="279"/>
      <c r="L181" s="270" t="str">
        <f>+IF(K178=$AI$35,$AI$35,+IF(COUNTIF((H118:H158),"C")&gt;=1,"C",+IF(+COUNTIF((H118:H158),"B")&gt;=1,"B","A")))</f>
        <v>A</v>
      </c>
      <c r="M181" s="319" t="s">
        <v>178</v>
      </c>
      <c r="N181" s="319"/>
      <c r="O181" s="319"/>
      <c r="P181" s="319"/>
      <c r="Q181" s="319"/>
      <c r="R181" s="319"/>
      <c r="S181" s="319"/>
      <c r="T181" s="319"/>
      <c r="U181" s="260"/>
      <c r="V181" s="283"/>
      <c r="AB181" s="32">
        <f>+COUNTIF(AB171:AB180,$AI$35)</f>
        <v>0</v>
      </c>
      <c r="AD181" s="327" t="str">
        <f>+IF(AB181=3,$AI$35,+IF(MIN(AB171:AB173)&lt;70%,"C",+IF(MIN(AB171:AB173)&lt;80%,"B","A")))</f>
        <v>A</v>
      </c>
    </row>
    <row r="182" spans="2:30" ht="15" thickBot="1">
      <c r="B182" s="16"/>
      <c r="C182" s="16"/>
      <c r="D182" s="16"/>
      <c r="E182" s="16"/>
      <c r="F182" s="16"/>
      <c r="G182" s="16"/>
      <c r="H182" s="260"/>
      <c r="I182" s="260"/>
      <c r="J182" s="283"/>
      <c r="K182" s="280"/>
      <c r="L182" s="288" t="str">
        <f>++IF(K178=$AI$35,$AI$35,+IF(ISERROR(K178),$AI$35,+IF(COUNTIF(L178:L181,"C")&gt;=1,"C",+IF(COUNTIF(L178:L181,"B")&gt;=1,"B","A"))))</f>
        <v>A</v>
      </c>
      <c r="M182" s="321" t="s">
        <v>186</v>
      </c>
      <c r="N182" s="322"/>
      <c r="O182" s="323"/>
      <c r="P182" s="323"/>
      <c r="Q182" s="323"/>
      <c r="R182" s="323"/>
      <c r="S182" s="323"/>
      <c r="T182" s="323"/>
      <c r="U182" s="328"/>
      <c r="V182" s="324"/>
    </row>
    <row r="183" spans="2:30">
      <c r="B183" s="16"/>
      <c r="C183" s="16"/>
      <c r="D183" s="16"/>
      <c r="E183" s="16"/>
      <c r="F183" s="16"/>
      <c r="G183" s="16"/>
      <c r="K183" s="192"/>
      <c r="L183" s="192"/>
      <c r="M183" s="192"/>
      <c r="N183" s="192"/>
      <c r="O183" s="192"/>
      <c r="P183" s="192"/>
      <c r="Q183" s="192"/>
      <c r="R183" s="192"/>
      <c r="S183" s="192"/>
      <c r="T183" s="192"/>
    </row>
    <row r="185" spans="2:30">
      <c r="K185" s="293" t="s">
        <v>176</v>
      </c>
      <c r="L185" s="294"/>
      <c r="M185" s="294"/>
      <c r="N185" s="294"/>
      <c r="O185" s="294"/>
      <c r="P185" s="295"/>
    </row>
    <row r="186" spans="2:30">
      <c r="K186" s="296" t="s">
        <v>175</v>
      </c>
      <c r="L186" s="297"/>
      <c r="M186" s="297"/>
      <c r="N186" s="297"/>
      <c r="O186" s="297"/>
      <c r="P186" s="298"/>
      <c r="R186" s="192"/>
      <c r="S186" s="177" t="s">
        <v>158</v>
      </c>
      <c r="T186" s="192"/>
    </row>
    <row r="187" spans="2:30">
      <c r="G187" s="38"/>
      <c r="H187" s="38"/>
      <c r="I187" s="38"/>
      <c r="J187" s="38"/>
      <c r="K187" s="299" t="s">
        <v>177</v>
      </c>
      <c r="L187" s="300"/>
      <c r="M187" s="300"/>
      <c r="N187" s="300"/>
      <c r="O187" s="300"/>
      <c r="P187" s="301"/>
      <c r="S187" s="32">
        <v>1</v>
      </c>
      <c r="T187" s="32">
        <v>2</v>
      </c>
      <c r="U187" s="32">
        <v>3</v>
      </c>
      <c r="V187" s="32">
        <v>4</v>
      </c>
      <c r="W187" s="32">
        <v>5</v>
      </c>
      <c r="X187" s="32">
        <v>6</v>
      </c>
      <c r="Y187" s="32">
        <v>7</v>
      </c>
      <c r="Z187" s="32">
        <v>8</v>
      </c>
      <c r="AA187" s="32">
        <v>9</v>
      </c>
      <c r="AB187" s="32">
        <v>10</v>
      </c>
    </row>
    <row r="188" spans="2:30">
      <c r="G188" s="38"/>
      <c r="H188" s="38"/>
      <c r="I188" s="38"/>
      <c r="J188" s="38"/>
      <c r="K188" s="38"/>
      <c r="L188" s="38"/>
      <c r="M188" s="272"/>
      <c r="N188" s="38"/>
      <c r="O188" s="38"/>
      <c r="P188" s="177" t="s">
        <v>159</v>
      </c>
      <c r="S188" s="32" t="str">
        <f t="shared" ref="S188:AB188" si="10">+J152</f>
        <v>A</v>
      </c>
      <c r="T188" s="32" t="str">
        <f t="shared" si="10"/>
        <v>A</v>
      </c>
      <c r="U188" s="32" t="str">
        <f t="shared" si="10"/>
        <v>A</v>
      </c>
      <c r="V188" s="32">
        <f t="shared" si="10"/>
        <v>0</v>
      </c>
      <c r="W188" s="32">
        <f t="shared" si="10"/>
        <v>0</v>
      </c>
      <c r="X188" s="32">
        <f t="shared" si="10"/>
        <v>0</v>
      </c>
      <c r="Y188" s="32">
        <f t="shared" si="10"/>
        <v>0</v>
      </c>
      <c r="Z188" s="32">
        <f t="shared" si="10"/>
        <v>0</v>
      </c>
      <c r="AA188" s="32">
        <f t="shared" si="10"/>
        <v>0</v>
      </c>
      <c r="AB188" s="32">
        <f t="shared" si="10"/>
        <v>0</v>
      </c>
    </row>
    <row r="189" spans="2:30">
      <c r="G189" s="38"/>
      <c r="H189" s="38"/>
      <c r="I189" s="38"/>
      <c r="J189" s="38"/>
      <c r="K189" s="38"/>
      <c r="L189" s="38"/>
      <c r="M189" s="38"/>
      <c r="N189" s="38"/>
      <c r="O189" s="38"/>
      <c r="P189" s="177"/>
      <c r="R189" s="177" t="s">
        <v>24</v>
      </c>
      <c r="S189" s="32" t="str">
        <f>+IF(ISERROR(AVERAGE(D36:H36)),$AI$35,(+IF(AVERAGE(D36:H36)&lt;70%,"C",+IF(AVERAGE(D36:H36)&lt;80%,"B","A"))))</f>
        <v>A</v>
      </c>
      <c r="T189" s="32" t="str">
        <f>+IF(ISERROR(AVERAGE(D38:H38)),$AI$35,(+IF(AVERAGE(D38:H38)&lt;70%,"C",+IF(AVERAGE(D38:H38)&lt;80%,"B","A"))))</f>
        <v>n.e.</v>
      </c>
      <c r="U189" s="32" t="str">
        <f>+IF(ISERROR(AVERAGE(D40:H40)),$AI$35,(+IF(AVERAGE(D40:H40)&lt;70%,"C",+IF(AVERAGE(D40:H40)&lt;80%,"B","A"))))</f>
        <v>n.e.</v>
      </c>
      <c r="V189" s="32" t="str">
        <f>+IF(ISERROR(AVERAGE(#REF!)),$AI$35,(+IF(AVERAGE(#REF!)&lt;70%,"C",+IF(AVERAGE(#REF!)&lt;80%,"B","A"))))</f>
        <v>n.e.</v>
      </c>
      <c r="W189" s="32" t="str">
        <f>+IF(ISERROR(AVERAGE(#REF!)),$AI$35,(+IF(AVERAGE(#REF!)&lt;70%,"C",+IF(AVERAGE(#REF!)&lt;80%,"B","A"))))</f>
        <v>n.e.</v>
      </c>
      <c r="X189" s="32" t="str">
        <f>+IF(ISERROR(AVERAGE(#REF!)),$AI$35,(+IF(AVERAGE(#REF!)&lt;70%,"C",+IF(AVERAGE(#REF!)&lt;80%,"B","A"))))</f>
        <v>n.e.</v>
      </c>
      <c r="Y189" s="32" t="str">
        <f>+IF(ISERROR(AVERAGE(#REF!)),$AI$35,(+IF(AVERAGE(#REF!)&lt;70%,"C",+IF(AVERAGE(#REF!)&lt;80%,"B","A"))))</f>
        <v>n.e.</v>
      </c>
      <c r="Z189" s="32" t="str">
        <f>+IF(ISERROR(AVERAGE(#REF!)),$AI$35,(+IF(AVERAGE(#REF!)&lt;70%,"C",+IF(AVERAGE(#REF!)&lt;80%,"B","A"))))</f>
        <v>n.e.</v>
      </c>
      <c r="AA189" s="32" t="str">
        <f>+IF(ISERROR(AVERAGE(#REF!)),$AI$35,(+IF(AVERAGE(#REF!)&lt;70%,"C",+IF(AVERAGE(#REF!)&lt;80%,"B","A"))))</f>
        <v>n.e.</v>
      </c>
      <c r="AB189" s="32" t="str">
        <f>+IF(ISERROR(AVERAGE(#REF!)),$AI$35,(+IF(AVERAGE(#REF!)&lt;70%,"C",+IF(AVERAGE(#REF!)&lt;80%,"B","A"))))</f>
        <v>n.e.</v>
      </c>
    </row>
    <row r="190" spans="2:30">
      <c r="G190" s="38"/>
      <c r="H190" s="38"/>
      <c r="I190" s="38"/>
      <c r="J190" s="38"/>
      <c r="K190" s="38"/>
      <c r="L190" s="38"/>
      <c r="M190" s="38"/>
      <c r="N190" s="38"/>
      <c r="O190" s="38"/>
      <c r="P190" s="177"/>
      <c r="R190" s="177" t="s">
        <v>25</v>
      </c>
      <c r="S190" s="32" t="str">
        <f>+IF(ISERROR(AVERAGE(J36:O36)),$AI$35,(+IF(AVERAGE(J36:O36)&lt;70%,"C",+IF(AVERAGE(J36:O36)&lt;80%,"B","A"))))</f>
        <v>A</v>
      </c>
      <c r="T190" s="32" t="str">
        <f>+IF(ISERROR(AVERAGE(J38:O38)),$AI$35,(+IF(AVERAGE(J38:O38)&lt;70%,"C",+IF(AVERAGE(J38:O38)&lt;80%,"B","A"))))</f>
        <v>n.e.</v>
      </c>
      <c r="U190" s="32" t="str">
        <f>+IF(ISERROR(AVERAGE(J40:O40)),$AI$35,(+IF(AVERAGE(J40:O40)&lt;70%,"C",+IF(AVERAGE(J40:O40)&lt;80%,"B","A"))))</f>
        <v>n.e.</v>
      </c>
      <c r="V190" s="32" t="str">
        <f>+IF(ISERROR(AVERAGE(#REF!)),$AI$35,(+IF(AVERAGE(#REF!)&lt;70%,"C",+IF(AVERAGE(#REF!)&lt;80%,"B","A"))))</f>
        <v>n.e.</v>
      </c>
      <c r="W190" s="32" t="str">
        <f>+IF(ISERROR(AVERAGE(#REF!)),$AI$35,(+IF(AVERAGE(#REF!)&lt;70%,"C",+IF(AVERAGE(#REF!)&lt;80%,"B","A"))))</f>
        <v>n.e.</v>
      </c>
      <c r="X190" s="32" t="str">
        <f>+IF(ISERROR(AVERAGE(#REF!)),$AI$35,(+IF(AVERAGE(#REF!)&lt;70%,"C",+IF(AVERAGE(#REF!)&lt;80%,"B","A"))))</f>
        <v>n.e.</v>
      </c>
      <c r="Y190" s="32" t="str">
        <f>+IF(ISERROR(AVERAGE(#REF!)),$AI$35,(+IF(AVERAGE(#REF!)&lt;70%,"C",+IF(AVERAGE(#REF!)&lt;80%,"B","A"))))</f>
        <v>n.e.</v>
      </c>
      <c r="Z190" s="32" t="str">
        <f>+IF(ISERROR(AVERAGE(#REF!)),$AI$35,(+IF(AVERAGE(#REF!)&lt;70%,"C",+IF(AVERAGE(#REF!)&lt;80%,"B","A"))))</f>
        <v>n.e.</v>
      </c>
      <c r="AA190" s="32" t="str">
        <f>+IF(ISERROR(AVERAGE(#REF!)),$AI$35,(+IF(AVERAGE(#REF!)&lt;70%,"C",+IF(AVERAGE(#REF!)&lt;80%,"B","A"))))</f>
        <v>n.e.</v>
      </c>
      <c r="AB190" s="32" t="str">
        <f>+IF(ISERROR(AVERAGE(#REF!)),$AI$35,(+IF(AVERAGE(#REF!)&lt;70%,"C",+IF(AVERAGE(#REF!)&lt;80%,"B","A"))))</f>
        <v>n.e.</v>
      </c>
    </row>
    <row r="191" spans="2:30">
      <c r="R191" s="177" t="s">
        <v>26</v>
      </c>
      <c r="S191" s="32" t="str">
        <f>+IF(ISERROR(AVERAGE(P36:R36)),$AI$35,(+IF(AVERAGE(P36:R36)&lt;70%,"C",+IF(AVERAGE(P36:R36)&lt;80%,"B","A"))))</f>
        <v>A</v>
      </c>
      <c r="T191" s="32" t="str">
        <f>+IF(ISERROR(AVERAGE(P38:R38)),$AI$35,(+IF(AVERAGE(P38:R38)&lt;70%,"C",+IF(AVERAGE(P38:R38)&lt;80%,"B","A"))))</f>
        <v>n.e.</v>
      </c>
      <c r="U191" s="32" t="str">
        <f>+IF(ISERROR(AVERAGE(P40:R40)),$AI$35,(+IF(AVERAGE(P40:R40)&lt;70%,"C",+IF(AVERAGE(P40:R40)&lt;80%,"B","A"))))</f>
        <v>n.e.</v>
      </c>
      <c r="V191" s="32" t="str">
        <f>+IF(ISERROR(AVERAGE(#REF!)),$AI$35,(+IF(AVERAGE(#REF!)&lt;70%,"C",+IF(AVERAGE(#REF!)&lt;80%,"B","A"))))</f>
        <v>n.e.</v>
      </c>
      <c r="W191" s="32" t="str">
        <f>+IF(ISERROR(AVERAGE(#REF!)),$AI$35,(+IF(AVERAGE(#REF!)&lt;70%,"C",+IF(AVERAGE(#REF!)&lt;80%,"B","A"))))</f>
        <v>n.e.</v>
      </c>
      <c r="X191" s="32" t="str">
        <f>+IF(ISERROR(AVERAGE(#REF!)),$AI$35,(+IF(AVERAGE(#REF!)&lt;70%,"C",+IF(AVERAGE(#REF!)&lt;80%,"B","A"))))</f>
        <v>n.e.</v>
      </c>
      <c r="Y191" s="32" t="str">
        <f>+IF(ISERROR(AVERAGE(#REF!)),$AI$35,(+IF(AVERAGE(#REF!)&lt;70%,"C",+IF(AVERAGE(#REF!)&lt;80%,"B","A"))))</f>
        <v>n.e.</v>
      </c>
      <c r="Z191" s="32" t="str">
        <f>+IF(ISERROR(AVERAGE(#REF!)),$AI$35,(+IF(AVERAGE(#REF!)&lt;70%,"C",+IF(AVERAGE(#REF!)&lt;80%,"B","A"))))</f>
        <v>n.e.</v>
      </c>
      <c r="AA191" s="32" t="str">
        <f>+IF(ISERROR(AVERAGE(#REF!)),$AI$35,(+IF(AVERAGE(#REF!)&lt;70%,"C",+IF(AVERAGE(#REF!)&lt;80%,"B","A"))))</f>
        <v>n.e.</v>
      </c>
      <c r="AB191" s="32" t="str">
        <f>+IF(ISERROR(AVERAGE(#REF!)),$AI$35,(+IF(AVERAGE(#REF!)&lt;70%,"C",+IF(AVERAGE(#REF!)&lt;80%,"B","A"))))</f>
        <v>n.e.</v>
      </c>
    </row>
    <row r="192" spans="2:30">
      <c r="R192" s="177" t="s">
        <v>27</v>
      </c>
      <c r="S192" s="32" t="str">
        <f>+IF(ISERROR(AVERAGE($T36:$V36)),$AI$35,(+IF(AVERAGE($T36:$V36)&lt;70%,"C",+IF(AVERAGE($T36:$V36)&lt;80%,"B","A"))))</f>
        <v>A</v>
      </c>
      <c r="T192" s="32" t="str">
        <f>+IF(ISERROR(AVERAGE($T38:$V38)),$AI$35,(+IF(AVERAGE($T38:$V38)&lt;70%,"C",+IF(AVERAGE($T38:$V38)&lt;80%,"B","A"))))</f>
        <v>n.e.</v>
      </c>
      <c r="U192" s="32" t="str">
        <f>+IF(ISERROR(AVERAGE($T40:$V40)),$AI$35,(+IF(AVERAGE($T40:$V40)&lt;70%,"C",+IF(AVERAGE($T40:$V40)&lt;80%,"B","A"))))</f>
        <v>n.e.</v>
      </c>
      <c r="V192" s="32" t="str">
        <f>+IF(ISERROR(AVERAGE(#REF!)),$AI$35,(+IF(AVERAGE(#REF!)&lt;70%,"C",+IF(AVERAGE(#REF!)&lt;80%,"B","A"))))</f>
        <v>n.e.</v>
      </c>
      <c r="W192" s="32" t="str">
        <f>+IF(ISERROR(AVERAGE(#REF!)),$AI$35,(+IF(AVERAGE(#REF!)&lt;70%,"C",+IF(AVERAGE(#REF!)&lt;80%,"B","A"))))</f>
        <v>n.e.</v>
      </c>
      <c r="X192" s="32" t="str">
        <f>+IF(ISERROR(AVERAGE(#REF!)),$AI$35,(+IF(AVERAGE(#REF!)&lt;70%,"C",+IF(AVERAGE(#REF!)&lt;80%,"B","A"))))</f>
        <v>n.e.</v>
      </c>
      <c r="Y192" s="32" t="str">
        <f>+IF(ISERROR(AVERAGE(#REF!)),$AI$35,(+IF(AVERAGE(#REF!)&lt;70%,"C",+IF(AVERAGE(#REF!)&lt;80%,"B","A"))))</f>
        <v>n.e.</v>
      </c>
      <c r="Z192" s="32" t="str">
        <f>+IF(ISERROR(AVERAGE(#REF!)),$AI$35,(+IF(AVERAGE(#REF!)&lt;70%,"C",+IF(AVERAGE(#REF!)&lt;80%,"B","A"))))</f>
        <v>n.e.</v>
      </c>
      <c r="AA192" s="32" t="str">
        <f>+IF(ISERROR(AVERAGE(#REF!)),$AI$35,(+IF(AVERAGE(#REF!)&lt;70%,"C",+IF(AVERAGE(#REF!)&lt;80%,"B","A"))))</f>
        <v>n.e.</v>
      </c>
      <c r="AB192" s="32" t="str">
        <f>+IF(ISERROR(AVERAGE(#REF!)),$AI$35,(+IF(AVERAGE(#REF!)&lt;70%,"C",+IF(AVERAGE(#REF!)&lt;80%,"B","A"))))</f>
        <v>n.e.</v>
      </c>
    </row>
    <row r="193" spans="1:61">
      <c r="R193" s="177" t="s">
        <v>102</v>
      </c>
      <c r="S193" s="32" t="str">
        <f>+IF(ISERROR(AVERAGE($Z36:$AC36)),$AI$35,(+IF(AVERAGE($Z36:$AC36)&lt;70%,"C",+IF(AVERAGE($Z36:$AC36)&lt;80%,"B","A"))))</f>
        <v>A</v>
      </c>
      <c r="T193" s="32" t="str">
        <f>+IF(ISERROR(AVERAGE($Z38:$AC38)),$AI$35,(+IF(AVERAGE($Z38:$AC38)&lt;70%,"C",+IF(AVERAGE($Z38:$AC38)&lt;80%,"B","A"))))</f>
        <v>n.e.</v>
      </c>
      <c r="U193" s="32" t="str">
        <f>+IF(ISERROR(AVERAGE($Z40:$AC40)),$AI$35,(+IF(AVERAGE($Z40:$AC40)&lt;70%,"C",+IF(AVERAGE($Z40:$AC40)&lt;80%,"B","A"))))</f>
        <v>n.e.</v>
      </c>
      <c r="V193" s="32" t="str">
        <f>+IF(ISERROR(AVERAGE(#REF!)),$AI$35,(+IF(AVERAGE(#REF!)&lt;70%,"C",+IF(AVERAGE(#REF!)&lt;80%,"B","A"))))</f>
        <v>n.e.</v>
      </c>
      <c r="W193" s="32" t="str">
        <f>+IF(ISERROR(AVERAGE(#REF!)),$AI$35,(+IF(AVERAGE(#REF!)&lt;70%,"C",+IF(AVERAGE(#REF!)&lt;80%,"B","A"))))</f>
        <v>n.e.</v>
      </c>
      <c r="X193" s="32" t="str">
        <f>+IF(ISERROR(AVERAGE(#REF!)),$AI$35,(+IF(AVERAGE(#REF!)&lt;70%,"C",+IF(AVERAGE(#REF!)&lt;80%,"B","A"))))</f>
        <v>n.e.</v>
      </c>
      <c r="Y193" s="32" t="str">
        <f>+IF(ISERROR(AVERAGE(#REF!)),$AI$35,(+IF(AVERAGE(#REF!)&lt;70%,"C",+IF(AVERAGE(#REF!)&lt;80%,"B","A"))))</f>
        <v>n.e.</v>
      </c>
      <c r="Z193" s="32" t="str">
        <f>+IF(ISERROR(AVERAGE(#REF!)),$AI$35,(+IF(AVERAGE(#REF!)&lt;70%,"C",+IF(AVERAGE(#REF!)&lt;80%,"B","A"))))</f>
        <v>n.e.</v>
      </c>
      <c r="AA193" s="32" t="str">
        <f>+IF(ISERROR(AVERAGE(#REF!)),$AI$35,(+IF(AVERAGE(#REF!)&lt;70%,"C",+IF(AVERAGE(#REF!)&lt;80%,"B","A"))))</f>
        <v>n.e.</v>
      </c>
      <c r="AB193" s="32" t="str">
        <f>+IF(ISERROR(AVERAGE(#REF!)),$AI$35,(+IF(AVERAGE(#REF!)&lt;70%,"C",+IF(AVERAGE(#REF!)&lt;80%,"B","A"))))</f>
        <v>n.e.</v>
      </c>
    </row>
    <row r="194" spans="1:61">
      <c r="R194" s="177" t="s">
        <v>103</v>
      </c>
      <c r="S194" s="32" t="str">
        <f>+IF(ISERROR(AVERAGE($AE36:$AH36)),$AI$35,(+IF(AVERAGE($AE36:$AH36)&lt;70%,"C",+IF(AVERAGE($AE36:$AH36)&lt;80%,"B","A"))))</f>
        <v>A</v>
      </c>
      <c r="T194" s="32" t="str">
        <f>+IF(ISERROR(AVERAGE($AE38:$AH38)),$AI$35,(+IF(AVERAGE($AE38:$AH38)&lt;70%,"C",+IF(AVERAGE($AE38:$AH38)&lt;80%,"B","A"))))</f>
        <v>n.e.</v>
      </c>
      <c r="U194" s="32" t="str">
        <f>+IF(ISERROR(AVERAGE($AE40:$AH40)),$AI$35,(+IF(AVERAGE($AE40:$AH40)&lt;70%,"C",+IF(AVERAGE($AE40:$AH40)&lt;80%,"B","A"))))</f>
        <v>n.e.</v>
      </c>
      <c r="V194" s="32" t="str">
        <f>+IF(ISERROR(AVERAGE(#REF!)),$AI$35,(+IF(AVERAGE(#REF!)&lt;70%,"C",+IF(AVERAGE(#REF!)&lt;80%,"B","A"))))</f>
        <v>n.e.</v>
      </c>
      <c r="W194" s="32" t="str">
        <f>+IF(ISERROR(AVERAGE(#REF!)),$AI$35,(+IF(AVERAGE(#REF!)&lt;70%,"C",+IF(AVERAGE(#REF!)&lt;80%,"B","A"))))</f>
        <v>n.e.</v>
      </c>
      <c r="X194" s="32" t="str">
        <f>+IF(ISERROR(AVERAGE(#REF!)),$AI$35,(+IF(AVERAGE(#REF!)&lt;70%,"C",+IF(AVERAGE(#REF!)&lt;80%,"B","A"))))</f>
        <v>n.e.</v>
      </c>
      <c r="Y194" s="32" t="str">
        <f>+IF(ISERROR(AVERAGE(#REF!)),$AI$35,(+IF(AVERAGE(#REF!)&lt;70%,"C",+IF(AVERAGE(#REF!)&lt;80%,"B","A"))))</f>
        <v>n.e.</v>
      </c>
      <c r="Z194" s="32" t="str">
        <f>+IF(ISERROR(AVERAGE(#REF!)),$AI$35,(+IF(AVERAGE(#REF!)&lt;70%,"C",+IF(AVERAGE(#REF!)&lt;80%,"B","A"))))</f>
        <v>n.e.</v>
      </c>
      <c r="AA194" s="32" t="str">
        <f>+IF(ISERROR(AVERAGE(#REF!)),$AI$35,(+IF(AVERAGE(#REF!)&lt;70%,"C",+IF(AVERAGE(#REF!)&lt;80%,"B","A"))))</f>
        <v>n.e.</v>
      </c>
      <c r="AB194" s="32" t="str">
        <f>+IF(ISERROR(AVERAGE(#REF!)),$AI$35,(+IF(AVERAGE(#REF!)&lt;70%,"C",+IF(AVERAGE(#REF!)&lt;80%,"B","A"))))</f>
        <v>n.e.</v>
      </c>
    </row>
    <row r="195" spans="1:61">
      <c r="R195" s="177" t="s">
        <v>143</v>
      </c>
      <c r="S195" s="32" t="str">
        <f>+IF(ISERROR(AVERAGE($AX36:$BE36)),$AI$35,(+IF(AVERAGE($AX36:$BE36)&lt;70%,"C",+IF(AVERAGE($AX36:$BE36)&lt;80%,"B","A"))))</f>
        <v>A</v>
      </c>
      <c r="T195" s="32" t="str">
        <f>+IF(ISERROR(AVERAGE($AX38:$BE38)),$AI$35,(+IF(AVERAGE($AX38:$BE38)&lt;70%,"C",+IF(AVERAGE($AX38:$BE38)&lt;80%,"B","A"))))</f>
        <v>n.e.</v>
      </c>
      <c r="U195" s="32" t="str">
        <f>+IF(ISERROR(AVERAGE($AX40:$BE40)),$AI$35,(+IF(AVERAGE($AX40:$BE40)&lt;70%,"C",+IF(AVERAGE($AX40:$BE40)&lt;80%,"B","A"))))</f>
        <v>n.e.</v>
      </c>
      <c r="V195" s="32" t="str">
        <f>+IF(ISERROR(AVERAGE(#REF!)),$AI$35,(+IF(AVERAGE(#REF!)&lt;70%,"C",+IF(AVERAGE(#REF!)&lt;80%,"B","A"))))</f>
        <v>n.e.</v>
      </c>
      <c r="W195" s="32" t="str">
        <f>+IF(ISERROR(AVERAGE(#REF!)),$AI$35,(+IF(AVERAGE(#REF!)&lt;70%,"C",+IF(AVERAGE(#REF!)&lt;80%,"B","A"))))</f>
        <v>n.e.</v>
      </c>
      <c r="X195" s="32" t="str">
        <f>+IF(ISERROR(AVERAGE(#REF!)),$AI$35,(+IF(AVERAGE(#REF!)&lt;70%,"C",+IF(AVERAGE(#REF!)&lt;80%,"B","A"))))</f>
        <v>n.e.</v>
      </c>
      <c r="Y195" s="32" t="str">
        <f>+IF(ISERROR(AVERAGE(#REF!)),$AI$35,(+IF(AVERAGE(#REF!)&lt;70%,"C",+IF(AVERAGE(#REF!)&lt;80%,"B","A"))))</f>
        <v>n.e.</v>
      </c>
      <c r="Z195" s="32" t="str">
        <f>+IF(ISERROR(AVERAGE(#REF!)),$AI$35,(+IF(AVERAGE(#REF!)&lt;70%,"C",+IF(AVERAGE(#REF!)&lt;80%,"B","A"))))</f>
        <v>n.e.</v>
      </c>
      <c r="AA195" s="32" t="str">
        <f>+IF(ISERROR(AVERAGE(#REF!)),$AI$35,(+IF(AVERAGE(#REF!)&lt;70%,"C",+IF(AVERAGE(#REF!)&lt;80%,"B","A"))))</f>
        <v>n.e.</v>
      </c>
      <c r="AB195" s="32" t="str">
        <f>+IF(ISERROR(AVERAGE(#REF!)),$AI$35,(+IF(AVERAGE(#REF!)&lt;70%,"C",+IF(AVERAGE(#REF!)&lt;80%,"B","A"))))</f>
        <v>n.e.</v>
      </c>
    </row>
    <row r="196" spans="1:61">
      <c r="R196" s="177"/>
    </row>
    <row r="197" spans="1:61">
      <c r="K197" s="237"/>
      <c r="Q197" s="177"/>
      <c r="R197" s="177"/>
      <c r="S197" s="177"/>
      <c r="T197" s="177"/>
      <c r="U197" s="177"/>
      <c r="V197" s="177"/>
      <c r="W197" s="177"/>
      <c r="X197" s="177"/>
      <c r="Y197" s="177"/>
      <c r="Z197" s="177"/>
    </row>
    <row r="198" spans="1:61">
      <c r="K198" s="237"/>
      <c r="L198" s="192"/>
      <c r="M198" s="177"/>
    </row>
    <row r="199" spans="1:61">
      <c r="B199" s="48"/>
      <c r="C199" s="33"/>
      <c r="D199" s="31"/>
      <c r="E199" s="31"/>
      <c r="F199" s="31"/>
      <c r="G199" s="31"/>
      <c r="H199" s="31"/>
      <c r="I199" s="31"/>
      <c r="J199" s="31"/>
      <c r="K199" s="31"/>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16"/>
      <c r="BF199" s="16"/>
      <c r="BG199" s="16"/>
      <c r="BH199" s="49"/>
      <c r="BI199" s="34"/>
    </row>
    <row r="200" spans="1:61">
      <c r="A200" s="254"/>
      <c r="B200" s="48"/>
      <c r="C200" s="262"/>
      <c r="D200" s="258"/>
      <c r="E200" s="258"/>
      <c r="F200" s="258"/>
      <c r="G200" s="258"/>
      <c r="H200" s="258"/>
      <c r="I200" s="258"/>
      <c r="J200" s="258"/>
      <c r="K200" s="258"/>
      <c r="L200" s="258"/>
      <c r="M200" s="258"/>
      <c r="N200" s="258"/>
      <c r="O200" s="258"/>
      <c r="P200" s="258"/>
      <c r="Q200" s="258"/>
      <c r="R200" s="258"/>
      <c r="S200" s="258"/>
      <c r="T200" s="258"/>
      <c r="U200" s="258"/>
      <c r="V200" s="258"/>
      <c r="W200" s="258"/>
      <c r="X200" s="258"/>
      <c r="Y200" s="258"/>
      <c r="Z200" s="258"/>
      <c r="AA200" s="258"/>
      <c r="AB200" s="258"/>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6"/>
      <c r="BF200" s="16"/>
      <c r="BG200" s="16"/>
      <c r="BH200" s="51"/>
      <c r="BI200" s="16"/>
    </row>
    <row r="201" spans="1:61">
      <c r="B201" s="48"/>
      <c r="C201" s="258"/>
      <c r="D201" s="258"/>
      <c r="E201" s="258"/>
      <c r="F201" s="258"/>
      <c r="G201" s="258"/>
      <c r="H201" s="258"/>
      <c r="I201" s="258"/>
      <c r="J201" s="258"/>
      <c r="K201" s="258"/>
      <c r="L201" s="258"/>
      <c r="M201" s="258"/>
      <c r="N201" s="258"/>
      <c r="O201" s="258"/>
      <c r="P201" s="258"/>
      <c r="Q201" s="258"/>
      <c r="R201" s="258"/>
      <c r="S201" s="258"/>
      <c r="T201" s="258"/>
      <c r="U201" s="258"/>
      <c r="V201" s="258"/>
      <c r="W201" s="258"/>
      <c r="X201" s="258"/>
      <c r="Y201" s="258"/>
      <c r="Z201" s="258"/>
      <c r="AA201" s="258"/>
      <c r="AB201" s="258"/>
      <c r="AC201" s="15"/>
      <c r="AD201" s="15"/>
      <c r="AE201" s="15"/>
      <c r="AF201" s="15"/>
      <c r="AG201" s="15"/>
      <c r="AH201" s="15"/>
      <c r="AI201" s="15"/>
      <c r="AJ201" s="15"/>
      <c r="AK201" s="15"/>
      <c r="AL201" s="15"/>
      <c r="AM201" s="15"/>
      <c r="AN201" s="15"/>
      <c r="AO201" s="15"/>
      <c r="AP201" s="15"/>
      <c r="AQ201" s="15"/>
      <c r="AR201" s="15"/>
      <c r="AS201" s="15"/>
      <c r="AT201" s="15"/>
      <c r="AU201" s="15"/>
      <c r="AV201" s="15"/>
      <c r="BE201" s="16"/>
      <c r="BF201" s="16"/>
      <c r="BG201" s="16"/>
      <c r="BH201" s="51"/>
      <c r="BI201" s="16"/>
    </row>
    <row r="202" spans="1:61" s="493" customFormat="1" ht="42.75">
      <c r="A202" s="242" t="s">
        <v>152</v>
      </c>
      <c r="B202" s="48"/>
      <c r="C202" s="263"/>
      <c r="D202" s="1517"/>
      <c r="E202" s="1517"/>
      <c r="F202" s="1517"/>
      <c r="G202" s="1517"/>
      <c r="H202" s="1517"/>
      <c r="I202" s="1473"/>
      <c r="J202" s="1473"/>
      <c r="K202" s="1473"/>
      <c r="L202" s="1473"/>
      <c r="M202" s="1473"/>
      <c r="N202" s="1473"/>
      <c r="O202" s="1473"/>
      <c r="P202" s="1473"/>
      <c r="Q202" s="1473"/>
      <c r="R202" s="1473"/>
      <c r="S202" s="1473"/>
      <c r="T202" s="1473"/>
      <c r="U202" s="1473"/>
      <c r="V202" s="1473"/>
      <c r="W202" s="1473"/>
      <c r="X202" s="1473"/>
      <c r="Y202" s="264"/>
      <c r="Z202" s="264"/>
      <c r="AA202" s="264"/>
      <c r="AB202" s="742"/>
      <c r="AC202" s="205"/>
      <c r="AD202" s="205"/>
      <c r="AE202" s="1524"/>
      <c r="AF202" s="1524"/>
      <c r="AG202" s="1524"/>
      <c r="AH202" s="1524"/>
      <c r="AI202" s="1524"/>
      <c r="AJ202" s="1524"/>
      <c r="AK202" s="1524"/>
      <c r="AL202" s="1524"/>
      <c r="AM202" s="1524"/>
      <c r="AN202" s="1524"/>
      <c r="AO202" s="1524"/>
      <c r="AP202" s="1524"/>
      <c r="AQ202" s="1524"/>
      <c r="AR202" s="1524"/>
      <c r="AS202" s="1524"/>
      <c r="AT202" s="1524"/>
      <c r="AU202" s="206"/>
      <c r="AV202" s="206"/>
      <c r="AW202" s="1580"/>
      <c r="AX202" s="1580"/>
      <c r="AY202" s="1580"/>
      <c r="AZ202" s="1580"/>
      <c r="BA202" s="1580"/>
      <c r="BB202" s="1580"/>
      <c r="BC202" s="1580"/>
      <c r="BD202" s="229"/>
      <c r="BE202" s="16"/>
      <c r="BF202" s="16"/>
      <c r="BG202" s="16"/>
      <c r="BH202" s="45"/>
      <c r="BI202" s="44"/>
    </row>
    <row r="203" spans="1:61" ht="21" customHeight="1">
      <c r="A203" s="243" t="str">
        <f>IF(COUNTIF(G62,$AI$35)+COUNTIF(M62,$AI$35)+COUNTIF(M62,$AI$35)+COUNTIF(Q62,$AI$35)+COUNTIF(W62,$AI$35)+COUNTIF(AB62,$AI$35)+COUNTIF(AG62,$AI$35)+COUNTIF(BD62,$AI$35)=7,$AI$35,IF(MIN(G62,M62,Q62,W62,AB62,AG62,BD62)&lt;70%,"C",IF(MIN(G62,M62,Q62,W62,AB62,AG62,BD62)&lt;80%,"B","A")))</f>
        <v>A</v>
      </c>
      <c r="B203" s="48"/>
      <c r="C203" s="258"/>
      <c r="D203" s="1517"/>
      <c r="E203" s="1517"/>
      <c r="F203" s="1517"/>
      <c r="G203" s="1517"/>
      <c r="H203" s="1517"/>
      <c r="I203" s="1496"/>
      <c r="J203" s="1496"/>
      <c r="K203" s="1496"/>
      <c r="L203" s="1496"/>
      <c r="M203" s="1496"/>
      <c r="N203" s="1496"/>
      <c r="O203" s="1496"/>
      <c r="P203" s="1496"/>
      <c r="Q203" s="1496"/>
      <c r="R203" s="1496"/>
      <c r="S203" s="1496"/>
      <c r="T203" s="1496"/>
      <c r="U203" s="1496"/>
      <c r="V203" s="1496"/>
      <c r="W203" s="1496"/>
      <c r="X203" s="1496"/>
      <c r="Y203" s="265"/>
      <c r="Z203" s="265"/>
      <c r="AA203" s="265"/>
      <c r="AB203" s="743"/>
      <c r="AC203" s="207"/>
      <c r="AD203" s="207"/>
      <c r="AE203" s="1524"/>
      <c r="AF203" s="1524"/>
      <c r="AG203" s="1524"/>
      <c r="AH203" s="1524"/>
      <c r="AI203" s="1524"/>
      <c r="AJ203" s="1524"/>
      <c r="AK203" s="1524"/>
      <c r="AL203" s="1524"/>
      <c r="AM203" s="1524"/>
      <c r="AN203" s="1524"/>
      <c r="AO203" s="1524"/>
      <c r="AP203" s="1524"/>
      <c r="AQ203" s="1524"/>
      <c r="AR203" s="1524"/>
      <c r="AS203" s="1524"/>
      <c r="AT203" s="1524"/>
      <c r="AW203" s="1580"/>
      <c r="AX203" s="1580"/>
      <c r="AY203" s="1580"/>
      <c r="AZ203" s="1580"/>
      <c r="BA203" s="1580"/>
      <c r="BB203" s="1580"/>
      <c r="BC203" s="1580"/>
      <c r="BD203" s="229"/>
      <c r="BE203" s="16"/>
      <c r="BF203" s="16"/>
      <c r="BG203" s="16"/>
      <c r="BH203" s="51"/>
      <c r="BI203" s="16"/>
    </row>
    <row r="204" spans="1:61" ht="5.0999999999999996" customHeight="1">
      <c r="B204" s="48"/>
      <c r="C204" s="258"/>
      <c r="D204" s="258"/>
      <c r="E204" s="258"/>
      <c r="F204" s="258"/>
      <c r="G204" s="258"/>
      <c r="H204" s="258"/>
      <c r="I204" s="258"/>
      <c r="J204" s="258"/>
      <c r="K204" s="258"/>
      <c r="L204" s="258"/>
      <c r="M204" s="258"/>
      <c r="N204" s="258"/>
      <c r="O204" s="258"/>
      <c r="P204" s="258"/>
      <c r="Q204" s="258"/>
      <c r="R204" s="258"/>
      <c r="S204" s="258"/>
      <c r="T204" s="258"/>
      <c r="U204" s="258"/>
      <c r="V204" s="258"/>
      <c r="W204" s="258"/>
      <c r="X204" s="258"/>
      <c r="Y204" s="258"/>
      <c r="Z204" s="258"/>
      <c r="AA204" s="258"/>
      <c r="AB204" s="258"/>
      <c r="AC204" s="15"/>
      <c r="AD204" s="15"/>
      <c r="AE204" s="1524"/>
      <c r="AF204" s="1524"/>
      <c r="AG204" s="1524"/>
      <c r="AH204" s="1524"/>
      <c r="AI204" s="1524"/>
      <c r="AJ204" s="1524"/>
      <c r="AK204" s="1524"/>
      <c r="AL204" s="1524"/>
      <c r="AM204" s="1524"/>
      <c r="AN204" s="1524"/>
      <c r="AO204" s="1524"/>
      <c r="AP204" s="1524"/>
      <c r="AQ204" s="1524"/>
      <c r="AR204" s="1524"/>
      <c r="AS204" s="1524"/>
      <c r="AT204" s="1524"/>
      <c r="AU204" s="199"/>
      <c r="AV204" s="199"/>
      <c r="AW204" s="1580"/>
      <c r="AX204" s="1580"/>
      <c r="AY204" s="1580"/>
      <c r="AZ204" s="1580"/>
      <c r="BA204" s="1580"/>
      <c r="BB204" s="1580"/>
      <c r="BC204" s="1580"/>
      <c r="BD204" s="229"/>
      <c r="BE204" s="16"/>
      <c r="BF204" s="16"/>
      <c r="BG204" s="16"/>
      <c r="BH204" s="51"/>
      <c r="BI204" s="16"/>
    </row>
    <row r="205" spans="1:61" ht="13.5" customHeight="1">
      <c r="B205" s="48"/>
      <c r="C205" s="258"/>
      <c r="D205" s="266"/>
      <c r="E205" s="258"/>
      <c r="F205" s="258"/>
      <c r="G205" s="258"/>
      <c r="H205" s="258"/>
      <c r="I205" s="258"/>
      <c r="J205" s="1478"/>
      <c r="K205" s="1478"/>
      <c r="L205" s="258"/>
      <c r="M205" s="258"/>
      <c r="N205" s="1478"/>
      <c r="O205" s="1478"/>
      <c r="P205" s="258"/>
      <c r="Q205" s="258"/>
      <c r="R205" s="1478"/>
      <c r="S205" s="1478"/>
      <c r="T205" s="258"/>
      <c r="U205" s="258"/>
      <c r="V205" s="1478"/>
      <c r="W205" s="1478"/>
      <c r="X205" s="257"/>
      <c r="Y205" s="1478"/>
      <c r="Z205" s="1478"/>
      <c r="AA205" s="257"/>
      <c r="AB205" s="257"/>
      <c r="AC205" s="209"/>
      <c r="AD205" s="209"/>
      <c r="AE205" s="257"/>
      <c r="AF205" s="258"/>
      <c r="AG205" s="259"/>
      <c r="AH205" s="260"/>
      <c r="AI205" s="260"/>
      <c r="AJ205" s="260"/>
      <c r="AK205" s="260"/>
      <c r="AL205" s="260"/>
      <c r="AM205" s="259"/>
      <c r="AN205" s="259"/>
      <c r="AO205" s="259"/>
      <c r="AP205" s="259"/>
      <c r="AQ205" s="259"/>
      <c r="AR205" s="261"/>
      <c r="AS205" s="261"/>
      <c r="AT205" s="259"/>
      <c r="AU205" s="199"/>
      <c r="AV205" s="199"/>
      <c r="AW205" s="199"/>
      <c r="AX205" s="199"/>
      <c r="AY205" s="199"/>
      <c r="AZ205" s="199"/>
      <c r="BA205" s="199"/>
      <c r="BB205" s="199"/>
      <c r="BC205" s="199"/>
      <c r="BD205" s="199"/>
      <c r="BE205" s="256"/>
      <c r="BF205" s="199"/>
      <c r="BG205" s="199"/>
      <c r="BH205" s="51"/>
      <c r="BI205" s="16"/>
    </row>
    <row r="206" spans="1:61" ht="21" customHeight="1">
      <c r="A206" s="242" t="s">
        <v>146</v>
      </c>
      <c r="B206" s="48"/>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78"/>
      <c r="AF206" s="1579"/>
      <c r="AG206" s="1579"/>
      <c r="AH206" s="1579"/>
      <c r="AI206" s="1578"/>
      <c r="AJ206" s="1578"/>
      <c r="AK206" s="1578"/>
      <c r="AL206" s="1578"/>
      <c r="AM206" s="1578"/>
      <c r="AN206" s="1578"/>
      <c r="AO206" s="1578"/>
      <c r="AP206" s="1578"/>
      <c r="AQ206" s="1578"/>
      <c r="AR206" s="16"/>
      <c r="AS206" s="16"/>
      <c r="AT206" s="16"/>
      <c r="AU206" s="16"/>
      <c r="AV206" s="16"/>
      <c r="AW206" s="16"/>
      <c r="AX206" s="16"/>
      <c r="AY206" s="16"/>
      <c r="AZ206" s="16"/>
      <c r="BA206" s="16"/>
      <c r="BB206" s="16"/>
      <c r="BC206" s="16"/>
      <c r="BD206" s="16"/>
      <c r="BE206" s="16"/>
      <c r="BF206" s="16"/>
      <c r="BG206" s="16"/>
      <c r="BH206" s="16"/>
      <c r="BI206" s="16"/>
    </row>
    <row r="207" spans="1:61" ht="15.2" customHeight="1" thickBot="1">
      <c r="A207" s="243" t="str">
        <f>IF(MIN(AT36:AT40)&lt;70%,"C",IF(MIN(AT36:AT40)&lt;80%,"B","A"))</f>
        <v>C</v>
      </c>
      <c r="B207" s="48"/>
      <c r="D207" s="15"/>
      <c r="E207" s="15"/>
      <c r="F207" s="15"/>
      <c r="G207" s="15"/>
      <c r="H207" s="15"/>
      <c r="I207" s="15"/>
      <c r="J207" s="15"/>
      <c r="K207" s="15"/>
      <c r="L207" s="15"/>
      <c r="M207" s="15"/>
      <c r="N207" s="15"/>
      <c r="O207" s="15"/>
      <c r="P207" s="15"/>
      <c r="Q207" s="15"/>
      <c r="R207" s="15"/>
      <c r="S207" s="15"/>
      <c r="T207" s="15"/>
      <c r="U207" s="15"/>
      <c r="V207" s="498"/>
      <c r="W207" s="15"/>
      <c r="X207" s="15"/>
      <c r="Y207" s="498" t="s">
        <v>49</v>
      </c>
      <c r="Z207" s="15"/>
      <c r="AB207" s="222" t="s">
        <v>65</v>
      </c>
      <c r="AC207" s="15"/>
      <c r="AD207" s="15"/>
      <c r="AE207" s="1579"/>
      <c r="AF207" s="1579"/>
      <c r="AG207" s="1579"/>
      <c r="AH207" s="1579"/>
      <c r="AI207" s="1579"/>
      <c r="AJ207" s="1579"/>
      <c r="AK207" s="1579"/>
      <c r="AL207" s="1579"/>
      <c r="AM207" s="1579"/>
      <c r="AN207" s="1579"/>
      <c r="AO207" s="1579"/>
      <c r="AP207" s="1579"/>
      <c r="AQ207" s="1579"/>
      <c r="AR207" s="16"/>
      <c r="AS207" s="16"/>
      <c r="AT207" s="16"/>
      <c r="AU207" s="16"/>
      <c r="AV207" s="16"/>
      <c r="AW207" s="16"/>
      <c r="AX207" s="16"/>
      <c r="AY207" s="16"/>
      <c r="AZ207" s="16"/>
      <c r="BA207" s="16"/>
      <c r="BB207" s="16"/>
      <c r="BC207" s="16"/>
      <c r="BD207" s="16"/>
      <c r="BE207" s="16"/>
      <c r="BF207" s="16"/>
      <c r="BG207" s="16"/>
      <c r="BH207" s="16"/>
      <c r="BI207" s="16"/>
    </row>
    <row r="208" spans="1:61" ht="15" customHeight="1">
      <c r="B208" s="48"/>
      <c r="C208" s="15"/>
      <c r="D208" s="15"/>
      <c r="E208" s="15"/>
      <c r="F208" s="15"/>
      <c r="G208" s="15"/>
      <c r="H208" s="15"/>
      <c r="I208" s="15"/>
      <c r="J208" s="15"/>
      <c r="K208" s="15"/>
      <c r="L208" s="15"/>
      <c r="M208" s="15"/>
      <c r="N208" s="15"/>
      <c r="O208" s="15"/>
      <c r="P208" s="15"/>
      <c r="Q208" s="15"/>
      <c r="R208" s="15"/>
      <c r="S208" s="15"/>
      <c r="T208" s="15"/>
      <c r="U208" s="15"/>
      <c r="V208" s="1483" t="s">
        <v>72</v>
      </c>
      <c r="W208" s="1484"/>
      <c r="X208" s="1485"/>
      <c r="Y208" s="1489" t="str">
        <f>IF(ISERROR(AVERAGE(epm,epp,epr)),$AI$35,ROUND(AVERAGE(D8:J8,D14:H14,O14:S14,D22:K22,Q22:X22)/10,2))</f>
        <v>n.e.</v>
      </c>
      <c r="Z208" s="1490"/>
      <c r="AA208" s="1491"/>
      <c r="AB208" s="1581" t="str">
        <f>+L176</f>
        <v>n.e.</v>
      </c>
      <c r="AC208" s="1582"/>
      <c r="AD208" s="15"/>
      <c r="AE208" s="1576"/>
      <c r="AF208" s="1577"/>
      <c r="AG208" s="1577"/>
      <c r="AH208" s="1577"/>
      <c r="AI208" s="1474"/>
      <c r="AJ208" s="1474"/>
      <c r="AK208" s="1474"/>
      <c r="AL208" s="1474"/>
      <c r="AM208" s="1474"/>
      <c r="AN208" s="1474"/>
      <c r="AO208" s="1474"/>
      <c r="AP208" s="1474"/>
      <c r="AQ208" s="1475"/>
      <c r="AR208" s="16"/>
      <c r="AS208" s="16"/>
      <c r="AT208" s="16"/>
      <c r="AU208" s="16"/>
      <c r="AV208" s="16"/>
      <c r="AW208" s="16"/>
      <c r="AX208" s="16"/>
      <c r="AY208" s="16"/>
      <c r="AZ208" s="16"/>
      <c r="BA208" s="16"/>
      <c r="BB208" s="16"/>
      <c r="BC208" s="16"/>
      <c r="BD208" s="16"/>
      <c r="BE208" s="16"/>
      <c r="BF208" s="16"/>
      <c r="BG208" s="16"/>
      <c r="BH208" s="16"/>
      <c r="BI208" s="16"/>
    </row>
    <row r="209" spans="2:61" ht="19.5" customHeight="1" thickBot="1">
      <c r="B209" s="48"/>
      <c r="C209" s="15"/>
      <c r="D209" s="15"/>
      <c r="E209" s="15"/>
      <c r="F209" s="73"/>
      <c r="G209" s="15"/>
      <c r="I209" s="15"/>
      <c r="J209" s="230"/>
      <c r="K209" s="204"/>
      <c r="L209" s="15"/>
      <c r="M209" s="15"/>
      <c r="N209" s="15"/>
      <c r="O209" s="15"/>
      <c r="P209" s="15"/>
      <c r="Q209" s="15"/>
      <c r="R209" s="15"/>
      <c r="S209" s="15"/>
      <c r="T209" s="15"/>
      <c r="U209" s="15"/>
      <c r="V209" s="1486"/>
      <c r="W209" s="1487"/>
      <c r="X209" s="1488"/>
      <c r="Y209" s="1492"/>
      <c r="Z209" s="1493"/>
      <c r="AA209" s="1494"/>
      <c r="AB209" s="1583"/>
      <c r="AC209" s="1584"/>
      <c r="AD209" s="15"/>
      <c r="AE209" s="1576"/>
      <c r="AF209" s="1577"/>
      <c r="AG209" s="1577"/>
      <c r="AH209" s="1577"/>
      <c r="AI209" s="1474"/>
      <c r="AJ209" s="1474"/>
      <c r="AK209" s="1474"/>
      <c r="AL209" s="1474"/>
      <c r="AM209" s="1474"/>
      <c r="AN209" s="1474"/>
      <c r="AO209" s="1474"/>
      <c r="AP209" s="1474"/>
      <c r="AQ209" s="1475"/>
      <c r="AR209" s="16"/>
      <c r="AS209" s="16"/>
      <c r="AT209" s="16"/>
      <c r="AU209" s="16"/>
      <c r="AV209" s="16"/>
      <c r="AW209" s="16"/>
      <c r="AX209" s="16"/>
      <c r="AY209" s="16"/>
      <c r="AZ209" s="16"/>
      <c r="BA209" s="16"/>
      <c r="BB209" s="16"/>
      <c r="BC209" s="16"/>
      <c r="BD209" s="16"/>
      <c r="BE209" s="16"/>
      <c r="BF209" s="16"/>
      <c r="BG209" s="16"/>
      <c r="BH209" s="16"/>
      <c r="BI209" s="16"/>
    </row>
    <row r="210" spans="2:61" ht="15" customHeight="1" thickBot="1">
      <c r="B210" s="48"/>
      <c r="C210" s="15"/>
      <c r="D210" s="15"/>
      <c r="E210" s="15"/>
      <c r="F210" s="15"/>
      <c r="G210" s="15"/>
      <c r="H210" s="15"/>
      <c r="I210" s="15"/>
      <c r="J210" s="15"/>
      <c r="K210" s="204"/>
      <c r="L210" s="15"/>
      <c r="M210" s="15"/>
      <c r="N210" s="15"/>
      <c r="O210" s="15"/>
      <c r="P210" s="15"/>
      <c r="Q210" s="15"/>
      <c r="R210" s="15"/>
      <c r="S210" s="15"/>
      <c r="T210" s="15"/>
      <c r="U210" s="15"/>
      <c r="V210" s="15"/>
      <c r="W210" s="15"/>
      <c r="X210" s="15"/>
      <c r="Y210" s="256"/>
      <c r="Z210" s="15"/>
      <c r="AA210" s="15"/>
      <c r="AB210" s="15"/>
      <c r="AC210" s="15"/>
      <c r="AD210" s="15"/>
      <c r="AE210" s="1576"/>
      <c r="AF210" s="1577"/>
      <c r="AG210" s="1577"/>
      <c r="AH210" s="1577"/>
      <c r="AI210" s="1474"/>
      <c r="AJ210" s="1474"/>
      <c r="AK210" s="1474"/>
      <c r="AL210" s="1474"/>
      <c r="AM210" s="1474"/>
      <c r="AN210" s="1474"/>
      <c r="AO210" s="1474"/>
      <c r="AP210" s="1474"/>
      <c r="AQ210" s="1475"/>
      <c r="AR210" s="16"/>
      <c r="AS210" s="16"/>
      <c r="AT210" s="16"/>
      <c r="AU210" s="16"/>
      <c r="AV210" s="16"/>
      <c r="AW210" s="16"/>
      <c r="AX210" s="16"/>
      <c r="AY210" s="16"/>
      <c r="AZ210" s="16"/>
      <c r="BA210" s="16"/>
      <c r="BB210" s="16"/>
      <c r="BC210" s="16"/>
      <c r="BD210" s="16"/>
      <c r="BE210" s="16"/>
      <c r="BF210" s="16"/>
      <c r="BG210" s="16"/>
      <c r="BH210" s="16"/>
      <c r="BI210" s="16"/>
    </row>
    <row r="211" spans="2:61" ht="19.5" customHeight="1">
      <c r="B211" s="48"/>
      <c r="C211" s="15"/>
      <c r="D211" s="15"/>
      <c r="E211" s="15"/>
      <c r="F211" s="73"/>
      <c r="G211" s="15"/>
      <c r="H211" s="15"/>
      <c r="I211" s="15"/>
      <c r="J211" s="230"/>
      <c r="K211" s="204"/>
      <c r="L211" s="15"/>
      <c r="M211" s="15"/>
      <c r="N211" s="15"/>
      <c r="O211" s="15"/>
      <c r="P211" s="15"/>
      <c r="Q211" s="15"/>
      <c r="R211" s="15"/>
      <c r="S211" s="15"/>
      <c r="T211" s="15"/>
      <c r="U211" s="15"/>
      <c r="V211" s="1483" t="s">
        <v>73</v>
      </c>
      <c r="W211" s="1484"/>
      <c r="X211" s="1485"/>
      <c r="Y211" s="1489">
        <f>IF(ISERROR(AVERAGE(ez,epg,ek)),$AI$35,ROUND(AVERAGE(L29:R29,D36:AH40,U66:Y66)/10,2))</f>
        <v>0.97</v>
      </c>
      <c r="Z211" s="1490"/>
      <c r="AA211" s="1491"/>
      <c r="AB211" s="1581" t="str">
        <f>+L182</f>
        <v>A</v>
      </c>
      <c r="AC211" s="1582"/>
      <c r="AD211" s="15"/>
      <c r="AE211" s="1576"/>
      <c r="AF211" s="1577"/>
      <c r="AG211" s="1577"/>
      <c r="AH211" s="1577"/>
      <c r="AI211" s="1474"/>
      <c r="AJ211" s="1474"/>
      <c r="AK211" s="1474"/>
      <c r="AL211" s="1474"/>
      <c r="AM211" s="1474"/>
      <c r="AN211" s="1474"/>
      <c r="AO211" s="1474"/>
      <c r="AP211" s="1474"/>
      <c r="AQ211" s="1475"/>
      <c r="AR211" s="16"/>
      <c r="AS211" s="16"/>
      <c r="AT211" s="16"/>
      <c r="AU211" s="16"/>
      <c r="AV211" s="16"/>
      <c r="AW211" s="16"/>
      <c r="AX211" s="16"/>
      <c r="AY211" s="16"/>
      <c r="AZ211" s="16"/>
      <c r="BA211" s="16"/>
      <c r="BB211" s="16"/>
      <c r="BC211" s="16"/>
      <c r="BD211" s="16"/>
      <c r="BE211" s="16"/>
      <c r="BF211" s="16"/>
      <c r="BG211" s="16"/>
      <c r="BH211" s="16"/>
      <c r="BI211" s="16"/>
    </row>
    <row r="212" spans="2:61" ht="15" customHeight="1" thickBot="1">
      <c r="B212" s="48"/>
      <c r="C212" s="33"/>
      <c r="D212" s="31"/>
      <c r="E212" s="31"/>
      <c r="F212" s="31"/>
      <c r="G212" s="31"/>
      <c r="H212" s="31"/>
      <c r="I212" s="31"/>
      <c r="J212" s="31"/>
      <c r="K212" s="31"/>
      <c r="L212" s="31"/>
      <c r="M212" s="31"/>
      <c r="N212" s="31"/>
      <c r="O212" s="36"/>
      <c r="P212" s="31"/>
      <c r="Q212" s="31"/>
      <c r="R212" s="31"/>
      <c r="S212" s="31"/>
      <c r="T212" s="31"/>
      <c r="U212" s="31"/>
      <c r="V212" s="1486"/>
      <c r="W212" s="1487"/>
      <c r="X212" s="1488"/>
      <c r="Y212" s="1492"/>
      <c r="Z212" s="1493"/>
      <c r="AA212" s="1494"/>
      <c r="AB212" s="1583"/>
      <c r="AC212" s="1584"/>
      <c r="AD212" s="31"/>
      <c r="AE212" s="1495"/>
      <c r="AF212" s="1475"/>
      <c r="AG212" s="1475"/>
      <c r="AH212" s="1475"/>
      <c r="AI212" s="1474"/>
      <c r="AJ212" s="1474"/>
      <c r="AK212" s="1474"/>
      <c r="AL212" s="1474"/>
      <c r="AM212" s="1474"/>
      <c r="AN212" s="1474"/>
      <c r="AO212" s="1474"/>
      <c r="AP212" s="1474"/>
      <c r="AQ212" s="1475"/>
      <c r="AR212" s="16"/>
      <c r="AS212" s="16"/>
      <c r="AT212" s="16"/>
      <c r="AU212" s="16"/>
      <c r="AV212" s="16"/>
      <c r="AW212" s="16"/>
      <c r="AX212" s="16"/>
      <c r="AY212" s="16"/>
      <c r="AZ212" s="16"/>
      <c r="BA212" s="16"/>
      <c r="BB212" s="16"/>
      <c r="BC212" s="16"/>
      <c r="BD212" s="16"/>
      <c r="BE212" s="16"/>
      <c r="BF212" s="16"/>
      <c r="BG212" s="16"/>
      <c r="BH212" s="16"/>
      <c r="BI212" s="34"/>
    </row>
    <row r="213" spans="2:61" ht="7.5" customHeight="1">
      <c r="B213" s="48"/>
      <c r="C213" s="33"/>
      <c r="D213" s="31"/>
      <c r="E213" s="31"/>
      <c r="F213" s="31"/>
      <c r="G213" s="31"/>
      <c r="H213" s="31"/>
      <c r="I213" s="31"/>
      <c r="J213" s="31"/>
      <c r="K213" s="31"/>
      <c r="L213" s="31"/>
      <c r="M213" s="31"/>
      <c r="N213" s="31"/>
      <c r="O213" s="36"/>
      <c r="P213" s="31"/>
      <c r="Q213" s="31"/>
      <c r="R213" s="31"/>
      <c r="S213" s="31"/>
      <c r="T213" s="31"/>
      <c r="U213" s="31"/>
      <c r="V213" s="968"/>
      <c r="W213" s="968"/>
      <c r="X213" s="968"/>
      <c r="Y213" s="256"/>
      <c r="Z213" s="212"/>
      <c r="AA213" s="212"/>
      <c r="AB213" s="31"/>
      <c r="AC213" s="31"/>
      <c r="AD213" s="31"/>
      <c r="AE213" s="208"/>
      <c r="AF213" s="969"/>
      <c r="AG213" s="969"/>
      <c r="AH213" s="969"/>
      <c r="AI213" s="213"/>
      <c r="AJ213" s="213"/>
      <c r="AK213" s="213"/>
      <c r="AL213" s="213"/>
      <c r="AM213" s="213"/>
      <c r="AN213" s="213"/>
      <c r="AO213" s="213"/>
      <c r="AP213" s="213"/>
      <c r="AQ213" s="969"/>
      <c r="AR213" s="212"/>
      <c r="AS213" s="212"/>
      <c r="AT213" s="968"/>
      <c r="AX213" s="210"/>
      <c r="AY213" s="210"/>
      <c r="BF213" s="210"/>
      <c r="BG213" s="210"/>
      <c r="BH213" s="211"/>
      <c r="BI213" s="34"/>
    </row>
    <row r="214" spans="2:61" ht="15" customHeight="1">
      <c r="B214" s="48"/>
      <c r="C214" s="644" t="s">
        <v>316</v>
      </c>
      <c r="D214" s="15"/>
      <c r="E214" s="15"/>
      <c r="F214" s="15"/>
      <c r="G214" s="15"/>
      <c r="H214" s="15"/>
      <c r="I214" s="31"/>
      <c r="J214" s="15"/>
      <c r="K214" s="15"/>
      <c r="L214" s="15"/>
      <c r="M214" s="15"/>
      <c r="N214" s="258"/>
      <c r="O214" s="330"/>
      <c r="P214" s="329"/>
      <c r="Q214" s="258"/>
      <c r="R214" s="258"/>
      <c r="S214" s="267"/>
      <c r="T214" s="267"/>
      <c r="U214" s="258"/>
      <c r="V214" s="258"/>
      <c r="W214" s="258"/>
      <c r="X214" s="258"/>
      <c r="Y214" s="258"/>
      <c r="Z214" s="258"/>
      <c r="AA214" s="15"/>
      <c r="AB214" s="15"/>
      <c r="AC214" s="15"/>
      <c r="AD214" s="15"/>
      <c r="AH214" s="177" t="s">
        <v>196</v>
      </c>
      <c r="AX214" s="210"/>
      <c r="AY214" s="210"/>
      <c r="AZ214" s="210"/>
      <c r="BA214" s="210"/>
      <c r="BB214" s="210"/>
      <c r="BC214" s="210"/>
      <c r="BD214" s="210"/>
      <c r="BE214" s="210"/>
      <c r="BF214" s="210"/>
      <c r="BG214" s="210"/>
      <c r="BH214" s="51"/>
      <c r="BI214" s="16"/>
    </row>
    <row r="215" spans="2:61" ht="7.15" customHeight="1" thickBot="1">
      <c r="B215" s="101"/>
      <c r="C215" s="102"/>
      <c r="D215" s="103"/>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4"/>
      <c r="BI215" s="16"/>
    </row>
    <row r="216" spans="2:61">
      <c r="K216" s="237"/>
      <c r="L216" s="192"/>
      <c r="M216" s="177"/>
    </row>
    <row r="217" spans="2:61">
      <c r="M217" s="177"/>
    </row>
    <row r="218" spans="2:61">
      <c r="M218" s="177"/>
    </row>
    <row r="221" spans="2:61">
      <c r="AA221" s="177"/>
    </row>
    <row r="222" spans="2:61">
      <c r="AA222" s="177"/>
    </row>
    <row r="223" spans="2:61">
      <c r="AA223" s="177"/>
    </row>
    <row r="224" spans="2:61">
      <c r="AA224" s="177"/>
    </row>
    <row r="225" spans="11:27">
      <c r="AA225" s="177"/>
    </row>
    <row r="226" spans="11:27">
      <c r="K226" s="237"/>
      <c r="L226" s="192"/>
      <c r="M226" s="177"/>
      <c r="Q226" s="177"/>
      <c r="R226" s="177"/>
      <c r="S226" s="177"/>
      <c r="T226" s="177"/>
      <c r="U226" s="177"/>
      <c r="V226" s="177"/>
      <c r="W226" s="177"/>
      <c r="X226" s="177"/>
      <c r="Y226" s="177"/>
      <c r="Z226" s="177"/>
      <c r="AA226" s="177"/>
    </row>
    <row r="227" spans="11:27">
      <c r="L227" s="192"/>
      <c r="M227" s="177"/>
      <c r="AA227" s="177"/>
    </row>
    <row r="228" spans="11:27">
      <c r="M228" s="177"/>
      <c r="AA228" s="177"/>
    </row>
    <row r="229" spans="11:27">
      <c r="AA229" s="177"/>
    </row>
    <row r="230" spans="11:27">
      <c r="AA230" s="177"/>
    </row>
    <row r="238" spans="11:27">
      <c r="K238" s="237"/>
      <c r="L238" s="192"/>
      <c r="M238" s="177"/>
      <c r="Q238" s="177"/>
      <c r="R238" s="177"/>
      <c r="S238" s="177"/>
      <c r="T238" s="177"/>
      <c r="U238" s="177"/>
      <c r="V238" s="177"/>
      <c r="W238" s="177"/>
      <c r="X238" s="177"/>
      <c r="Y238" s="177"/>
      <c r="Z238" s="177"/>
    </row>
    <row r="239" spans="11:27">
      <c r="L239" s="192"/>
      <c r="M239" s="177"/>
    </row>
    <row r="240" spans="11:27">
      <c r="M240" s="177"/>
    </row>
    <row r="241" spans="11:26">
      <c r="M241" s="177"/>
    </row>
    <row r="250" spans="11:26">
      <c r="K250" s="237"/>
      <c r="L250" s="192"/>
      <c r="M250" s="177"/>
      <c r="Q250" s="177"/>
      <c r="R250" s="177"/>
      <c r="S250" s="177"/>
      <c r="T250" s="177"/>
      <c r="U250" s="177"/>
      <c r="V250" s="177"/>
      <c r="W250" s="177"/>
      <c r="X250" s="177"/>
      <c r="Y250" s="177"/>
      <c r="Z250" s="177"/>
    </row>
    <row r="251" spans="11:26">
      <c r="L251" s="192"/>
      <c r="M251" s="177"/>
    </row>
    <row r="252" spans="11:26">
      <c r="M252" s="177"/>
    </row>
  </sheetData>
  <sheetProtection formatColumns="0" formatRows="0" insertColumns="0" insertRows="0" deleteColumns="0" deleteRows="0" selectLockedCells="1" selectUnlockedCells="1"/>
  <mergeCells count="133">
    <mergeCell ref="L16:M16"/>
    <mergeCell ref="O24:P24"/>
    <mergeCell ref="AY75:AZ76"/>
    <mergeCell ref="AY78:AZ79"/>
    <mergeCell ref="AW110:BH110"/>
    <mergeCell ref="W99:AV100"/>
    <mergeCell ref="U105:AV106"/>
    <mergeCell ref="AW105:BH106"/>
    <mergeCell ref="U107:AV108"/>
    <mergeCell ref="AW107:BH108"/>
    <mergeCell ref="U101:AV102"/>
    <mergeCell ref="AW101:BH102"/>
    <mergeCell ref="AW103:BH104"/>
    <mergeCell ref="U103:AV104"/>
    <mergeCell ref="AW99:BH100"/>
    <mergeCell ref="W16:X16"/>
    <mergeCell ref="AB24:AC24"/>
    <mergeCell ref="AW88:BH89"/>
    <mergeCell ref="AW90:BH91"/>
    <mergeCell ref="BE75:BF75"/>
    <mergeCell ref="BE76:BF78"/>
    <mergeCell ref="BD62:BE62"/>
    <mergeCell ref="AI81:AQ81"/>
    <mergeCell ref="AG62:AH62"/>
    <mergeCell ref="BF1:BH1"/>
    <mergeCell ref="V205:W205"/>
    <mergeCell ref="U203:X203"/>
    <mergeCell ref="R205:S205"/>
    <mergeCell ref="AE211:AH211"/>
    <mergeCell ref="AI211:AQ211"/>
    <mergeCell ref="AE209:AH209"/>
    <mergeCell ref="AI208:AQ208"/>
    <mergeCell ref="AI206:AQ207"/>
    <mergeCell ref="AI210:AQ210"/>
    <mergeCell ref="AE206:AH207"/>
    <mergeCell ref="AW202:BC204"/>
    <mergeCell ref="Y211:AA212"/>
    <mergeCell ref="AB208:AC209"/>
    <mergeCell ref="AB211:AC212"/>
    <mergeCell ref="Y205:Z205"/>
    <mergeCell ref="AE210:AH210"/>
    <mergeCell ref="AI209:AQ209"/>
    <mergeCell ref="AE208:AH208"/>
    <mergeCell ref="AQ33:AT33"/>
    <mergeCell ref="AW92:BH93"/>
    <mergeCell ref="AS59:AT59"/>
    <mergeCell ref="AW86:BH87"/>
    <mergeCell ref="AS36:AT36"/>
    <mergeCell ref="M62:N62"/>
    <mergeCell ref="Q62:R62"/>
    <mergeCell ref="M71:P71"/>
    <mergeCell ref="Q71:T71"/>
    <mergeCell ref="T79:V79"/>
    <mergeCell ref="W79:AA79"/>
    <mergeCell ref="AB79:AC79"/>
    <mergeCell ref="AD79:AF79"/>
    <mergeCell ref="AB62:AC62"/>
    <mergeCell ref="Q72:T72"/>
    <mergeCell ref="T74:V75"/>
    <mergeCell ref="W74:AA75"/>
    <mergeCell ref="AB74:AC75"/>
    <mergeCell ref="AD74:AF75"/>
    <mergeCell ref="T76:V76"/>
    <mergeCell ref="W76:AA76"/>
    <mergeCell ref="AB76:AC76"/>
    <mergeCell ref="AD76:AF76"/>
    <mergeCell ref="T77:V77"/>
    <mergeCell ref="W77:AA77"/>
    <mergeCell ref="AB77:AC77"/>
    <mergeCell ref="AD77:AF77"/>
    <mergeCell ref="T78:V78"/>
    <mergeCell ref="W78:AA78"/>
    <mergeCell ref="P33:R33"/>
    <mergeCell ref="T33:X33"/>
    <mergeCell ref="AS38:AT38"/>
    <mergeCell ref="B1:H2"/>
    <mergeCell ref="I1:BC2"/>
    <mergeCell ref="AS8:AT8"/>
    <mergeCell ref="AE33:AH33"/>
    <mergeCell ref="D202:H202"/>
    <mergeCell ref="J33:O33"/>
    <mergeCell ref="U202:X202"/>
    <mergeCell ref="W62:X62"/>
    <mergeCell ref="AQ8:AR8"/>
    <mergeCell ref="AS14:AT14"/>
    <mergeCell ref="AQ22:AR22"/>
    <mergeCell ref="AQ14:AR14"/>
    <mergeCell ref="AQ29:AR29"/>
    <mergeCell ref="AS22:AT22"/>
    <mergeCell ref="AS29:AT29"/>
    <mergeCell ref="Z33:AC33"/>
    <mergeCell ref="AE202:AT204"/>
    <mergeCell ref="AS40:AT40"/>
    <mergeCell ref="D203:H203"/>
    <mergeCell ref="M203:P203"/>
    <mergeCell ref="AS66:AT66"/>
    <mergeCell ref="G62:H62"/>
    <mergeCell ref="Q202:T202"/>
    <mergeCell ref="AI212:AQ212"/>
    <mergeCell ref="W97:AV98"/>
    <mergeCell ref="J205:K205"/>
    <mergeCell ref="N205:O205"/>
    <mergeCell ref="W92:AV93"/>
    <mergeCell ref="W94:AV95"/>
    <mergeCell ref="AW97:BH98"/>
    <mergeCell ref="W96:AV96"/>
    <mergeCell ref="AW96:BH96"/>
    <mergeCell ref="V208:X209"/>
    <mergeCell ref="Y208:AA209"/>
    <mergeCell ref="V211:X212"/>
    <mergeCell ref="AE212:AH212"/>
    <mergeCell ref="I202:L202"/>
    <mergeCell ref="M202:P202"/>
    <mergeCell ref="I203:L203"/>
    <mergeCell ref="Q203:T203"/>
    <mergeCell ref="U110:AV110"/>
    <mergeCell ref="AW94:BH95"/>
    <mergeCell ref="D72:H72"/>
    <mergeCell ref="I72:L72"/>
    <mergeCell ref="M72:P72"/>
    <mergeCell ref="BB75:BD75"/>
    <mergeCell ref="AL75:AX76"/>
    <mergeCell ref="BB76:BD78"/>
    <mergeCell ref="AB78:AC78"/>
    <mergeCell ref="AD78:AF78"/>
    <mergeCell ref="AL78:AX79"/>
    <mergeCell ref="AS42:AT42"/>
    <mergeCell ref="AS44:AT44"/>
    <mergeCell ref="AS46:AT46"/>
    <mergeCell ref="AS48:AT48"/>
    <mergeCell ref="AS50:AT50"/>
    <mergeCell ref="AS52:AT52"/>
    <mergeCell ref="AS54:AT54"/>
  </mergeCells>
  <phoneticPr fontId="13" type="noConversion"/>
  <conditionalFormatting sqref="L178:L182 L172:L176 L163:L169">
    <cfRule type="cellIs" dxfId="44" priority="4" stopIfTrue="1" operator="equal">
      <formula>"A"</formula>
    </cfRule>
    <cfRule type="cellIs" dxfId="43" priority="5" stopIfTrue="1" operator="equal">
      <formula>"B"</formula>
    </cfRule>
    <cfRule type="cellIs" dxfId="42" priority="6" stopIfTrue="1" operator="equal">
      <formula>"C"</formula>
    </cfRule>
  </conditionalFormatting>
  <conditionalFormatting sqref="D73:D79">
    <cfRule type="cellIs" dxfId="41" priority="1" stopIfTrue="1" operator="equal">
      <formula>"A"</formula>
    </cfRule>
    <cfRule type="cellIs" dxfId="40" priority="2" stopIfTrue="1" operator="equal">
      <formula>"B"</formula>
    </cfRule>
    <cfRule type="cellIs" dxfId="39" priority="3" stopIfTrue="1" operator="equal">
      <formula>"C"</formula>
    </cfRule>
  </conditionalFormatting>
  <pageMargins left="0.39370078740157483" right="0.39370078740157483" top="0.39370078740157483" bottom="0.39370078740157483" header="0" footer="0.19685039370078741"/>
  <pageSetup paperSize="9" scale="40" orientation="landscape" r:id="rId1"/>
  <headerFooter scaleWithDoc="0">
    <oddFooter>&amp;L&amp;8&amp;F&amp;RСтраница &amp;P из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roGru1">
    <tabColor indexed="17"/>
    <pageSetUpPr fitToPage="1"/>
  </sheetPr>
  <dimension ref="A1:BJ252"/>
  <sheetViews>
    <sheetView showGridLines="0" zoomScale="90" zoomScaleNormal="90" zoomScaleSheetLayoutView="100" workbookViewId="0">
      <selection activeCell="A31" sqref="A31"/>
    </sheetView>
  </sheetViews>
  <sheetFormatPr defaultColWidth="11.42578125" defaultRowHeight="14.25"/>
  <cols>
    <col min="1" max="1" width="18.85546875" style="241" bestFit="1" customWidth="1"/>
    <col min="2" max="2" width="10" style="32" customWidth="1"/>
    <col min="3" max="3" width="3.42578125" style="32" customWidth="1"/>
    <col min="4" max="27" width="5.7109375" style="32" customWidth="1"/>
    <col min="28" max="28" width="7.28515625" style="32" customWidth="1"/>
    <col min="29" max="29" width="6.28515625" style="32" customWidth="1"/>
    <col min="30" max="41" width="5.7109375" style="32" customWidth="1"/>
    <col min="42" max="42" width="7.140625" style="32" customWidth="1"/>
    <col min="43" max="43" width="3" style="32" customWidth="1"/>
    <col min="44" max="44" width="4.5703125" style="32" customWidth="1"/>
    <col min="45" max="45" width="3.140625" style="32" customWidth="1"/>
    <col min="46" max="46" width="10.42578125" style="32" customWidth="1"/>
    <col min="47" max="47" width="5.5703125" style="32" customWidth="1"/>
    <col min="48" max="49" width="4.7109375" style="32" customWidth="1"/>
    <col min="50" max="57" width="5.42578125" style="32" customWidth="1"/>
    <col min="58" max="60" width="7.140625" style="32" customWidth="1"/>
    <col min="61" max="61" width="4.140625" style="32" customWidth="1"/>
    <col min="62" max="62" width="3" style="32" customWidth="1"/>
    <col min="63" max="16384" width="11.42578125" style="32"/>
  </cols>
  <sheetData>
    <row r="1" spans="1:62" ht="19.5" customHeight="1">
      <c r="B1" s="1503"/>
      <c r="C1" s="1504"/>
      <c r="D1" s="1504"/>
      <c r="E1" s="1504"/>
      <c r="F1" s="1504"/>
      <c r="G1" s="1504"/>
      <c r="H1" s="1505"/>
      <c r="I1" s="1509" t="str">
        <f>'Evaluation-Bewertung'!I1</f>
        <v>Process Audit VDA 6.3 evaluation matrix including total score for product groups</v>
      </c>
      <c r="J1" s="1603"/>
      <c r="K1" s="1603"/>
      <c r="L1" s="1603"/>
      <c r="M1" s="1603"/>
      <c r="N1" s="1603"/>
      <c r="O1" s="1603"/>
      <c r="P1" s="1603"/>
      <c r="Q1" s="1603"/>
      <c r="R1" s="1603"/>
      <c r="S1" s="1603"/>
      <c r="T1" s="1603"/>
      <c r="U1" s="1603"/>
      <c r="V1" s="1603"/>
      <c r="W1" s="1603"/>
      <c r="X1" s="1603"/>
      <c r="Y1" s="1603"/>
      <c r="Z1" s="1603"/>
      <c r="AA1" s="1603"/>
      <c r="AB1" s="1603"/>
      <c r="AC1" s="1603"/>
      <c r="AD1" s="1603"/>
      <c r="AE1" s="1603"/>
      <c r="AF1" s="1603"/>
      <c r="AG1" s="1603"/>
      <c r="AH1" s="1603"/>
      <c r="AI1" s="1603"/>
      <c r="AJ1" s="1603"/>
      <c r="AK1" s="1603"/>
      <c r="AL1" s="1603"/>
      <c r="AM1" s="1603"/>
      <c r="AN1" s="1603"/>
      <c r="AO1" s="1603"/>
      <c r="AP1" s="1603"/>
      <c r="AQ1" s="1603"/>
      <c r="AR1" s="1603"/>
      <c r="AS1" s="1603"/>
      <c r="AT1" s="1603"/>
      <c r="AU1" s="1603"/>
      <c r="AV1" s="1603"/>
      <c r="AW1" s="1603"/>
      <c r="AX1" s="1603"/>
      <c r="AY1" s="1603"/>
      <c r="AZ1" s="1603"/>
      <c r="BA1" s="1603"/>
      <c r="BB1" s="1603"/>
      <c r="BC1" s="1604"/>
      <c r="BD1" s="389" t="str">
        <f>'Evaluation-Bewertung'!BD1</f>
        <v>Order No.:</v>
      </c>
      <c r="BE1" s="164"/>
      <c r="BF1" s="1574" t="str">
        <f>IF('Input Form - EingabeMaske'!C9="","",'Input Form - EingabeMaske'!C9)</f>
        <v/>
      </c>
      <c r="BG1" s="1574"/>
      <c r="BH1" s="1574"/>
      <c r="BI1" s="1575"/>
      <c r="BJ1" s="28"/>
    </row>
    <row r="2" spans="1:62" ht="11.25" customHeight="1" thickBot="1">
      <c r="B2" s="1506"/>
      <c r="C2" s="1507"/>
      <c r="D2" s="1507"/>
      <c r="E2" s="1507"/>
      <c r="F2" s="1507"/>
      <c r="G2" s="1507"/>
      <c r="H2" s="1508"/>
      <c r="I2" s="1605"/>
      <c r="J2" s="1606"/>
      <c r="K2" s="1606"/>
      <c r="L2" s="1606"/>
      <c r="M2" s="1606"/>
      <c r="N2" s="1606"/>
      <c r="O2" s="1606"/>
      <c r="P2" s="1606"/>
      <c r="Q2" s="1606"/>
      <c r="R2" s="1606"/>
      <c r="S2" s="1606"/>
      <c r="T2" s="1606"/>
      <c r="U2" s="1606"/>
      <c r="V2" s="1606"/>
      <c r="W2" s="1606"/>
      <c r="X2" s="1606"/>
      <c r="Y2" s="1606"/>
      <c r="Z2" s="1606"/>
      <c r="AA2" s="1606"/>
      <c r="AB2" s="1606"/>
      <c r="AC2" s="1606"/>
      <c r="AD2" s="1606"/>
      <c r="AE2" s="1606"/>
      <c r="AF2" s="1606"/>
      <c r="AG2" s="1606"/>
      <c r="AH2" s="1606"/>
      <c r="AI2" s="1606"/>
      <c r="AJ2" s="1606"/>
      <c r="AK2" s="1606"/>
      <c r="AL2" s="1606"/>
      <c r="AM2" s="1606"/>
      <c r="AN2" s="1606"/>
      <c r="AO2" s="1606"/>
      <c r="AP2" s="1606"/>
      <c r="AQ2" s="1606"/>
      <c r="AR2" s="1606"/>
      <c r="AS2" s="1606"/>
      <c r="AT2" s="1606"/>
      <c r="AU2" s="1606"/>
      <c r="AV2" s="1606"/>
      <c r="AW2" s="1606"/>
      <c r="AX2" s="1606"/>
      <c r="AY2" s="1606"/>
      <c r="AZ2" s="1606"/>
      <c r="BA2" s="1606"/>
      <c r="BB2" s="1606"/>
      <c r="BC2" s="1607"/>
      <c r="BD2" s="168"/>
      <c r="BE2" s="169"/>
      <c r="BF2" s="169"/>
      <c r="BG2" s="169"/>
      <c r="BH2" s="169"/>
      <c r="BI2" s="170"/>
      <c r="BJ2" s="28"/>
    </row>
    <row r="3" spans="1:62" ht="21.75" customHeight="1">
      <c r="A3" s="245" t="s">
        <v>145</v>
      </c>
      <c r="B3" s="48"/>
      <c r="C3" s="172" t="s">
        <v>10</v>
      </c>
      <c r="D3" s="31"/>
      <c r="E3" s="225" t="str">
        <f>'Evaluation-Bewertung'!E3</f>
        <v>Development</v>
      </c>
      <c r="F3" s="31"/>
      <c r="G3" s="31"/>
      <c r="H3" s="31"/>
      <c r="I3" s="31"/>
      <c r="J3" s="31"/>
      <c r="K3" s="31"/>
      <c r="L3" s="31"/>
      <c r="M3" s="31"/>
      <c r="N3" s="31"/>
      <c r="O3" s="36"/>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49"/>
      <c r="BJ3" s="34"/>
    </row>
    <row r="4" spans="1:62" ht="8.25" customHeight="1">
      <c r="B4" s="48"/>
      <c r="C4" s="33"/>
      <c r="D4" s="31"/>
      <c r="E4" s="31"/>
      <c r="F4" s="173"/>
      <c r="G4" s="31"/>
      <c r="H4" s="31"/>
      <c r="I4" s="31"/>
      <c r="J4" s="31"/>
      <c r="K4" s="31"/>
      <c r="L4" s="31"/>
      <c r="M4" s="31"/>
      <c r="N4" s="31"/>
      <c r="O4" s="36"/>
      <c r="P4" s="31"/>
      <c r="Q4" s="31"/>
      <c r="R4" s="31"/>
      <c r="S4" s="31"/>
      <c r="T4" s="31"/>
      <c r="U4" s="31"/>
      <c r="V4" s="31"/>
      <c r="W4" s="31"/>
      <c r="X4" s="31"/>
      <c r="Y4" s="31"/>
      <c r="Z4" s="31"/>
      <c r="AA4" s="31"/>
      <c r="AB4" s="31"/>
      <c r="AC4" s="31"/>
      <c r="AD4" s="31"/>
      <c r="AE4" s="31"/>
      <c r="AF4" s="31"/>
      <c r="AG4" s="31"/>
      <c r="AI4" s="31"/>
      <c r="AJ4" s="31"/>
      <c r="AK4" s="31"/>
      <c r="AL4" s="31"/>
      <c r="AM4" s="31"/>
      <c r="AN4" s="31"/>
      <c r="AO4" s="31"/>
      <c r="AP4" s="31"/>
      <c r="AQ4" s="31"/>
      <c r="AR4" s="31"/>
      <c r="AS4" s="31"/>
      <c r="AT4" s="31"/>
      <c r="AU4" s="31"/>
      <c r="AV4" s="31"/>
      <c r="AW4" s="31"/>
      <c r="AX4" s="31"/>
      <c r="AY4" s="31"/>
      <c r="AZ4" s="31"/>
      <c r="BA4" s="31"/>
      <c r="BB4" s="31"/>
      <c r="BC4" s="31"/>
      <c r="BD4" s="31"/>
      <c r="BE4" s="16"/>
      <c r="BF4" s="16"/>
      <c r="BG4" s="16"/>
      <c r="BH4" s="16"/>
      <c r="BI4" s="49"/>
      <c r="BJ4" s="34"/>
    </row>
    <row r="5" spans="1:62" ht="16.149999999999999" customHeight="1">
      <c r="A5" s="970" t="b">
        <f>'Evaluation-Bewertung'!A5</f>
        <v>0</v>
      </c>
      <c r="B5" s="48"/>
      <c r="C5" s="224" t="s">
        <v>96</v>
      </c>
      <c r="D5" s="70" t="str">
        <f>'Questions - Fragen'!C12</f>
        <v>Project management</v>
      </c>
      <c r="E5" s="38"/>
      <c r="F5" s="33"/>
      <c r="G5" s="31"/>
      <c r="H5" s="31"/>
      <c r="I5" s="31"/>
      <c r="J5" s="31"/>
      <c r="K5" s="31"/>
      <c r="L5" s="31"/>
      <c r="M5" s="31"/>
      <c r="N5" s="31"/>
      <c r="O5" s="36"/>
      <c r="P5" s="31"/>
      <c r="Q5" s="31"/>
      <c r="R5" s="31"/>
      <c r="S5" s="31"/>
      <c r="T5" s="31"/>
      <c r="U5" s="31"/>
      <c r="V5" s="31"/>
      <c r="W5" s="31"/>
      <c r="X5" s="31"/>
      <c r="Y5" s="31"/>
      <c r="Z5" s="31"/>
      <c r="AA5" s="31"/>
      <c r="AB5" s="31"/>
      <c r="AC5" s="31"/>
      <c r="AD5" s="31"/>
      <c r="AE5" s="31"/>
      <c r="AF5" s="31"/>
      <c r="AG5" s="31"/>
      <c r="AM5" s="31"/>
      <c r="AN5" s="31"/>
      <c r="AO5" s="31"/>
      <c r="AP5" s="31"/>
      <c r="AQ5" s="166" t="str">
        <f>'Evaluation-Bewertung'!AQ5</f>
        <v>Level of compliance [%]</v>
      </c>
      <c r="AR5" s="31"/>
      <c r="AS5" s="31"/>
      <c r="AT5" s="31"/>
      <c r="AU5" s="31"/>
      <c r="AV5" s="31"/>
      <c r="AW5" s="31"/>
      <c r="AX5" s="31"/>
      <c r="AY5" s="31"/>
      <c r="AZ5" s="31"/>
      <c r="BA5" s="31"/>
      <c r="BB5" s="31"/>
      <c r="BC5" s="31"/>
      <c r="BD5" s="31"/>
      <c r="BE5" s="16"/>
      <c r="BF5" s="16"/>
      <c r="BG5" s="16"/>
      <c r="BH5" s="16"/>
      <c r="BI5" s="49"/>
      <c r="BJ5" s="34"/>
    </row>
    <row r="6" spans="1:62" ht="6.75" customHeight="1">
      <c r="B6" s="48"/>
      <c r="C6" s="35"/>
      <c r="D6" s="31"/>
      <c r="E6" s="174"/>
      <c r="F6" s="33"/>
      <c r="G6" s="31"/>
      <c r="H6" s="31"/>
      <c r="I6" s="31"/>
      <c r="J6" s="31"/>
      <c r="K6" s="31"/>
      <c r="L6" s="31"/>
      <c r="M6" s="31"/>
      <c r="N6" s="31"/>
      <c r="O6" s="36"/>
      <c r="P6" s="31"/>
      <c r="Q6" s="31"/>
      <c r="R6" s="31"/>
      <c r="S6" s="31"/>
      <c r="T6" s="31"/>
      <c r="U6" s="31"/>
      <c r="V6" s="31"/>
      <c r="W6" s="31"/>
      <c r="X6" s="31"/>
      <c r="Y6" s="31"/>
      <c r="Z6" s="31"/>
      <c r="AA6" s="31"/>
      <c r="AB6" s="31"/>
      <c r="AC6" s="31"/>
      <c r="AD6" s="31"/>
      <c r="AE6" s="31"/>
      <c r="AF6" s="31"/>
      <c r="AG6" s="31"/>
      <c r="AH6" s="15"/>
      <c r="AI6" s="31"/>
      <c r="AJ6" s="31"/>
      <c r="AK6" s="31"/>
      <c r="AL6" s="31"/>
      <c r="AM6" s="31"/>
      <c r="AN6" s="31"/>
      <c r="AO6" s="31"/>
      <c r="AP6" s="31"/>
      <c r="AQ6" s="31"/>
      <c r="AR6" s="31"/>
      <c r="AS6" s="31"/>
      <c r="AT6" s="31"/>
      <c r="AU6" s="31"/>
      <c r="AV6" s="31"/>
      <c r="AW6" s="31"/>
      <c r="AX6" s="31"/>
      <c r="AY6" s="31"/>
      <c r="AZ6" s="31"/>
      <c r="BA6" s="31"/>
      <c r="BB6" s="31"/>
      <c r="BC6" s="31"/>
      <c r="BD6" s="31"/>
      <c r="BE6" s="16"/>
      <c r="BF6" s="16"/>
      <c r="BG6" s="16"/>
      <c r="BH6" s="16"/>
      <c r="BI6" s="49"/>
      <c r="BJ6" s="34"/>
    </row>
    <row r="7" spans="1:62" ht="15" customHeight="1" thickBot="1">
      <c r="A7" s="241" t="s">
        <v>225</v>
      </c>
      <c r="B7" s="48"/>
      <c r="C7" s="35"/>
      <c r="D7" s="390" t="s">
        <v>30</v>
      </c>
      <c r="E7" s="390" t="s">
        <v>132</v>
      </c>
      <c r="F7" s="390" t="s">
        <v>133</v>
      </c>
      <c r="G7" s="390" t="s">
        <v>74</v>
      </c>
      <c r="H7" s="628" t="s">
        <v>201</v>
      </c>
      <c r="I7" s="628" t="s">
        <v>206</v>
      </c>
      <c r="J7" s="390" t="s">
        <v>136</v>
      </c>
      <c r="K7" s="728" t="str">
        <f>'Evaluation-Bewertung'!K7</f>
        <v>n.e.</v>
      </c>
      <c r="L7" s="643" t="str">
        <f>'Evaluation-Bewertung'!L7</f>
        <v>Act.</v>
      </c>
      <c r="M7" s="643" t="str">
        <f>'Evaluation-Bewertung'!M7</f>
        <v>Target</v>
      </c>
      <c r="N7" s="643" t="str">
        <f>'Evaluation-Bewertung'!N7</f>
        <v>Max.</v>
      </c>
      <c r="O7" s="643" t="str">
        <f>'Evaluation-Bewertung'!O7</f>
        <v>Act.</v>
      </c>
      <c r="Q7" s="175"/>
      <c r="R7" s="175"/>
      <c r="S7" s="176"/>
      <c r="T7" s="31"/>
      <c r="U7" s="31"/>
      <c r="V7" s="31"/>
      <c r="W7" s="31"/>
      <c r="X7" s="31"/>
      <c r="Y7" s="31"/>
      <c r="Z7" s="31"/>
      <c r="AA7" s="31"/>
      <c r="AB7" s="31"/>
      <c r="AC7" s="31"/>
      <c r="AD7" s="31"/>
      <c r="AE7" s="31"/>
      <c r="AF7" s="31"/>
      <c r="AG7" s="31"/>
      <c r="AH7" s="15"/>
      <c r="AI7" s="31"/>
      <c r="AJ7" s="31"/>
      <c r="AK7" s="31"/>
      <c r="AL7" s="31"/>
      <c r="AM7" s="31"/>
      <c r="AN7" s="31"/>
      <c r="AO7" s="31"/>
      <c r="AP7" s="31"/>
      <c r="AQ7" s="31"/>
      <c r="AR7" s="31"/>
      <c r="AS7" s="31"/>
      <c r="AT7" s="31"/>
      <c r="AU7" s="31"/>
      <c r="AV7" s="31"/>
      <c r="AW7" s="31"/>
      <c r="AX7" s="31"/>
      <c r="AY7" s="31"/>
      <c r="AZ7" s="31"/>
      <c r="BA7" s="31"/>
      <c r="BB7" s="31"/>
      <c r="BC7" s="31"/>
      <c r="BD7" s="31"/>
      <c r="BE7" s="16"/>
      <c r="BF7" s="16"/>
      <c r="BG7" s="16"/>
      <c r="BH7" s="16"/>
      <c r="BI7" s="49"/>
      <c r="BJ7" s="34"/>
    </row>
    <row r="8" spans="1:62" ht="15" customHeight="1" thickBot="1">
      <c r="A8" s="243" t="str">
        <f>IF(COUNT(D8:J8)=0,K7,IF(MIN(D8:J8)=0,"B","A"))</f>
        <v>n.e.</v>
      </c>
      <c r="B8" s="48"/>
      <c r="C8" s="35"/>
      <c r="D8" s="232" t="str">
        <f>IF(A5=FALSE,$K$7,IF(ISBLANK('Questions - Fragen'!D13),"--",'Questions - Fragen'!D13))</f>
        <v>n.e.</v>
      </c>
      <c r="E8" s="232" t="str">
        <f>IF(A5=FALSE,$K$7,IF(ISBLANK('Questions - Fragen'!D14),"--",'Questions - Fragen'!D14))</f>
        <v>n.e.</v>
      </c>
      <c r="F8" s="232" t="str">
        <f>IF(A5=FALSE,$K$7,IF(ISBLANK('Questions - Fragen'!D15),"--",'Questions - Fragen'!D15))</f>
        <v>n.e.</v>
      </c>
      <c r="G8" s="232" t="str">
        <f>IF(A5=FALSE,$K$7,IF(ISBLANK('Questions - Fragen'!D16),"--",'Questions - Fragen'!D16))</f>
        <v>n.e.</v>
      </c>
      <c r="H8" s="633" t="str">
        <f>IF(A5=FALSE,$K$7,IF(ISBLANK('Questions - Fragen'!D17),"--",'Questions - Fragen'!D17))</f>
        <v>n.e.</v>
      </c>
      <c r="I8" s="633" t="str">
        <f>IF(A5=FALSE,$K$7,IF(ISBLANK('Questions - Fragen'!D18),"--",'Questions - Fragen'!D18))</f>
        <v>n.e.</v>
      </c>
      <c r="J8" s="232" t="str">
        <f>IF(A5=FALSE,$K$7,IF(ISBLANK('Questions - Fragen'!D19),"--",'Questions - Fragen'!D19))</f>
        <v>n.e.</v>
      </c>
      <c r="K8" s="753">
        <f>COUNTIF(D8:J8,"&gt;-")</f>
        <v>7</v>
      </c>
      <c r="L8" s="753">
        <f>COUNT(D8:J8)</f>
        <v>0</v>
      </c>
      <c r="M8" s="753">
        <v>5</v>
      </c>
      <c r="N8" s="753" t="str">
        <f>IF(AND($A5,L8&gt;=M8),L8*10,"--")</f>
        <v>--</v>
      </c>
      <c r="O8" s="753" t="str">
        <f>IF(AND($A5,L8&gt;=M8),SUM(D8:J8),"--")</f>
        <v>--</v>
      </c>
      <c r="Q8" s="176"/>
      <c r="R8" s="176"/>
      <c r="S8" s="176"/>
      <c r="T8" s="31"/>
      <c r="U8" s="31"/>
      <c r="V8" s="31"/>
      <c r="W8" s="31"/>
      <c r="X8" s="31"/>
      <c r="Y8" s="31"/>
      <c r="Z8" s="31"/>
      <c r="AA8" s="31"/>
      <c r="AB8" s="31"/>
      <c r="AC8" s="31"/>
      <c r="AD8" s="31"/>
      <c r="AE8" s="31"/>
      <c r="AF8" s="31"/>
      <c r="AG8" s="31"/>
      <c r="AH8" s="15"/>
      <c r="AI8" s="31"/>
      <c r="AJ8" s="31"/>
      <c r="AK8" s="31"/>
      <c r="AL8" s="31"/>
      <c r="AM8" s="31"/>
      <c r="AN8" s="31"/>
      <c r="AO8" s="31"/>
      <c r="AP8" s="31"/>
      <c r="AQ8" s="1518" t="s">
        <v>299</v>
      </c>
      <c r="AR8" s="1519"/>
      <c r="AS8" s="1515" t="str">
        <f>IF(AND(A5,L8&gt;=M8),ROUND(O8/N8,2),K7)</f>
        <v>n.e.</v>
      </c>
      <c r="AT8" s="1516"/>
      <c r="AU8" s="16"/>
      <c r="AV8" s="31"/>
      <c r="AW8" s="31"/>
      <c r="AX8" s="31"/>
      <c r="AY8" s="31"/>
      <c r="AZ8" s="31"/>
      <c r="BA8" s="31"/>
      <c r="BB8" s="31"/>
      <c r="BC8" s="31"/>
      <c r="BD8" s="31"/>
      <c r="BE8" s="16"/>
      <c r="BF8" s="16"/>
      <c r="BG8" s="16"/>
      <c r="BH8" s="16"/>
      <c r="BI8" s="49"/>
      <c r="BJ8" s="34"/>
    </row>
    <row r="9" spans="1:62" ht="6.75" customHeight="1">
      <c r="B9" s="48"/>
      <c r="C9" s="33"/>
      <c r="D9" s="31"/>
      <c r="E9" s="31"/>
      <c r="F9" s="31"/>
      <c r="G9" s="31"/>
      <c r="H9" s="176"/>
      <c r="I9" s="176"/>
      <c r="J9" s="176"/>
      <c r="K9" s="176"/>
      <c r="L9" s="176"/>
      <c r="M9" s="176"/>
      <c r="N9" s="176"/>
      <c r="O9" s="178"/>
      <c r="P9" s="176"/>
      <c r="Q9" s="176"/>
      <c r="R9" s="176"/>
      <c r="S9" s="176"/>
      <c r="T9" s="31"/>
      <c r="U9" s="31"/>
      <c r="V9" s="31"/>
      <c r="W9" s="31"/>
      <c r="X9" s="31"/>
      <c r="Y9" s="31"/>
      <c r="Z9" s="31"/>
      <c r="AA9" s="31"/>
      <c r="AB9" s="31"/>
      <c r="AC9" s="31"/>
      <c r="AD9" s="31"/>
      <c r="AE9" s="31"/>
      <c r="AF9" s="31"/>
      <c r="AG9" s="31"/>
      <c r="AH9" s="38"/>
      <c r="AI9" s="31"/>
      <c r="AJ9" s="31"/>
      <c r="AK9" s="31"/>
      <c r="AL9" s="31"/>
      <c r="AM9" s="31"/>
      <c r="AN9" s="31"/>
      <c r="AO9" s="31"/>
      <c r="AP9" s="31"/>
      <c r="AQ9" s="31"/>
      <c r="AR9" s="31"/>
      <c r="AS9" s="31"/>
      <c r="AT9" s="31"/>
      <c r="AU9" s="31"/>
      <c r="AV9" s="31"/>
      <c r="AW9" s="31"/>
      <c r="AX9" s="31"/>
      <c r="AY9" s="31"/>
      <c r="AZ9" s="31"/>
      <c r="BA9" s="31"/>
      <c r="BB9" s="31"/>
      <c r="BC9" s="31"/>
      <c r="BD9" s="31"/>
      <c r="BE9" s="16"/>
      <c r="BF9" s="16"/>
      <c r="BG9" s="16"/>
      <c r="BH9" s="16"/>
      <c r="BI9" s="49"/>
      <c r="BJ9" s="34"/>
    </row>
    <row r="10" spans="1:62" ht="18" customHeight="1">
      <c r="A10" s="971" t="b">
        <f>'Evaluation-Bewertung'!A10</f>
        <v>0</v>
      </c>
      <c r="B10" s="48"/>
      <c r="C10" s="655" t="s">
        <v>97</v>
      </c>
      <c r="D10" s="655" t="str">
        <f>'Questions - Fragen'!C20</f>
        <v>Planning the product and process development</v>
      </c>
      <c r="E10" s="656"/>
      <c r="F10" s="656"/>
      <c r="G10" s="656"/>
      <c r="H10" s="656"/>
      <c r="I10" s="656"/>
      <c r="J10" s="656"/>
      <c r="K10" s="656"/>
      <c r="L10" s="656"/>
      <c r="M10" s="656"/>
      <c r="N10" s="656"/>
      <c r="O10" s="657"/>
      <c r="P10" s="656"/>
      <c r="Q10" s="656"/>
      <c r="R10" s="656"/>
      <c r="S10" s="656"/>
      <c r="T10" s="656"/>
      <c r="U10" s="656"/>
      <c r="V10" s="656"/>
      <c r="W10" s="656"/>
      <c r="X10" s="656"/>
      <c r="Y10" s="656"/>
      <c r="Z10" s="656"/>
      <c r="AA10" s="656"/>
      <c r="AB10" s="656"/>
      <c r="AC10" s="656"/>
      <c r="AD10" s="656"/>
      <c r="AE10" s="656"/>
      <c r="AF10" s="656"/>
      <c r="AG10" s="656"/>
      <c r="AH10" s="656"/>
      <c r="AI10" s="656"/>
      <c r="AJ10" s="656"/>
      <c r="AK10" s="656"/>
      <c r="AL10" s="656"/>
      <c r="AM10" s="656"/>
      <c r="AN10" s="656"/>
      <c r="AO10" s="656"/>
      <c r="AP10" s="656"/>
      <c r="AQ10" s="656"/>
      <c r="AR10" s="656"/>
      <c r="AS10" s="656"/>
      <c r="AT10" s="656"/>
      <c r="AU10" s="656"/>
      <c r="AV10" s="656"/>
      <c r="AW10" s="656"/>
      <c r="AX10" s="656"/>
      <c r="AY10" s="656"/>
      <c r="AZ10" s="656"/>
      <c r="BA10" s="656"/>
      <c r="BB10" s="656"/>
      <c r="BC10" s="656"/>
      <c r="BD10" s="656"/>
      <c r="BE10" s="661"/>
      <c r="BF10" s="661"/>
      <c r="BG10" s="661"/>
      <c r="BH10" s="661"/>
      <c r="BI10" s="658"/>
      <c r="BJ10" s="34"/>
    </row>
    <row r="11" spans="1:62" ht="6" customHeight="1">
      <c r="A11" s="659"/>
      <c r="B11" s="48"/>
      <c r="C11" s="36"/>
      <c r="D11" s="36"/>
      <c r="E11" s="31"/>
      <c r="F11" s="31"/>
      <c r="G11" s="31"/>
      <c r="H11" s="31"/>
      <c r="I11" s="31"/>
      <c r="J11" s="31"/>
      <c r="K11" s="31"/>
      <c r="L11" s="31"/>
      <c r="M11" s="31"/>
      <c r="N11" s="31"/>
      <c r="O11" s="36"/>
      <c r="P11" s="31"/>
      <c r="Q11" s="31"/>
      <c r="R11" s="31"/>
      <c r="S11" s="31"/>
      <c r="T11" s="31"/>
      <c r="U11" s="31"/>
      <c r="V11" s="31"/>
      <c r="W11" s="31"/>
      <c r="X11" s="31"/>
      <c r="Y11" s="31"/>
      <c r="Z11" s="31"/>
      <c r="AA11" s="31"/>
      <c r="AB11" s="31"/>
      <c r="AC11" s="38"/>
      <c r="AD11" s="38"/>
      <c r="AE11" s="38"/>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15"/>
      <c r="BF11" s="15"/>
      <c r="BG11" s="15"/>
      <c r="BH11" s="15"/>
      <c r="BI11" s="49"/>
      <c r="BJ11" s="34"/>
    </row>
    <row r="12" spans="1:62" ht="14.1" customHeight="1">
      <c r="B12" s="48"/>
      <c r="C12" s="36"/>
      <c r="D12" s="180" t="str">
        <f>'Questions - Fragen'!C23</f>
        <v>Product</v>
      </c>
      <c r="E12" s="38"/>
      <c r="F12" s="31"/>
      <c r="G12" s="31"/>
      <c r="H12" s="31"/>
      <c r="I12" s="31"/>
      <c r="K12" s="31"/>
      <c r="L12" s="31"/>
      <c r="M12" s="31"/>
      <c r="N12" s="31"/>
      <c r="O12" s="180" t="str">
        <f>'Questions - Fragen'!C24</f>
        <v>Process</v>
      </c>
      <c r="P12" s="31"/>
      <c r="R12" s="180"/>
      <c r="S12" s="180"/>
      <c r="T12" s="180"/>
      <c r="U12" s="180"/>
      <c r="V12" s="180"/>
      <c r="W12" s="180"/>
      <c r="X12" s="180"/>
      <c r="AM12" s="31"/>
      <c r="AN12" s="31"/>
      <c r="AO12" s="31"/>
      <c r="AP12" s="31"/>
      <c r="AQ12" s="31"/>
      <c r="AR12" s="31"/>
      <c r="AS12" s="31"/>
      <c r="AT12" s="31"/>
      <c r="AU12" s="31"/>
      <c r="AV12" s="31"/>
      <c r="AW12" s="31"/>
      <c r="AX12" s="31"/>
      <c r="AY12" s="31"/>
      <c r="AZ12" s="31"/>
      <c r="BA12" s="31"/>
      <c r="BB12" s="31"/>
      <c r="BC12" s="31"/>
      <c r="BD12" s="31"/>
      <c r="BE12" s="16"/>
      <c r="BF12" s="16"/>
      <c r="BG12" s="16"/>
      <c r="BH12" s="16"/>
      <c r="BI12" s="49"/>
      <c r="BJ12" s="34"/>
    </row>
    <row r="13" spans="1:62" ht="15" thickBot="1">
      <c r="A13" s="241" t="s">
        <v>226</v>
      </c>
      <c r="B13" s="48"/>
      <c r="C13" s="33"/>
      <c r="D13" s="390" t="s">
        <v>78</v>
      </c>
      <c r="E13" s="628" t="s">
        <v>203</v>
      </c>
      <c r="F13" s="390" t="s">
        <v>80</v>
      </c>
      <c r="G13" s="390" t="s">
        <v>81</v>
      </c>
      <c r="H13" s="390" t="s">
        <v>82</v>
      </c>
      <c r="I13" s="643" t="str">
        <f>'Evaluation-Bewertung'!I13</f>
        <v>n.e.</v>
      </c>
      <c r="J13" s="643" t="str">
        <f>'Evaluation-Bewertung'!J13</f>
        <v>Act.</v>
      </c>
      <c r="K13" s="643" t="str">
        <f>'Evaluation-Bewertung'!K13</f>
        <v>Target</v>
      </c>
      <c r="L13" s="643" t="str">
        <f>'Evaluation-Bewertung'!L13</f>
        <v>Max.</v>
      </c>
      <c r="M13" s="643" t="str">
        <f>'Evaluation-Bewertung'!M13</f>
        <v>Act.</v>
      </c>
      <c r="N13" s="181"/>
      <c r="O13" s="390" t="s">
        <v>78</v>
      </c>
      <c r="P13" s="628" t="s">
        <v>203</v>
      </c>
      <c r="Q13" s="390" t="s">
        <v>80</v>
      </c>
      <c r="R13" s="390" t="s">
        <v>81</v>
      </c>
      <c r="S13" s="390" t="s">
        <v>82</v>
      </c>
      <c r="T13" s="643" t="str">
        <f>'Evaluation-Bewertung'!T13</f>
        <v>n.e.</v>
      </c>
      <c r="U13" s="643" t="str">
        <f>'Evaluation-Bewertung'!U13</f>
        <v>Act.</v>
      </c>
      <c r="V13" s="643" t="str">
        <f>'Evaluation-Bewertung'!V13</f>
        <v>Target</v>
      </c>
      <c r="W13" s="643" t="str">
        <f>'Evaluation-Bewertung'!W13</f>
        <v>Max.</v>
      </c>
      <c r="X13" s="643" t="str">
        <f>'Evaluation-Bewertung'!X13</f>
        <v>Act.</v>
      </c>
      <c r="Z13" s="390" t="s">
        <v>78</v>
      </c>
      <c r="AA13" s="628" t="s">
        <v>203</v>
      </c>
      <c r="AB13" s="390" t="s">
        <v>80</v>
      </c>
      <c r="AC13" s="390" t="s">
        <v>81</v>
      </c>
      <c r="AD13" s="390" t="s">
        <v>82</v>
      </c>
      <c r="AE13" s="643" t="str">
        <f>'Evaluation-Bewertung'!AE13</f>
        <v>n.e.</v>
      </c>
      <c r="AF13" s="643" t="str">
        <f>'Evaluation-Bewertung'!AF13</f>
        <v>Act.</v>
      </c>
      <c r="AG13" s="643" t="str">
        <f>'Evaluation-Bewertung'!AG13</f>
        <v>Target</v>
      </c>
      <c r="AH13" s="643" t="str">
        <f>'Evaluation-Bewertung'!AH13</f>
        <v>Max.</v>
      </c>
      <c r="AI13" s="643" t="str">
        <f>'Evaluation-Bewertung'!AI13</f>
        <v>Act.</v>
      </c>
      <c r="AJ13" s="31"/>
      <c r="AM13" s="31"/>
      <c r="AN13" s="31"/>
      <c r="AO13" s="31"/>
      <c r="AP13" s="31"/>
      <c r="AQ13" s="31"/>
      <c r="AR13" s="31"/>
      <c r="AS13" s="31"/>
      <c r="AT13" s="31"/>
      <c r="AU13" s="31"/>
      <c r="AV13" s="31"/>
      <c r="AW13" s="31"/>
      <c r="AX13" s="31"/>
      <c r="AY13" s="31"/>
      <c r="AZ13" s="31"/>
      <c r="BA13" s="31"/>
      <c r="BB13" s="31"/>
      <c r="BC13" s="31"/>
      <c r="BD13" s="31"/>
      <c r="BE13" s="16"/>
      <c r="BF13" s="16"/>
      <c r="BG13" s="16"/>
      <c r="BH13" s="16"/>
      <c r="BI13" s="49"/>
      <c r="BJ13" s="34"/>
    </row>
    <row r="14" spans="1:62" s="37" customFormat="1" ht="15.75" thickBot="1">
      <c r="A14" s="243" t="str">
        <f>IF(COUNT(D14:H14)+COUNT(O14:S14)=0,I13,IF(MIN(D14:H14,O14:S14)=0,"B","A"))</f>
        <v>n.e.</v>
      </c>
      <c r="B14" s="50"/>
      <c r="C14" s="180"/>
      <c r="D14" s="232" t="str">
        <f>IF($A$10=FALSE,$I$13,IF(ISBLANK('Questions - Fragen'!$D23),"--",'Questions - Fragen'!$D23))</f>
        <v>n.e.</v>
      </c>
      <c r="E14" s="633" t="str">
        <f>IF($A$10=FALSE,$I$13,IF(ISBLANK('Questions - Fragen'!$D26),"--",'Questions - Fragen'!$D26))</f>
        <v>n.e.</v>
      </c>
      <c r="F14" s="232" t="str">
        <f>IF($A$10=FALSE,$I$13,IF(ISBLANK('Questions - Fragen'!$D29),"--",'Questions - Fragen'!$D29))</f>
        <v>n.e.</v>
      </c>
      <c r="G14" s="232" t="str">
        <f>IF($A$10=FALSE,$I$13,IF(ISBLANK('Questions - Fragen'!$D32),"--",'Questions - Fragen'!$D32))</f>
        <v>n.e.</v>
      </c>
      <c r="H14" s="232" t="str">
        <f>IF($A$10=FALSE,$I$13,IF(ISBLANK('Questions - Fragen'!$D35),"--",'Questions - Fragen'!$D35))</f>
        <v>n.e.</v>
      </c>
      <c r="I14" s="753">
        <f>COUNTIF(D14:H14,"&gt;-")</f>
        <v>5</v>
      </c>
      <c r="J14" s="753">
        <f>COUNT(D14:H14)</f>
        <v>0</v>
      </c>
      <c r="K14" s="753">
        <v>4</v>
      </c>
      <c r="L14" s="753" t="str">
        <f>IF(AND($A10,J14&gt;=K14),J14*10,"--")</f>
        <v>--</v>
      </c>
      <c r="M14" s="753" t="str">
        <f>IF(AND($A10,J14&gt;=K14),SUM(D14:H14),"--")</f>
        <v>--</v>
      </c>
      <c r="O14" s="232" t="str">
        <f>IF($A$10=FALSE,$T$13,IF(ISBLANK('Questions - Fragen'!$D24),"--",'Questions - Fragen'!$D24))</f>
        <v>n.e.</v>
      </c>
      <c r="P14" s="633" t="str">
        <f>IF($A$10=FALSE,$T$13,IF(ISBLANK('Questions - Fragen'!$D27),"--",'Questions - Fragen'!$D27))</f>
        <v>n.e.</v>
      </c>
      <c r="Q14" s="232" t="str">
        <f>IF($A$10=FALSE,$T$13,IF(ISBLANK('Questions - Fragen'!$D30),"--",'Questions - Fragen'!$D30))</f>
        <v>n.e.</v>
      </c>
      <c r="R14" s="232" t="str">
        <f>IF($A$10=FALSE,$T$13,IF(ISBLANK('Questions - Fragen'!$D33),"--",'Questions - Fragen'!$D33))</f>
        <v>n.e.</v>
      </c>
      <c r="S14" s="232" t="str">
        <f>IF($A$10=FALSE,$T$13,IF(ISBLANK('Questions - Fragen'!$D36),"--",'Questions - Fragen'!$D36))</f>
        <v>n.e.</v>
      </c>
      <c r="T14" s="753">
        <f>COUNTIF(O14:S14,"&gt;-")</f>
        <v>5</v>
      </c>
      <c r="U14" s="753">
        <f>COUNT(O14:S14)</f>
        <v>0</v>
      </c>
      <c r="V14" s="753">
        <v>4</v>
      </c>
      <c r="W14" s="753" t="str">
        <f>IF(AND($A10,U14&gt;=V14),U14*10,"--")</f>
        <v>--</v>
      </c>
      <c r="X14" s="753" t="str">
        <f>IF(AND($A10,U14&gt;=V14),SUM(O14:S14),"--")</f>
        <v>--</v>
      </c>
      <c r="Z14" s="957" t="str">
        <f>IF(AND(D14=$I$13,O14=$T$13),$AE$13,IF(AND(D14="--",O14="--"),"--",IF(COUNT(D14,O14)&gt;0,ROUND(AVERAGE(D14,O14),2),"/")))</f>
        <v>n.e.</v>
      </c>
      <c r="AA14" s="958" t="str">
        <f t="shared" ref="AA14:AD14" si="0">IF(AND(E14=$I$13,P14=$T$13),$AE$13,IF(AND(E14="--",P14="--"),"--",IF(COUNT(E14,P14)&gt;0,ROUND(AVERAGE(E14,P14),2),"/")))</f>
        <v>n.e.</v>
      </c>
      <c r="AB14" s="957" t="str">
        <f t="shared" si="0"/>
        <v>n.e.</v>
      </c>
      <c r="AC14" s="957" t="str">
        <f t="shared" si="0"/>
        <v>n.e.</v>
      </c>
      <c r="AD14" s="957" t="str">
        <f t="shared" si="0"/>
        <v>n.e.</v>
      </c>
      <c r="AE14" s="753">
        <f>COUNTIF(Z14:AD14,"&gt;-")</f>
        <v>5</v>
      </c>
      <c r="AF14" s="753">
        <f>COUNT(Z14:AD14)</f>
        <v>0</v>
      </c>
      <c r="AG14" s="753">
        <v>4</v>
      </c>
      <c r="AH14" s="753" t="str">
        <f>IF(AND($A10,AF14&gt;=AG14),AF14*10,"--")</f>
        <v>--</v>
      </c>
      <c r="AI14" s="753" t="str">
        <f>IF(AND($A10,AF14&gt;=AG14),SUM(Z14:AD14),"--")</f>
        <v>--</v>
      </c>
      <c r="AJ14" s="31"/>
      <c r="AM14" s="15"/>
      <c r="AN14" s="15"/>
      <c r="AO14" s="15"/>
      <c r="AP14" s="15"/>
      <c r="AQ14" s="1518" t="s">
        <v>300</v>
      </c>
      <c r="AR14" s="1519"/>
      <c r="AS14" s="1471" t="str">
        <f>IF(AND(L16=I13,W16=T13),I13,ROUND(AI14/AH14,2))</f>
        <v>n.e.</v>
      </c>
      <c r="AT14" s="1472"/>
      <c r="AU14" s="16"/>
      <c r="AV14" s="184"/>
      <c r="AW14" s="184"/>
      <c r="AX14" s="184"/>
      <c r="AY14" s="184"/>
      <c r="AZ14" s="184"/>
      <c r="BA14" s="184"/>
      <c r="BB14" s="184"/>
      <c r="BC14" s="184"/>
      <c r="BD14" s="184"/>
      <c r="BE14" s="16"/>
      <c r="BF14" s="16"/>
      <c r="BG14" s="16"/>
      <c r="BH14" s="16"/>
      <c r="BI14" s="51"/>
      <c r="BJ14" s="16"/>
    </row>
    <row r="15" spans="1:62" ht="15" thickBot="1">
      <c r="B15" s="48"/>
      <c r="C15" s="33"/>
      <c r="D15" s="38"/>
      <c r="E15" s="38"/>
      <c r="F15" s="38"/>
      <c r="G15" s="38"/>
      <c r="H15" s="38"/>
      <c r="N15" s="180"/>
      <c r="O15" s="31"/>
      <c r="P15" s="31"/>
      <c r="T15" s="31"/>
      <c r="V15" s="31"/>
      <c r="W15" s="176"/>
      <c r="X15" s="179"/>
      <c r="Y15" s="179"/>
      <c r="Z15" s="179"/>
      <c r="AA15" s="179"/>
      <c r="AB15" s="179"/>
      <c r="AC15" s="179"/>
      <c r="AD15" s="15"/>
      <c r="AE15" s="15"/>
      <c r="AF15" s="15"/>
      <c r="AJ15" s="15"/>
      <c r="AK15" s="15"/>
      <c r="AL15" s="15"/>
      <c r="AM15" s="15"/>
      <c r="AN15" s="15"/>
      <c r="AO15" s="15"/>
      <c r="AP15" s="15"/>
      <c r="AQ15" s="15"/>
      <c r="AR15" s="31"/>
      <c r="AS15" s="31"/>
      <c r="AT15" s="31"/>
      <c r="AU15" s="15"/>
      <c r="AV15" s="15"/>
      <c r="AW15" s="15"/>
      <c r="AX15" s="15"/>
      <c r="AY15" s="15"/>
      <c r="AZ15" s="15"/>
      <c r="BA15" s="15"/>
      <c r="BB15" s="15"/>
      <c r="BC15" s="15"/>
      <c r="BD15" s="15"/>
      <c r="BE15" s="16"/>
      <c r="BF15" s="16"/>
      <c r="BG15" s="16"/>
      <c r="BH15" s="16"/>
      <c r="BI15" s="51"/>
      <c r="BJ15" s="16"/>
    </row>
    <row r="16" spans="1:62" ht="15.75" thickBot="1">
      <c r="B16" s="48"/>
      <c r="C16" s="33"/>
      <c r="D16" s="38"/>
      <c r="E16" s="38"/>
      <c r="F16" s="38"/>
      <c r="G16" s="38"/>
      <c r="H16" s="38"/>
      <c r="K16" s="183" t="s">
        <v>66</v>
      </c>
      <c r="L16" s="1471" t="str">
        <f>IF(AND(A10,J14&gt;=K14),ROUND(M14/L14,2),I13)</f>
        <v>n.e.</v>
      </c>
      <c r="M16" s="1472"/>
      <c r="N16" s="29"/>
      <c r="O16" s="38"/>
      <c r="P16" s="38"/>
      <c r="T16" s="182"/>
      <c r="V16" s="183" t="s">
        <v>59</v>
      </c>
      <c r="W16" s="1471" t="str">
        <f>IF(AND(A10,U14&gt;=V14),ROUND(X14/W14,2),T13)</f>
        <v>n.e.</v>
      </c>
      <c r="X16" s="1472"/>
      <c r="Y16" s="179"/>
      <c r="Z16" s="179"/>
      <c r="AA16" s="179"/>
      <c r="AB16" s="179"/>
      <c r="AC16" s="179"/>
      <c r="AD16" s="15"/>
      <c r="AE16" s="15"/>
      <c r="AF16" s="15"/>
      <c r="AJ16" s="15"/>
      <c r="AK16" s="15"/>
      <c r="AL16" s="15"/>
      <c r="AM16" s="15"/>
      <c r="AN16" s="15"/>
      <c r="AO16" s="15"/>
      <c r="AP16" s="15"/>
      <c r="AQ16" s="15"/>
      <c r="AR16" s="38"/>
      <c r="AS16" s="182"/>
      <c r="AT16" s="182"/>
      <c r="AU16" s="15"/>
      <c r="AV16" s="15"/>
      <c r="AW16" s="15"/>
      <c r="AX16" s="15"/>
      <c r="AY16" s="15"/>
      <c r="AZ16" s="15"/>
      <c r="BA16" s="15"/>
      <c r="BB16" s="15"/>
      <c r="BC16" s="15"/>
      <c r="BD16" s="15"/>
      <c r="BE16" s="16"/>
      <c r="BF16" s="16"/>
      <c r="BG16" s="16"/>
      <c r="BH16" s="16"/>
      <c r="BI16" s="51"/>
      <c r="BJ16" s="16"/>
    </row>
    <row r="17" spans="1:62" ht="15">
      <c r="B17" s="48"/>
      <c r="C17" s="33"/>
      <c r="D17" s="31"/>
      <c r="E17" s="31"/>
      <c r="F17" s="31"/>
      <c r="G17" s="31"/>
      <c r="H17" s="31"/>
      <c r="I17" s="31"/>
      <c r="J17" s="31"/>
      <c r="K17" s="31"/>
      <c r="L17" s="31"/>
      <c r="M17" s="31"/>
      <c r="N17" s="31"/>
      <c r="O17" s="36"/>
      <c r="P17" s="31"/>
      <c r="Q17" s="31"/>
      <c r="V17" s="31"/>
      <c r="W17" s="31"/>
      <c r="X17" s="15"/>
      <c r="Y17" s="15"/>
      <c r="Z17" s="15"/>
      <c r="AA17" s="15"/>
      <c r="AB17" s="15"/>
      <c r="AC17" s="15"/>
      <c r="AD17" s="15"/>
      <c r="AE17" s="15"/>
      <c r="AF17" s="15"/>
      <c r="AJ17" s="15"/>
      <c r="AK17" s="15"/>
      <c r="AL17" s="15"/>
      <c r="AM17" s="15"/>
      <c r="AN17" s="15"/>
      <c r="AO17" s="15"/>
      <c r="AP17" s="15"/>
      <c r="AQ17" s="15"/>
      <c r="AR17" s="15"/>
      <c r="AS17" s="15"/>
      <c r="AT17" s="15"/>
      <c r="AU17" s="15"/>
      <c r="AV17" s="15"/>
      <c r="AW17" s="15"/>
      <c r="AX17" s="15"/>
      <c r="AY17" s="15"/>
      <c r="AZ17" s="15"/>
      <c r="BA17" s="15"/>
      <c r="BB17" s="15"/>
      <c r="BC17" s="15"/>
      <c r="BD17" s="15"/>
      <c r="BE17" s="16"/>
      <c r="BF17" s="16"/>
      <c r="BG17" s="16"/>
      <c r="BH17" s="16"/>
      <c r="BI17" s="51"/>
      <c r="BJ17" s="16"/>
    </row>
    <row r="18" spans="1:62" ht="15.75">
      <c r="A18" s="971" t="b">
        <f>'Evaluation-Bewertung'!A18</f>
        <v>0</v>
      </c>
      <c r="B18" s="48"/>
      <c r="C18" s="655" t="s">
        <v>98</v>
      </c>
      <c r="D18" s="655" t="str">
        <f>'Questions - Fragen'!C37</f>
        <v>Implementation of the product and process development</v>
      </c>
      <c r="E18" s="656"/>
      <c r="F18" s="656"/>
      <c r="G18" s="656"/>
      <c r="H18" s="656"/>
      <c r="I18" s="656"/>
      <c r="J18" s="656"/>
      <c r="K18" s="656"/>
      <c r="L18" s="656"/>
      <c r="M18" s="656"/>
      <c r="N18" s="656"/>
      <c r="O18" s="657"/>
      <c r="P18" s="656"/>
      <c r="Q18" s="656"/>
      <c r="R18" s="660"/>
      <c r="S18" s="660"/>
      <c r="T18" s="660"/>
      <c r="U18" s="660"/>
      <c r="V18" s="656"/>
      <c r="W18" s="656"/>
      <c r="X18" s="661"/>
      <c r="Y18" s="661"/>
      <c r="Z18" s="661"/>
      <c r="AA18" s="661"/>
      <c r="AB18" s="661"/>
      <c r="AC18" s="661"/>
      <c r="AD18" s="661"/>
      <c r="AE18" s="661"/>
      <c r="AF18" s="661"/>
      <c r="AG18" s="660"/>
      <c r="AH18" s="660"/>
      <c r="AI18" s="660"/>
      <c r="AJ18" s="661"/>
      <c r="AK18" s="661"/>
      <c r="AL18" s="661"/>
      <c r="AM18" s="661"/>
      <c r="AN18" s="661"/>
      <c r="AO18" s="661"/>
      <c r="AP18" s="661"/>
      <c r="AQ18" s="661"/>
      <c r="AR18" s="661"/>
      <c r="AS18" s="661"/>
      <c r="AT18" s="661"/>
      <c r="AU18" s="661"/>
      <c r="AV18" s="661"/>
      <c r="AW18" s="661"/>
      <c r="AX18" s="661"/>
      <c r="AY18" s="661"/>
      <c r="AZ18" s="661"/>
      <c r="BA18" s="661"/>
      <c r="BB18" s="661"/>
      <c r="BC18" s="661"/>
      <c r="BD18" s="661"/>
      <c r="BE18" s="661"/>
      <c r="BF18" s="661"/>
      <c r="BG18" s="661"/>
      <c r="BH18" s="661"/>
      <c r="BI18" s="662"/>
      <c r="BJ18" s="16"/>
    </row>
    <row r="19" spans="1:62" ht="6.75" customHeight="1">
      <c r="B19" s="48"/>
      <c r="C19" s="36"/>
      <c r="D19" s="36"/>
      <c r="E19" s="31"/>
      <c r="F19" s="31"/>
      <c r="G19" s="31"/>
      <c r="H19" s="31"/>
      <c r="I19" s="31"/>
      <c r="J19" s="31"/>
      <c r="K19" s="31"/>
      <c r="L19" s="31"/>
      <c r="M19" s="31"/>
      <c r="N19" s="31"/>
      <c r="O19" s="36"/>
      <c r="P19" s="31"/>
      <c r="Q19" s="31"/>
      <c r="V19" s="31"/>
      <c r="W19" s="31"/>
      <c r="X19" s="15"/>
      <c r="Y19" s="15"/>
      <c r="Z19" s="15"/>
      <c r="AA19" s="15"/>
      <c r="AB19" s="15"/>
      <c r="AC19" s="15"/>
      <c r="AD19" s="15"/>
      <c r="AE19" s="15"/>
      <c r="AF19" s="15"/>
      <c r="AJ19" s="15"/>
      <c r="AK19" s="15"/>
      <c r="AL19" s="15"/>
      <c r="AM19" s="15"/>
      <c r="AN19" s="15"/>
      <c r="AO19" s="15"/>
      <c r="AP19" s="15"/>
      <c r="AQ19" s="15"/>
      <c r="AR19" s="15"/>
      <c r="AS19" s="15"/>
      <c r="AT19" s="15"/>
      <c r="AU19" s="15"/>
      <c r="AV19" s="15"/>
      <c r="AW19" s="15"/>
      <c r="AX19" s="15"/>
      <c r="AY19" s="15"/>
      <c r="AZ19" s="15"/>
      <c r="BA19" s="15"/>
      <c r="BB19" s="15"/>
      <c r="BC19" s="15"/>
      <c r="BD19" s="15"/>
      <c r="BE19" s="16"/>
      <c r="BF19" s="16"/>
      <c r="BG19" s="16"/>
      <c r="BH19" s="16"/>
      <c r="BI19" s="51"/>
      <c r="BJ19" s="16"/>
    </row>
    <row r="20" spans="1:62" ht="14.1" customHeight="1">
      <c r="B20" s="48"/>
      <c r="C20" s="36"/>
      <c r="D20" s="180" t="str">
        <f>'Evaluation-Bewertung'!D20</f>
        <v>Product</v>
      </c>
      <c r="E20" s="31"/>
      <c r="F20" s="31"/>
      <c r="G20" s="31"/>
      <c r="H20" s="31"/>
      <c r="I20" s="31"/>
      <c r="J20" s="31"/>
      <c r="L20" s="31"/>
      <c r="M20" s="31"/>
      <c r="N20" s="31"/>
      <c r="O20" s="38"/>
      <c r="P20" s="188"/>
      <c r="Q20" s="180" t="str">
        <f>'Evaluation-Bewertung'!Q20</f>
        <v>Process</v>
      </c>
      <c r="R20" s="31"/>
      <c r="T20" s="15"/>
      <c r="U20" s="15"/>
      <c r="V20" s="15"/>
      <c r="W20" s="15"/>
      <c r="X20" s="15"/>
      <c r="Y20" s="15"/>
      <c r="Z20" s="15"/>
      <c r="AA20" s="15"/>
      <c r="AB20" s="15"/>
      <c r="AK20" s="38"/>
      <c r="AL20" s="15"/>
      <c r="AM20" s="15"/>
      <c r="AN20" s="15"/>
      <c r="AO20" s="15"/>
      <c r="AP20" s="15"/>
      <c r="AQ20" s="15"/>
      <c r="AR20" s="15"/>
      <c r="AS20" s="15"/>
      <c r="AT20" s="15"/>
      <c r="AU20" s="15"/>
      <c r="AV20" s="15"/>
      <c r="AW20" s="15"/>
      <c r="AX20" s="15"/>
      <c r="AY20" s="15"/>
      <c r="AZ20" s="15"/>
      <c r="BA20" s="15"/>
      <c r="BB20" s="15"/>
      <c r="BC20" s="15"/>
      <c r="BD20" s="15"/>
      <c r="BE20" s="16"/>
      <c r="BF20" s="16"/>
      <c r="BG20" s="16"/>
      <c r="BH20" s="16"/>
      <c r="BI20" s="51"/>
      <c r="BJ20" s="16"/>
    </row>
    <row r="21" spans="1:62" ht="15" thickBot="1">
      <c r="A21" s="241" t="s">
        <v>227</v>
      </c>
      <c r="B21" s="48"/>
      <c r="C21" s="33"/>
      <c r="D21" s="628" t="s">
        <v>207</v>
      </c>
      <c r="E21" s="390" t="s">
        <v>137</v>
      </c>
      <c r="F21" s="390" t="s">
        <v>138</v>
      </c>
      <c r="G21" s="628" t="s">
        <v>208</v>
      </c>
      <c r="H21" s="390" t="s">
        <v>140</v>
      </c>
      <c r="I21" s="390" t="s">
        <v>141</v>
      </c>
      <c r="J21" s="390" t="s">
        <v>142</v>
      </c>
      <c r="K21" s="628" t="s">
        <v>434</v>
      </c>
      <c r="L21" s="643" t="str">
        <f>'Evaluation-Bewertung'!L21</f>
        <v>n.e.</v>
      </c>
      <c r="M21" s="643" t="str">
        <f>'Evaluation-Bewertung'!M21</f>
        <v>Act.</v>
      </c>
      <c r="N21" s="643" t="str">
        <f>'Evaluation-Bewertung'!N21</f>
        <v>Target</v>
      </c>
      <c r="O21" s="751" t="str">
        <f>'Evaluation-Bewertung'!O21</f>
        <v>Max.</v>
      </c>
      <c r="P21" s="759" t="str">
        <f>'Evaluation-Bewertung'!P21</f>
        <v>Act.</v>
      </c>
      <c r="Q21" s="628" t="s">
        <v>207</v>
      </c>
      <c r="R21" s="390" t="s">
        <v>137</v>
      </c>
      <c r="S21" s="390" t="s">
        <v>138</v>
      </c>
      <c r="T21" s="628" t="s">
        <v>208</v>
      </c>
      <c r="U21" s="390" t="s">
        <v>140</v>
      </c>
      <c r="V21" s="390" t="s">
        <v>141</v>
      </c>
      <c r="W21" s="390" t="s">
        <v>142</v>
      </c>
      <c r="X21" s="628" t="s">
        <v>434</v>
      </c>
      <c r="Y21" s="643" t="str">
        <f>'Evaluation-Bewertung'!Y21</f>
        <v>n.e.</v>
      </c>
      <c r="Z21" s="643" t="str">
        <f>'Evaluation-Bewertung'!Z21</f>
        <v>Act.</v>
      </c>
      <c r="AA21" s="643" t="str">
        <f>'Evaluation-Bewertung'!AA21</f>
        <v>Target</v>
      </c>
      <c r="AB21" s="751" t="str">
        <f>'Evaluation-Bewertung'!AB21</f>
        <v>Max.</v>
      </c>
      <c r="AC21" s="759" t="str">
        <f>'Evaluation-Bewertung'!AC21</f>
        <v>Act.</v>
      </c>
      <c r="AD21" s="628" t="s">
        <v>207</v>
      </c>
      <c r="AE21" s="390" t="s">
        <v>137</v>
      </c>
      <c r="AF21" s="390" t="s">
        <v>138</v>
      </c>
      <c r="AG21" s="628" t="s">
        <v>208</v>
      </c>
      <c r="AH21" s="390" t="s">
        <v>140</v>
      </c>
      <c r="AI21" s="390" t="s">
        <v>141</v>
      </c>
      <c r="AJ21" s="390" t="s">
        <v>142</v>
      </c>
      <c r="AK21" s="628" t="s">
        <v>434</v>
      </c>
      <c r="AL21" s="643" t="str">
        <f>'Evaluation-Bewertung'!AL21</f>
        <v>n.e.</v>
      </c>
      <c r="AM21" s="643" t="str">
        <f>'Evaluation-Bewertung'!AM21</f>
        <v>Act.</v>
      </c>
      <c r="AN21" s="643" t="str">
        <f>'Evaluation-Bewertung'!AN21</f>
        <v>Target</v>
      </c>
      <c r="AO21" s="643" t="str">
        <f>'Evaluation-Bewertung'!AO21</f>
        <v>Max.</v>
      </c>
      <c r="AP21" s="643" t="str">
        <f>'Evaluation-Bewertung'!AP21</f>
        <v>Act.</v>
      </c>
      <c r="AQ21" s="15"/>
      <c r="AR21" s="15"/>
      <c r="AS21" s="15"/>
      <c r="AT21" s="15"/>
      <c r="AU21" s="15"/>
      <c r="AV21" s="15"/>
      <c r="AW21" s="15"/>
      <c r="AX21" s="15"/>
      <c r="AY21" s="15"/>
      <c r="AZ21" s="15"/>
      <c r="BA21" s="15"/>
      <c r="BB21" s="15"/>
      <c r="BC21" s="15"/>
      <c r="BD21" s="15"/>
      <c r="BE21" s="16"/>
      <c r="BF21" s="16"/>
      <c r="BG21" s="16"/>
      <c r="BH21" s="16"/>
      <c r="BI21" s="51"/>
      <c r="BJ21" s="16"/>
    </row>
    <row r="22" spans="1:62" s="37" customFormat="1" ht="15" customHeight="1" thickBot="1">
      <c r="A22" s="243" t="str">
        <f>IF(COUNT(D22:K22)+COUNT(Q22:X22)=0,L21,IF(MIN(D22:K22,Q22:X22)=0,"B","A"))</f>
        <v>n.e.</v>
      </c>
      <c r="B22" s="50"/>
      <c r="C22" s="180"/>
      <c r="D22" s="633" t="str">
        <f>IF($A$18=FALSE,$L$21,IF(ISBLANK('Questions - Fragen'!$D40),"--",'Questions - Fragen'!$D40))</f>
        <v>n.e.</v>
      </c>
      <c r="E22" s="232" t="str">
        <f>IF($A$18=FALSE,$L$21,IF(ISBLANK('Questions - Fragen'!$D43),"--",'Questions - Fragen'!$D43))</f>
        <v>n.e.</v>
      </c>
      <c r="F22" s="232" t="str">
        <f>IF($A$18=FALSE,$L$21,IF(ISBLANK('Questions - Fragen'!$D46),"--",'Questions - Fragen'!$D46))</f>
        <v>n.e.</v>
      </c>
      <c r="G22" s="633" t="str">
        <f>IF($A$18=FALSE,$L$21,IF(ISBLANK('Questions - Fragen'!$D49),"--",'Questions - Fragen'!$D49))</f>
        <v>n.e.</v>
      </c>
      <c r="H22" s="232" t="str">
        <f>IF($A$18=FALSE,$L$21,IF(ISBLANK('Questions - Fragen'!$D52),"--",'Questions - Fragen'!$D52))</f>
        <v>n.e.</v>
      </c>
      <c r="I22" s="959" t="str">
        <f>L21</f>
        <v>n.e.</v>
      </c>
      <c r="J22" s="959" t="str">
        <f>L21</f>
        <v>n.e.</v>
      </c>
      <c r="K22" s="232" t="str">
        <f>IF($A$18=FALSE,$L$21,IF(ISBLANK('Questions - Fragen'!$D59),"--",'Questions - Fragen'!$D59))</f>
        <v>n.e.</v>
      </c>
      <c r="L22" s="753">
        <f>COUNTIF(D22:K22,"&gt;-")</f>
        <v>8</v>
      </c>
      <c r="M22" s="753">
        <f>COUNT(D22:K22)</f>
        <v>0</v>
      </c>
      <c r="N22" s="753">
        <v>4</v>
      </c>
      <c r="O22" s="754" t="str">
        <f>IF(AND($A18,M22&gt;=N22),M22*10,"--")</f>
        <v>--</v>
      </c>
      <c r="P22" s="760" t="str">
        <f>IF(AND($A18,M22&gt;=N22),SUM(D22:K22),"--")</f>
        <v>--</v>
      </c>
      <c r="Q22" s="1025" t="str">
        <f>IF($A$18=FALSE,$Y$21,IF(ISBLANK('Questions - Fragen'!$D41),"--",'Questions - Fragen'!$D41))</f>
        <v>n.e.</v>
      </c>
      <c r="R22" s="232" t="str">
        <f>IF($A$18=FALSE,$Y$21,IF(ISBLANK('Questions - Fragen'!$D44),"--",'Questions - Fragen'!$D44))</f>
        <v>n.e.</v>
      </c>
      <c r="S22" s="232" t="str">
        <f>IF($A$18=FALSE,$Y$21,IF(ISBLANK('Questions - Fragen'!$D47),"--",'Questions - Fragen'!$D47))</f>
        <v>n.e.</v>
      </c>
      <c r="T22" s="633" t="str">
        <f>IF($A$18=FALSE,$Y$21,IF(ISBLANK('Questions - Fragen'!$D50),"--",'Questions - Fragen'!$D50))</f>
        <v>n.e.</v>
      </c>
      <c r="U22" s="232" t="str">
        <f>IF($A$18=FALSE,$Y$21,IF(ISBLANK('Questions - Fragen'!$D53),"--",'Questions - Fragen'!$D53))</f>
        <v>n.e.</v>
      </c>
      <c r="V22" s="232" t="str">
        <f>IF($A$18=FALSE,$Y$21,IF(ISBLANK('Questions - Fragen'!$D55),"--",'Questions - Fragen'!$D55))</f>
        <v>n.e.</v>
      </c>
      <c r="W22" s="232" t="str">
        <f>IF($A$18=FALSE,$Y$21,IF(ISBLANK('Questions - Fragen'!$D57),"--",'Questions - Fragen'!$D57))</f>
        <v>n.e.</v>
      </c>
      <c r="X22" s="633" t="str">
        <f>IF($A$18=FALSE,$Y$21,IF(ISBLANK('Questions - Fragen'!$D60),"--",'Questions - Fragen'!$D60))</f>
        <v>n.e.</v>
      </c>
      <c r="Y22" s="753">
        <f>COUNTIF(Q22:X22,"&gt;-")</f>
        <v>8</v>
      </c>
      <c r="Z22" s="753">
        <f>COUNT(Q22:X22)</f>
        <v>0</v>
      </c>
      <c r="AA22" s="753">
        <v>6</v>
      </c>
      <c r="AB22" s="754" t="str">
        <f>IF(AND($A18,Z22&gt;=AA22),Z22*10,"--")</f>
        <v>--</v>
      </c>
      <c r="AC22" s="760" t="str">
        <f>IF(AND($A18,Z22&gt;=AA22),SUM(Q22:X22),"--")</f>
        <v>--</v>
      </c>
      <c r="AD22" s="1027" t="str">
        <f>IF(AND(D22=$L$21,Q22=$Y$21),$AL$21,IF(AND(D22="--",Q22="--"),"--",IF(COUNT(D22,Q22)&gt;0,ROUND(AVERAGE(D22,Q22),2),"/")))</f>
        <v>n.e.</v>
      </c>
      <c r="AE22" s="957" t="str">
        <f t="shared" ref="AE22:AK22" si="1">IF(AND(E22=$L$21,R22=$Y$21),$AL$21,IF(AND(E22="--",R22="--"),"--",IF(COUNT(E22,R22)&gt;0,ROUND(AVERAGE(E22,R22),2),"/")))</f>
        <v>n.e.</v>
      </c>
      <c r="AF22" s="957" t="str">
        <f t="shared" si="1"/>
        <v>n.e.</v>
      </c>
      <c r="AG22" s="958" t="str">
        <f t="shared" si="1"/>
        <v>n.e.</v>
      </c>
      <c r="AH22" s="957" t="str">
        <f t="shared" si="1"/>
        <v>n.e.</v>
      </c>
      <c r="AI22" s="957" t="str">
        <f t="shared" si="1"/>
        <v>n.e.</v>
      </c>
      <c r="AJ22" s="957" t="str">
        <f t="shared" si="1"/>
        <v>n.e.</v>
      </c>
      <c r="AK22" s="958" t="str">
        <f t="shared" si="1"/>
        <v>n.e.</v>
      </c>
      <c r="AL22" s="753">
        <f>COUNTIF(AD22:AK22,"&gt;-")</f>
        <v>8</v>
      </c>
      <c r="AM22" s="753">
        <f>COUNT(AD22:AK22)</f>
        <v>0</v>
      </c>
      <c r="AN22" s="753">
        <v>6</v>
      </c>
      <c r="AO22" s="753" t="str">
        <f>IF(AND($A18,AM22&gt;=AN22),AM22*10,"--")</f>
        <v>--</v>
      </c>
      <c r="AP22" s="753" t="str">
        <f>IF(AND($A18,AM22&gt;=AN22),SUM(AD22:AK22),"--")</f>
        <v>--</v>
      </c>
      <c r="AQ22" s="1518" t="s">
        <v>301</v>
      </c>
      <c r="AR22" s="1519"/>
      <c r="AS22" s="1471" t="str">
        <f>IF(AND(O24=L21,AB24=Y21),L21,ROUND(AP22/AO22,2))</f>
        <v>n.e.</v>
      </c>
      <c r="AT22" s="1472"/>
      <c r="AU22" s="16"/>
      <c r="AV22" s="184"/>
      <c r="AW22" s="184"/>
      <c r="AX22" s="184"/>
      <c r="AY22" s="184"/>
      <c r="AZ22" s="184"/>
      <c r="BA22" s="184"/>
      <c r="BB22" s="184"/>
      <c r="BC22" s="184"/>
      <c r="BD22" s="184"/>
      <c r="BE22" s="16"/>
      <c r="BF22" s="16"/>
      <c r="BG22" s="16"/>
      <c r="BH22" s="16"/>
      <c r="BI22" s="51"/>
      <c r="BJ22" s="16"/>
    </row>
    <row r="23" spans="1:62" s="667" customFormat="1" ht="15" customHeight="1" thickBot="1">
      <c r="A23" s="663"/>
      <c r="B23" s="664"/>
      <c r="C23" s="665"/>
      <c r="D23" s="960"/>
      <c r="E23" s="960"/>
      <c r="F23" s="960"/>
      <c r="G23" s="960"/>
      <c r="H23" s="960"/>
      <c r="I23" s="960"/>
      <c r="J23" s="960"/>
      <c r="K23" s="960"/>
      <c r="L23" s="676"/>
      <c r="M23" s="676"/>
      <c r="N23" s="676"/>
      <c r="O23" s="676"/>
      <c r="P23" s="1026"/>
      <c r="Q23" s="668"/>
      <c r="R23" s="669"/>
      <c r="S23" s="669"/>
      <c r="T23" s="670"/>
      <c r="U23" s="670"/>
      <c r="V23" s="960"/>
      <c r="W23" s="960"/>
      <c r="X23" s="960"/>
      <c r="Y23" s="960"/>
      <c r="Z23" s="960"/>
      <c r="AA23" s="960"/>
      <c r="AB23" s="960"/>
      <c r="AC23" s="1028"/>
      <c r="AD23" s="666"/>
      <c r="AE23" s="666"/>
      <c r="AF23" s="666"/>
      <c r="AG23" s="666"/>
      <c r="AK23" s="668"/>
      <c r="AL23" s="669"/>
      <c r="AM23" s="669"/>
      <c r="AN23" s="670"/>
      <c r="AO23" s="670"/>
      <c r="AP23" s="670"/>
      <c r="AQ23" s="671"/>
      <c r="AR23" s="671"/>
      <c r="AS23" s="669"/>
      <c r="AT23" s="669"/>
      <c r="AU23" s="672"/>
      <c r="AV23" s="673"/>
      <c r="AW23" s="673"/>
      <c r="AX23" s="673"/>
      <c r="AY23" s="673"/>
      <c r="AZ23" s="673"/>
      <c r="BA23" s="673"/>
      <c r="BB23" s="673"/>
      <c r="BC23" s="673"/>
      <c r="BD23" s="673"/>
      <c r="BE23" s="675"/>
      <c r="BF23" s="675"/>
      <c r="BG23" s="675"/>
      <c r="BH23" s="675"/>
      <c r="BI23" s="674"/>
      <c r="BJ23" s="675"/>
    </row>
    <row r="24" spans="1:62" s="667" customFormat="1" ht="15" customHeight="1" thickBot="1">
      <c r="A24" s="663"/>
      <c r="B24" s="664"/>
      <c r="C24" s="665"/>
      <c r="D24" s="960"/>
      <c r="E24" s="960"/>
      <c r="F24" s="960"/>
      <c r="G24" s="960"/>
      <c r="H24" s="960"/>
      <c r="I24" s="960"/>
      <c r="J24" s="960"/>
      <c r="K24" s="960"/>
      <c r="L24" s="676"/>
      <c r="M24" s="676"/>
      <c r="N24" s="183" t="s">
        <v>67</v>
      </c>
      <c r="O24" s="1471" t="str">
        <f>IF(AND(A18,M22&gt;=N22),ROUND(P22/O22,2),L21)</f>
        <v>n.e.</v>
      </c>
      <c r="P24" s="1472"/>
      <c r="Q24" s="668"/>
      <c r="R24" s="669"/>
      <c r="S24" s="669"/>
      <c r="T24" s="670"/>
      <c r="U24" s="670"/>
      <c r="V24" s="960"/>
      <c r="W24" s="960"/>
      <c r="X24" s="960"/>
      <c r="Y24" s="960"/>
      <c r="Z24" s="960"/>
      <c r="AA24" s="183" t="s">
        <v>68</v>
      </c>
      <c r="AB24" s="1471" t="str">
        <f>IF(AND(A18,Z22&gt;=AA22),ROUND(AC22/AB22,2),Y21)</f>
        <v>n.e.</v>
      </c>
      <c r="AC24" s="1472"/>
      <c r="AD24" s="666"/>
      <c r="AE24" s="666"/>
      <c r="AF24" s="666"/>
      <c r="AG24" s="666"/>
      <c r="AK24" s="668"/>
      <c r="AL24" s="669"/>
      <c r="AM24" s="669"/>
      <c r="AN24" s="670"/>
      <c r="AO24" s="670"/>
      <c r="AP24" s="670"/>
      <c r="AQ24" s="671"/>
      <c r="AR24" s="671"/>
      <c r="AS24" s="669"/>
      <c r="AT24" s="669"/>
      <c r="AU24" s="672"/>
      <c r="AV24" s="673"/>
      <c r="AW24" s="673"/>
      <c r="AX24" s="673"/>
      <c r="AY24" s="673"/>
      <c r="AZ24" s="673"/>
      <c r="BA24" s="673"/>
      <c r="BB24" s="673"/>
      <c r="BC24" s="673"/>
      <c r="BD24" s="673"/>
      <c r="BE24" s="675"/>
      <c r="BF24" s="675"/>
      <c r="BG24" s="675"/>
      <c r="BH24" s="675"/>
      <c r="BI24" s="674"/>
      <c r="BJ24" s="675"/>
    </row>
    <row r="25" spans="1:62" s="667" customFormat="1" ht="15" customHeight="1">
      <c r="A25" s="663"/>
      <c r="B25" s="664"/>
      <c r="C25" s="665"/>
      <c r="D25" s="960"/>
      <c r="E25" s="960"/>
      <c r="F25" s="960"/>
      <c r="G25" s="960"/>
      <c r="H25" s="960"/>
      <c r="I25" s="960"/>
      <c r="J25" s="960"/>
      <c r="K25" s="676"/>
      <c r="L25" s="676"/>
      <c r="M25" s="676"/>
      <c r="N25" s="676"/>
      <c r="O25" s="676"/>
      <c r="P25" s="670"/>
      <c r="Q25" s="668"/>
      <c r="R25" s="669"/>
      <c r="S25" s="669"/>
      <c r="T25" s="670"/>
      <c r="U25" s="670"/>
      <c r="V25" s="960"/>
      <c r="W25" s="960"/>
      <c r="X25" s="960"/>
      <c r="Y25" s="960"/>
      <c r="Z25" s="960"/>
      <c r="AA25" s="960"/>
      <c r="AB25" s="960"/>
      <c r="AC25" s="676"/>
      <c r="AD25" s="666"/>
      <c r="AE25" s="666"/>
      <c r="AF25" s="666"/>
      <c r="AG25" s="666"/>
      <c r="AJ25" s="668"/>
      <c r="AK25" s="669"/>
      <c r="AL25" s="669"/>
      <c r="AM25" s="670"/>
      <c r="AN25" s="670"/>
      <c r="AO25" s="670"/>
      <c r="AP25" s="670"/>
      <c r="AQ25" s="671"/>
      <c r="AR25" s="671"/>
      <c r="AS25" s="669"/>
      <c r="AT25" s="669"/>
      <c r="AU25" s="672"/>
      <c r="AV25" s="673"/>
      <c r="AW25" s="673"/>
      <c r="AX25" s="673"/>
      <c r="AY25" s="673"/>
      <c r="AZ25" s="673"/>
      <c r="BA25" s="673"/>
      <c r="BB25" s="673"/>
      <c r="BC25" s="673"/>
      <c r="BD25" s="673"/>
      <c r="BE25" s="675"/>
      <c r="BF25" s="675"/>
      <c r="BG25" s="675"/>
      <c r="BH25" s="675"/>
      <c r="BI25" s="674"/>
      <c r="BJ25" s="675"/>
    </row>
    <row r="26" spans="1:62" ht="9.9499999999999993" customHeight="1">
      <c r="A26" s="634"/>
      <c r="B26" s="635"/>
      <c r="C26" s="276"/>
      <c r="D26" s="636"/>
      <c r="E26" s="637"/>
      <c r="F26" s="637"/>
      <c r="G26" s="637"/>
      <c r="H26" s="637"/>
      <c r="I26" s="637"/>
      <c r="J26" s="637"/>
      <c r="K26" s="638"/>
      <c r="L26" s="636"/>
      <c r="M26" s="637"/>
      <c r="N26" s="637"/>
      <c r="O26" s="639"/>
      <c r="P26" s="639"/>
      <c r="Q26" s="639"/>
      <c r="R26" s="639"/>
      <c r="S26" s="638"/>
      <c r="T26" s="638"/>
      <c r="U26" s="636"/>
      <c r="V26" s="638"/>
      <c r="W26" s="638"/>
      <c r="X26" s="638"/>
      <c r="Y26" s="638"/>
      <c r="Z26" s="638"/>
      <c r="AA26" s="638"/>
      <c r="AB26" s="638"/>
      <c r="AC26" s="638"/>
      <c r="AD26" s="640"/>
      <c r="AE26" s="640"/>
      <c r="AF26" s="640"/>
      <c r="AG26" s="640"/>
      <c r="AH26" s="640"/>
      <c r="AI26" s="640"/>
      <c r="AJ26" s="640"/>
      <c r="AK26" s="640"/>
      <c r="AL26" s="640"/>
      <c r="AM26" s="640"/>
      <c r="AN26" s="640"/>
      <c r="AO26" s="640"/>
      <c r="AP26" s="640"/>
      <c r="AQ26" s="640"/>
      <c r="AR26" s="640"/>
      <c r="AS26" s="641"/>
      <c r="AT26" s="640"/>
      <c r="AU26" s="640"/>
      <c r="AV26" s="640"/>
      <c r="AW26" s="640"/>
      <c r="AX26" s="640"/>
      <c r="AY26" s="640"/>
      <c r="AZ26" s="640"/>
      <c r="BA26" s="640"/>
      <c r="BB26" s="640"/>
      <c r="BC26" s="640"/>
      <c r="BD26" s="640"/>
      <c r="BE26" s="640"/>
      <c r="BF26" s="640"/>
      <c r="BG26" s="640"/>
      <c r="BH26" s="640"/>
      <c r="BI26" s="642"/>
      <c r="BJ26" s="16"/>
    </row>
    <row r="27" spans="1:62" ht="18">
      <c r="A27" s="970" t="b">
        <f>'Evaluation-Bewertung'!A27</f>
        <v>0</v>
      </c>
      <c r="B27" s="48"/>
      <c r="C27" s="223" t="s">
        <v>17</v>
      </c>
      <c r="D27" s="31"/>
      <c r="E27" s="172" t="str">
        <f>'Evaluation-Bewertung'!E27</f>
        <v>Series production</v>
      </c>
      <c r="F27" s="31"/>
      <c r="G27" s="31"/>
      <c r="H27" s="31"/>
      <c r="I27" s="31"/>
      <c r="J27" s="31"/>
      <c r="K27" s="31"/>
      <c r="L27" s="31"/>
      <c r="M27" s="31"/>
      <c r="N27" s="31"/>
      <c r="O27" s="36"/>
      <c r="P27" s="31"/>
      <c r="Q27" s="31"/>
      <c r="R27" s="31"/>
      <c r="S27" s="31"/>
      <c r="T27" s="31"/>
      <c r="U27" s="31"/>
      <c r="V27" s="15"/>
      <c r="W27" s="15"/>
      <c r="X27" s="15"/>
      <c r="Y27" s="15"/>
      <c r="Z27" s="15"/>
      <c r="AA27" s="15"/>
      <c r="AB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6"/>
      <c r="BF27" s="16"/>
      <c r="BG27" s="16"/>
      <c r="BH27" s="16"/>
      <c r="BI27" s="51"/>
      <c r="BJ27" s="16"/>
    </row>
    <row r="28" spans="1:62" ht="15" thickBot="1">
      <c r="A28" s="241" t="s">
        <v>228</v>
      </c>
      <c r="B28" s="48"/>
      <c r="C28" s="33"/>
      <c r="D28" s="31"/>
      <c r="E28" s="31"/>
      <c r="F28" s="31"/>
      <c r="G28" s="31"/>
      <c r="H28" s="31"/>
      <c r="I28" s="31"/>
      <c r="J28" s="31"/>
      <c r="K28" s="31"/>
      <c r="L28" s="390" t="s">
        <v>63</v>
      </c>
      <c r="M28" s="390" t="s">
        <v>111</v>
      </c>
      <c r="N28" s="390" t="s">
        <v>112</v>
      </c>
      <c r="O28" s="628" t="s">
        <v>204</v>
      </c>
      <c r="P28" s="628" t="s">
        <v>216</v>
      </c>
      <c r="Q28" s="390" t="s">
        <v>115</v>
      </c>
      <c r="R28" s="390" t="s">
        <v>116</v>
      </c>
      <c r="S28" s="643" t="str">
        <f>$K$7</f>
        <v>n.e.</v>
      </c>
      <c r="T28" s="643" t="str">
        <f>$L$7</f>
        <v>Act.</v>
      </c>
      <c r="U28" s="643" t="str">
        <f>$M$7</f>
        <v>Target</v>
      </c>
      <c r="V28" s="643" t="s">
        <v>260</v>
      </c>
      <c r="W28" s="643" t="s">
        <v>202</v>
      </c>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16"/>
      <c r="BF28" s="16"/>
      <c r="BG28" s="16"/>
      <c r="BH28" s="16"/>
      <c r="BI28" s="49"/>
      <c r="BJ28" s="34"/>
    </row>
    <row r="29" spans="1:62" ht="16.5" thickBot="1">
      <c r="A29" s="243" t="str">
        <f>IF(COUNT(L29:R29)=0,S28,IF(MIN(L29:R29)=0,"B","A"))</f>
        <v>n.e.</v>
      </c>
      <c r="B29" s="48"/>
      <c r="C29" s="71" t="s">
        <v>99</v>
      </c>
      <c r="D29" s="72" t="str">
        <f>'Questions - Fragen'!C61</f>
        <v xml:space="preserve">Supplier Management </v>
      </c>
      <c r="E29" s="31"/>
      <c r="F29" s="31"/>
      <c r="G29" s="31"/>
      <c r="H29" s="31"/>
      <c r="I29" s="31"/>
      <c r="J29" s="31"/>
      <c r="K29" s="31"/>
      <c r="L29" s="232" t="str">
        <f>IF($A$27=FALSE,$S$28,IF(ISBLANK('Questions - Fragen'!$D62),"--",'Questions - Fragen'!$D62))</f>
        <v>n.e.</v>
      </c>
      <c r="M29" s="232" t="str">
        <f>IF($A$27=FALSE,$S$28,IF(ISBLANK('Questions - Fragen'!$D63),"--",'Questions - Fragen'!$D63))</f>
        <v>n.e.</v>
      </c>
      <c r="N29" s="232" t="str">
        <f>IF($A$27=FALSE,$S$28,IF(ISBLANK('Questions - Fragen'!$D64),"--",'Questions - Fragen'!$D64))</f>
        <v>n.e.</v>
      </c>
      <c r="O29" s="633" t="str">
        <f>IF($A$27=FALSE,$S$28,IF(ISBLANK('Questions - Fragen'!$D65),"--",'Questions - Fragen'!$D65))</f>
        <v>n.e.</v>
      </c>
      <c r="P29" s="633" t="str">
        <f>IF($A$27=FALSE,$S$28,IF(ISBLANK('Questions - Fragen'!$D66),"--",'Questions - Fragen'!$D66))</f>
        <v>n.e.</v>
      </c>
      <c r="Q29" s="232" t="str">
        <f>IF($A$27=FALSE,$S$28,IF(ISBLANK('Questions - Fragen'!$D67),"--",'Questions - Fragen'!$D67))</f>
        <v>n.e.</v>
      </c>
      <c r="R29" s="232" t="str">
        <f>IF($A$27=FALSE,$S$28,IF(ISBLANK('Questions - Fragen'!$D68),"--",'Questions - Fragen'!$D68))</f>
        <v>n.e.</v>
      </c>
      <c r="S29" s="753">
        <f>COUNTIF(L29:R29,"&gt;-")</f>
        <v>7</v>
      </c>
      <c r="T29" s="753">
        <f>COUNT(L29:R29)</f>
        <v>0</v>
      </c>
      <c r="U29" s="753">
        <v>5</v>
      </c>
      <c r="V29" s="753" t="str">
        <f>IF(AND($A27,T29&gt;=U29),T29*10,"--")</f>
        <v>--</v>
      </c>
      <c r="W29" s="753" t="str">
        <f>IF(AND($A27,T29&gt;=U29),SUM(L29:R29),"--")</f>
        <v>--</v>
      </c>
      <c r="X29" s="31"/>
      <c r="Y29" s="31"/>
      <c r="Z29" s="31"/>
      <c r="AA29" s="31"/>
      <c r="AB29" s="31"/>
      <c r="AC29" s="31"/>
      <c r="AD29" s="31"/>
      <c r="AE29" s="31"/>
      <c r="AF29" s="31"/>
      <c r="AG29" s="31"/>
      <c r="AH29" s="31"/>
      <c r="AI29" s="31"/>
      <c r="AJ29" s="31"/>
      <c r="AK29" s="31"/>
      <c r="AL29" s="31"/>
      <c r="AM29" s="31"/>
      <c r="AN29" s="31"/>
      <c r="AO29" s="31"/>
      <c r="AP29" s="31"/>
      <c r="AQ29" s="1518" t="s">
        <v>302</v>
      </c>
      <c r="AR29" s="1519"/>
      <c r="AS29" s="1515" t="str">
        <f>IF(AND(A27,T29&gt;=U29),ROUND(W29/V29,2),S28)</f>
        <v>n.e.</v>
      </c>
      <c r="AT29" s="1516"/>
      <c r="AU29" s="16"/>
      <c r="AV29" s="184"/>
      <c r="AW29" s="184"/>
      <c r="AX29" s="184"/>
      <c r="AY29" s="184"/>
      <c r="AZ29" s="184"/>
      <c r="BA29" s="184"/>
      <c r="BB29" s="184"/>
      <c r="BC29" s="184"/>
      <c r="BD29" s="184"/>
      <c r="BE29" s="16"/>
      <c r="BF29" s="16"/>
      <c r="BG29" s="16"/>
      <c r="BH29" s="16"/>
      <c r="BI29" s="49"/>
      <c r="BJ29" s="34"/>
    </row>
    <row r="30" spans="1:62" ht="15">
      <c r="B30" s="48"/>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6"/>
      <c r="AJ30" s="36"/>
      <c r="AK30" s="36"/>
      <c r="AL30" s="36"/>
      <c r="AM30" s="31"/>
      <c r="AN30" s="31"/>
      <c r="AO30" s="31"/>
      <c r="AP30" s="31"/>
      <c r="AQ30" s="495"/>
      <c r="AR30" s="494"/>
      <c r="AS30" s="256"/>
      <c r="AT30" s="495"/>
      <c r="AU30" s="495"/>
      <c r="AV30" s="495"/>
      <c r="AW30" s="495"/>
      <c r="AX30" s="495"/>
      <c r="AY30" s="495"/>
      <c r="AZ30" s="495"/>
      <c r="BA30" s="495"/>
      <c r="BB30" s="495"/>
      <c r="BC30" s="495"/>
      <c r="BD30" s="495"/>
      <c r="BE30" s="16"/>
      <c r="BF30" s="16"/>
      <c r="BG30" s="16"/>
      <c r="BH30" s="16"/>
      <c r="BI30" s="52"/>
      <c r="BJ30" s="495"/>
    </row>
    <row r="31" spans="1:62" ht="15.75">
      <c r="A31" s="48" t="b">
        <f>'Evaluation-Bewertung'!A31</f>
        <v>1</v>
      </c>
      <c r="B31" s="48"/>
      <c r="C31" s="71" t="s">
        <v>100</v>
      </c>
      <c r="D31" s="72" t="str">
        <f>'Questions - Fragen'!C69</f>
        <v xml:space="preserve">Process analysis /
production </v>
      </c>
      <c r="E31" s="36"/>
      <c r="F31" s="36"/>
      <c r="G31" s="36"/>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166"/>
      <c r="AR31" s="15"/>
      <c r="AS31" s="36"/>
      <c r="AT31" s="36"/>
      <c r="AU31" s="36"/>
      <c r="AV31" s="36"/>
      <c r="AW31" s="36"/>
      <c r="AX31" s="36"/>
      <c r="AY31" s="36"/>
      <c r="AZ31" s="36"/>
      <c r="BA31" s="36"/>
      <c r="BB31" s="36"/>
      <c r="BC31" s="36"/>
      <c r="BD31" s="36"/>
      <c r="BE31" s="16"/>
      <c r="BF31" s="16"/>
      <c r="BG31" s="16"/>
      <c r="BH31" s="16"/>
      <c r="BI31" s="188"/>
      <c r="BJ31" s="36"/>
    </row>
    <row r="32" spans="1:62" ht="15">
      <c r="B32" s="48"/>
      <c r="C32" s="33"/>
      <c r="D32" s="31"/>
      <c r="E32" s="31"/>
      <c r="F32" s="31"/>
      <c r="G32" s="31"/>
      <c r="H32" s="31"/>
      <c r="I32" s="31"/>
      <c r="J32" s="31"/>
      <c r="K32" s="31"/>
      <c r="L32" s="31"/>
      <c r="M32" s="31"/>
      <c r="N32" s="31"/>
      <c r="O32" s="36"/>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16"/>
      <c r="BF32" s="16"/>
      <c r="BG32" s="16"/>
      <c r="BH32" s="16"/>
      <c r="BI32" s="49"/>
      <c r="BJ32" s="34"/>
    </row>
    <row r="33" spans="1:62" ht="38.25" customHeight="1">
      <c r="B33" s="48"/>
      <c r="C33" s="15"/>
      <c r="D33" s="40" t="str">
        <f>'Evaluation-Bewertung'!D33</f>
        <v>1. Process input</v>
      </c>
      <c r="E33" s="189"/>
      <c r="F33" s="189"/>
      <c r="G33" s="189"/>
      <c r="H33" s="189"/>
      <c r="I33" s="15"/>
      <c r="J33" s="1501" t="str">
        <f>'Evaluation-Bewertung'!J33</f>
        <v>2. Process Management</v>
      </c>
      <c r="K33" s="1501" t="e">
        <f>'Evaluation-Bewertung'!K33</f>
        <v>#N/A</v>
      </c>
      <c r="L33" s="1501" t="e">
        <f>'Evaluation-Bewertung'!L33</f>
        <v>#N/A</v>
      </c>
      <c r="M33" s="1501" t="e">
        <f>'Evaluation-Bewertung'!M33</f>
        <v>#N/A</v>
      </c>
      <c r="N33" s="1501" t="e">
        <f>'Evaluation-Bewertung'!N33</f>
        <v>#N/A</v>
      </c>
      <c r="O33" s="1501" t="e">
        <f>'Evaluation-Bewertung'!O33</f>
        <v>#N/A</v>
      </c>
      <c r="P33" s="1501" t="str">
        <f>'Evaluation-Bewertung'!P33</f>
        <v>3. Process support</v>
      </c>
      <c r="Q33" s="1501" t="e">
        <f>'Evaluation-Bewertung'!Q33</f>
        <v>#N/A</v>
      </c>
      <c r="R33" s="1501" t="e">
        <f>'Evaluation-Bewertung'!R33</f>
        <v>#N/A</v>
      </c>
      <c r="S33" s="189"/>
      <c r="T33" s="1502" t="str">
        <f>'Evaluation-Bewertung'!T33</f>
        <v>4. Material resources</v>
      </c>
      <c r="U33" s="1502" t="e">
        <f>'Evaluation-Bewertung'!U33</f>
        <v>#N/A</v>
      </c>
      <c r="V33" s="1502" t="e">
        <f>'Evaluation-Bewertung'!V33</f>
        <v>#N/A</v>
      </c>
      <c r="W33" s="1502" t="e">
        <f>'Evaluation-Bewertung'!W33</f>
        <v>#N/A</v>
      </c>
      <c r="X33" s="1502" t="e">
        <f>'Evaluation-Bewertung'!X33</f>
        <v>#N/A</v>
      </c>
      <c r="Z33" s="1502" t="str">
        <f>'Evaluation-Bewertung'!Z33</f>
        <v>5. Effectiveness of the process</v>
      </c>
      <c r="AA33" s="1502" t="e">
        <f>'Evaluation-Bewertung'!AA33</f>
        <v>#N/A</v>
      </c>
      <c r="AB33" s="1502" t="e">
        <f>'Evaluation-Bewertung'!AB33</f>
        <v>#N/A</v>
      </c>
      <c r="AC33" s="1502" t="e">
        <f>'Evaluation-Bewertung'!AC33</f>
        <v>#N/A</v>
      </c>
      <c r="AD33" s="189"/>
      <c r="AE33" s="1502" t="str">
        <f>'Evaluation-Bewertung'!AE33</f>
        <v>6. Process result / Output</v>
      </c>
      <c r="AF33" s="1502" t="e">
        <f>'Evaluation-Bewertung'!AF33</f>
        <v>#N/A</v>
      </c>
      <c r="AG33" s="1502" t="e">
        <f>'Evaluation-Bewertung'!AG33</f>
        <v>#N/A</v>
      </c>
      <c r="AH33" s="1502" t="e">
        <f>'Evaluation-Bewertung'!AH33</f>
        <v>#N/A</v>
      </c>
      <c r="AI33" s="189"/>
      <c r="AJ33" s="189"/>
      <c r="AK33" s="189"/>
      <c r="AL33" s="189"/>
      <c r="AM33" s="15"/>
      <c r="AN33" s="15"/>
      <c r="AO33" s="15"/>
      <c r="AP33" s="15"/>
      <c r="AQ33" s="1586" t="str">
        <f>'Evaluation-Bewertung'!AQ33</f>
        <v>Level of compliance process step</v>
      </c>
      <c r="AR33" s="1586" t="e">
        <f>'Evaluation-Bewertung'!AR33</f>
        <v>#N/A</v>
      </c>
      <c r="AS33" s="1586" t="e">
        <f>'Evaluation-Bewertung'!AS33</f>
        <v>#N/A</v>
      </c>
      <c r="AT33" s="1586" t="e">
        <f>'Evaluation-Bewertung'!AT33</f>
        <v>#N/A</v>
      </c>
      <c r="AU33" s="189"/>
      <c r="AX33" s="190" t="str">
        <f>'Evaluation-Bewertung'!AX33</f>
        <v>7. Transport and handling of parts</v>
      </c>
      <c r="AY33" s="189"/>
      <c r="AZ33" s="189"/>
      <c r="BA33" s="189"/>
      <c r="BB33" s="189"/>
      <c r="BC33" s="189"/>
      <c r="BD33" s="189"/>
      <c r="BE33" s="189"/>
      <c r="BF33" s="16"/>
      <c r="BG33" s="16"/>
      <c r="BH33" s="16"/>
      <c r="BI33" s="191"/>
      <c r="BJ33" s="41"/>
    </row>
    <row r="34" spans="1:62">
      <c r="B34" s="48"/>
      <c r="C34" s="29"/>
      <c r="D34" s="339" t="s">
        <v>117</v>
      </c>
      <c r="E34" s="340" t="s">
        <v>48</v>
      </c>
      <c r="F34" s="339" t="s">
        <v>34</v>
      </c>
      <c r="G34" s="339" t="s">
        <v>35</v>
      </c>
      <c r="H34" s="629" t="s">
        <v>209</v>
      </c>
      <c r="I34" s="341"/>
      <c r="J34" s="339" t="s">
        <v>119</v>
      </c>
      <c r="K34" s="340" t="s">
        <v>0</v>
      </c>
      <c r="L34" s="629" t="s">
        <v>57</v>
      </c>
      <c r="M34" s="629" t="s">
        <v>58</v>
      </c>
      <c r="N34" s="339" t="s">
        <v>37</v>
      </c>
      <c r="O34" s="16"/>
      <c r="P34" s="629" t="s">
        <v>304</v>
      </c>
      <c r="Q34" s="339" t="s">
        <v>4</v>
      </c>
      <c r="R34" s="339" t="s">
        <v>39</v>
      </c>
      <c r="S34" s="340"/>
      <c r="T34" s="629" t="s">
        <v>211</v>
      </c>
      <c r="U34" s="339" t="s">
        <v>121</v>
      </c>
      <c r="V34" s="629" t="s">
        <v>212</v>
      </c>
      <c r="W34" s="339" t="s">
        <v>42</v>
      </c>
      <c r="X34" s="339" t="s">
        <v>213</v>
      </c>
      <c r="Z34" s="339" t="s">
        <v>43</v>
      </c>
      <c r="AA34" s="339" t="s">
        <v>44</v>
      </c>
      <c r="AB34" s="629" t="s">
        <v>436</v>
      </c>
      <c r="AC34" s="339" t="s">
        <v>124</v>
      </c>
      <c r="AD34" s="341"/>
      <c r="AE34" s="339" t="s">
        <v>126</v>
      </c>
      <c r="AF34" s="339" t="s">
        <v>45</v>
      </c>
      <c r="AG34" s="339" t="s">
        <v>46</v>
      </c>
      <c r="AH34" s="629" t="s">
        <v>214</v>
      </c>
      <c r="AI34" s="342"/>
      <c r="AJ34" s="342"/>
      <c r="AK34" s="342"/>
      <c r="AL34" s="342"/>
      <c r="AM34" s="342"/>
      <c r="AN34" s="342"/>
      <c r="AO34" s="342"/>
      <c r="AP34" s="342"/>
      <c r="AQ34" s="342"/>
      <c r="AR34" s="343"/>
      <c r="AS34" s="344"/>
      <c r="AT34" s="345"/>
      <c r="AU34" s="345"/>
      <c r="AX34" s="346" t="s">
        <v>48</v>
      </c>
      <c r="AY34" s="345" t="s">
        <v>34</v>
      </c>
      <c r="AZ34" s="345" t="s">
        <v>35</v>
      </c>
      <c r="BA34" s="345" t="s">
        <v>2</v>
      </c>
      <c r="BB34" s="345" t="s">
        <v>37</v>
      </c>
      <c r="BC34" s="345" t="s">
        <v>126</v>
      </c>
      <c r="BD34" s="345" t="s">
        <v>45</v>
      </c>
      <c r="BE34" s="345" t="s">
        <v>46</v>
      </c>
      <c r="BF34" s="16"/>
      <c r="BG34" s="16"/>
      <c r="BH34" s="16"/>
      <c r="BI34" s="53"/>
      <c r="BJ34" s="42"/>
    </row>
    <row r="35" spans="1:62" ht="15.75" thickBot="1">
      <c r="B35" s="48"/>
      <c r="C35" s="193"/>
      <c r="D35" s="185" t="s">
        <v>60</v>
      </c>
      <c r="E35" s="185"/>
      <c r="F35" s="175"/>
      <c r="G35" s="175"/>
      <c r="H35" s="630"/>
      <c r="I35" s="185" t="str">
        <f>PrSchr1</f>
        <v>Stage 1: Moldshop Process</v>
      </c>
      <c r="K35" s="175"/>
      <c r="L35" s="631"/>
      <c r="M35" s="631"/>
      <c r="N35" s="175"/>
      <c r="O35" s="16"/>
      <c r="P35" s="631"/>
      <c r="Q35" s="175"/>
      <c r="R35" s="175"/>
      <c r="S35" s="175"/>
      <c r="T35" s="631"/>
      <c r="U35" s="175"/>
      <c r="V35" s="631"/>
      <c r="W35" s="175"/>
      <c r="X35" s="175"/>
      <c r="Z35" s="175"/>
      <c r="AA35" s="175"/>
      <c r="AB35" s="631"/>
      <c r="AC35" s="175"/>
      <c r="AD35" s="175"/>
      <c r="AE35" s="175"/>
      <c r="AF35" s="175"/>
      <c r="AG35" s="175"/>
      <c r="AH35" s="631"/>
      <c r="AI35" s="643" t="str">
        <f>$K$7</f>
        <v>n.e.</v>
      </c>
      <c r="AJ35" s="643" t="str">
        <f>$L$7</f>
        <v>Act.</v>
      </c>
      <c r="AK35" s="643" t="str">
        <f>$M$7</f>
        <v>Target</v>
      </c>
      <c r="AL35" s="643" t="str">
        <f>N7</f>
        <v>Max.</v>
      </c>
      <c r="AM35" s="643" t="str">
        <f>O7</f>
        <v>Act.</v>
      </c>
      <c r="AN35" s="643"/>
      <c r="AO35" s="643"/>
      <c r="AP35" s="643"/>
      <c r="AQ35" s="30"/>
      <c r="AR35" s="40" t="s">
        <v>69</v>
      </c>
      <c r="AS35" s="171"/>
      <c r="AT35" s="165"/>
      <c r="AU35" s="165"/>
      <c r="AX35" s="165"/>
      <c r="AY35" s="165"/>
      <c r="AZ35" s="627"/>
      <c r="BA35" s="627"/>
      <c r="BB35" s="627"/>
      <c r="BC35" s="627"/>
      <c r="BD35" s="627"/>
      <c r="BE35" s="627"/>
      <c r="BF35" s="16"/>
      <c r="BG35" s="16"/>
      <c r="BH35" s="16"/>
      <c r="BI35" s="51"/>
      <c r="BJ35" s="16"/>
    </row>
    <row r="36" spans="1:62" ht="15.75" thickBot="1">
      <c r="A36" s="243" t="str">
        <f>IF(COUNT(D36:AH36)=0,"n.b.",IF(MIN(D36:H36,J36:N36,P36:R36,T36:X36,Z36:AC36,AE36:AH36)=0,"B","A"))</f>
        <v>A</v>
      </c>
      <c r="B36" s="48"/>
      <c r="C36" s="194" t="str">
        <f>IF(AND('Evaluation-Bewertung'!$C$36="X",'Input Form - EingabeMaske'!C54="x"),"X","&lt;&gt;")</f>
        <v>X</v>
      </c>
      <c r="D36" s="232">
        <f>IF($A$31=FALSE,$AI$35,IF($C36="X",IF(ISBLANK('Questions - Fragen'!$D72),"--",'Questions - Fragen'!$D72),"xx"))</f>
        <v>10</v>
      </c>
      <c r="E36" s="232">
        <f>IF($A$31=FALSE,$AI$35,IF($C36="X",IF(ISBLANK('Questions - Fragen'!$D83),"--",'Questions - Fragen'!$D83),"xx"))</f>
        <v>10</v>
      </c>
      <c r="F36" s="232">
        <f>IF($A$31=FALSE,$AI$35,IF($C36="X",IF(ISBLANK('Questions - Fragen'!$D94),"--",'Questions - Fragen'!$D94),"xx"))</f>
        <v>10</v>
      </c>
      <c r="G36" s="232">
        <f>IF($A$31=FALSE,$AI$35,IF($C36="X",IF(ISBLANK('Questions - Fragen'!$D105),"--",'Questions - Fragen'!$D105),"xx"))</f>
        <v>10</v>
      </c>
      <c r="H36" s="633" t="str">
        <f>IF($A$31=FALSE,$AI$35,IF($C36="X",IF(ISBLANK('Questions - Fragen'!$D116),"--",'Questions - Fragen'!$D116),"xx"))</f>
        <v>n.e.</v>
      </c>
      <c r="I36" s="226"/>
      <c r="J36" s="232" t="str">
        <f>IF($A$31=FALSE,$AI$35,IF($C36="X",IF(ISBLANK('Questions - Fragen'!$D128),"--",'Questions - Fragen'!$D128),"xx"))</f>
        <v>n.e.</v>
      </c>
      <c r="K36" s="232" t="str">
        <f>IF($A$31=FALSE,$AI$35,IF($C36="X",IF(ISBLANK('Questions - Fragen'!$D139),"--",'Questions - Fragen'!$D139),"xx"))</f>
        <v>n.e.</v>
      </c>
      <c r="L36" s="633" t="str">
        <f>IF($A$31=FALSE,$AI$35,IF($C36="X",IF(ISBLANK('Questions - Fragen'!$D150),"--",'Questions - Fragen'!$D150),"xx"))</f>
        <v>n.e.</v>
      </c>
      <c r="M36" s="633">
        <f>IF($A$31=FALSE,$AI$35,IF($C36="X",IF(ISBLANK('Questions - Fragen'!$D161),"--",'Questions - Fragen'!$D161),"xx"))</f>
        <v>10</v>
      </c>
      <c r="N36" s="232">
        <f>IF($A$31=FALSE,$AI$35,IF($C36="X",IF(ISBLANK('Questions - Fragen'!$D172),"--",'Questions - Fragen'!$D172),"xx"))</f>
        <v>10</v>
      </c>
      <c r="O36" s="16"/>
      <c r="P36" s="633">
        <f>IF($A$31=FALSE,$AI$35,IF($C36="X",IF(ISBLANK('Questions - Fragen'!$D184),"--",'Questions - Fragen'!$D184),"xx"))</f>
        <v>10</v>
      </c>
      <c r="Q36" s="232">
        <f>IF($A$31=FALSE,$AI$35,IF($C36="X",IF(ISBLANK('Questions - Fragen'!$D195),"--",'Questions - Fragen'!$D195),"xx"))</f>
        <v>10</v>
      </c>
      <c r="R36" s="232">
        <f>IF($A$31=FALSE,$AI$35,IF($C36="X",IF(ISBLANK('Questions - Fragen'!$D206),"--",'Questions - Fragen'!$D206),"xx"))</f>
        <v>10</v>
      </c>
      <c r="S36" s="226"/>
      <c r="T36" s="633" t="str">
        <f>IF($A$31=FALSE,$AI$35,IF($C36="X",IF(ISBLANK('Questions - Fragen'!$D218),"--",'Questions - Fragen'!$D218),"xx"))</f>
        <v>n.e.</v>
      </c>
      <c r="U36" s="232">
        <f>IF($A$31=FALSE,$AI$35,IF($C36="X",IF(ISBLANK('Questions - Fragen'!$D229),"--",'Questions - Fragen'!$D229),"xx"))</f>
        <v>6</v>
      </c>
      <c r="V36" s="633">
        <f>IF($A$31=FALSE,$AI$35,IF($C36="X",IF(ISBLANK('Questions - Fragen'!$D240),"--",'Questions - Fragen'!$D240),"xx"))</f>
        <v>10</v>
      </c>
      <c r="W36" s="232">
        <f>IF($A$31=FALSE,$AI$35,IF($C36="X",IF(ISBLANK('Questions - Fragen'!$D251),"--",'Questions - Fragen'!$D251),"xx"))</f>
        <v>10</v>
      </c>
      <c r="X36" s="232">
        <f>IF($A$31=FALSE,$AI$35,IF($C36="X",IF(ISBLANK('Questions - Fragen'!$D262),"--",'Questions - Fragen'!$D262),"xx"))</f>
        <v>10</v>
      </c>
      <c r="Z36" s="232">
        <f>IF($A$31=FALSE,$AI$35,IF($C36="X",IF(ISBLANK('Questions - Fragen'!$D274),"--",'Questions - Fragen'!$D274),"xx"))</f>
        <v>10</v>
      </c>
      <c r="AA36" s="232">
        <f>IF($A$31=FALSE,$AI$35,IF($C36="X",IF(ISBLANK('Questions - Fragen'!$D285),"--",'Questions - Fragen'!$D285),"xx"))</f>
        <v>10</v>
      </c>
      <c r="AB36" s="633">
        <f>IF($A$31=FALSE,$AI$35,IF($C36="X",IF(ISBLANK('Questions - Fragen'!$D296),"--",'Questions - Fragen'!$D296),"xx"))</f>
        <v>10</v>
      </c>
      <c r="AC36" s="232">
        <f>IF($A$31=FALSE,$AI$35,IF($C36="X",IF(ISBLANK('Questions - Fragen'!$D307),"--",'Questions - Fragen'!$D307),"xx"))</f>
        <v>10</v>
      </c>
      <c r="AD36" s="226"/>
      <c r="AE36" s="232">
        <f>IF($A$31=FALSE,$AI$35,IF($C36="X",IF(ISBLANK('Questions - Fragen'!$D319),"--",'Questions - Fragen'!$D319),"xx"))</f>
        <v>10</v>
      </c>
      <c r="AF36" s="232">
        <f>IF($A$31=FALSE,$AI$35,IF($C36="X",IF(ISBLANK('Questions - Fragen'!$D330),"--",'Questions - Fragen'!$D330),"xx"))</f>
        <v>10</v>
      </c>
      <c r="AG36" s="232">
        <f>IF($A$31=FALSE,$AI$35,IF($C36="X",IF(ISBLANK('Questions - Fragen'!$D341),"--",'Questions - Fragen'!$D341),"xx"))</f>
        <v>8</v>
      </c>
      <c r="AH36" s="633">
        <f>IF($A$31=FALSE,$AI$35,IF($C36="X",IF(ISBLANK('Questions - Fragen'!$D352),"--",'Questions - Fragen'!$D352),"xx"))</f>
        <v>10</v>
      </c>
      <c r="AI36" s="753">
        <f>COUNTIF(D36:AH36,"&gt;-")</f>
        <v>5</v>
      </c>
      <c r="AJ36" s="753">
        <f>COUNT(D36:AH36)</f>
        <v>21</v>
      </c>
      <c r="AK36" s="753">
        <v>17</v>
      </c>
      <c r="AL36" s="753">
        <f>IF(AND($A$31,AJ36&gt;=AK36),AJ36*10,"--")</f>
        <v>210</v>
      </c>
      <c r="AM36" s="753">
        <f>IF(AND($A$31,AJ36&gt;=AK36),SUM(D36:AH36),"--")</f>
        <v>204</v>
      </c>
      <c r="AN36" s="643"/>
      <c r="AO36" s="643"/>
      <c r="AP36" s="643"/>
      <c r="AQ36" s="39"/>
      <c r="AR36" s="43"/>
      <c r="AS36" s="1469">
        <f>IF($A$31=FALSE,$AI$35,IF(C36="&lt;&gt;","xx",IF(AJ36&lt;AK36,$AI$35,ROUND(AM36/AL36,2))))</f>
        <v>0.97</v>
      </c>
      <c r="AT36" s="1470"/>
      <c r="AU36" s="16"/>
      <c r="AX36" s="784">
        <f>E36</f>
        <v>10</v>
      </c>
      <c r="AY36" s="784">
        <f>F36</f>
        <v>10</v>
      </c>
      <c r="AZ36" s="784">
        <f>G36</f>
        <v>10</v>
      </c>
      <c r="BA36" s="784">
        <f>M36</f>
        <v>10</v>
      </c>
      <c r="BB36" s="784">
        <f>N36</f>
        <v>10</v>
      </c>
      <c r="BC36" s="784">
        <f>AE36</f>
        <v>10</v>
      </c>
      <c r="BD36" s="784">
        <f>AF36</f>
        <v>10</v>
      </c>
      <c r="BE36" s="784">
        <f>AG36</f>
        <v>8</v>
      </c>
      <c r="BF36" s="15"/>
      <c r="BG36" s="16"/>
      <c r="BH36" s="16"/>
      <c r="BI36" s="51"/>
      <c r="BJ36" s="74"/>
    </row>
    <row r="37" spans="1:62" ht="15.75" hidden="1" thickBot="1">
      <c r="B37" s="48"/>
      <c r="C37" s="193"/>
      <c r="D37" s="185" t="s">
        <v>61</v>
      </c>
      <c r="E37" s="185"/>
      <c r="F37" s="176"/>
      <c r="G37" s="176"/>
      <c r="H37" s="630"/>
      <c r="I37" s="185" t="str">
        <f>PrSchr2</f>
        <v>Stage 2:</v>
      </c>
      <c r="K37" s="176"/>
      <c r="L37" s="632"/>
      <c r="M37" s="632"/>
      <c r="N37" s="176"/>
      <c r="O37" s="16"/>
      <c r="P37" s="632"/>
      <c r="Q37" s="176"/>
      <c r="R37" s="176"/>
      <c r="S37" s="176"/>
      <c r="T37" s="632"/>
      <c r="U37" s="176"/>
      <c r="V37" s="632"/>
      <c r="W37" s="176"/>
      <c r="X37" s="176"/>
      <c r="Z37" s="176"/>
      <c r="AA37" s="176"/>
      <c r="AB37" s="632"/>
      <c r="AC37" s="176"/>
      <c r="AD37" s="176"/>
      <c r="AE37" s="176"/>
      <c r="AF37" s="176"/>
      <c r="AG37" s="176"/>
      <c r="AH37" s="632"/>
      <c r="AI37" s="176"/>
      <c r="AJ37" s="176"/>
      <c r="AK37" s="176"/>
      <c r="AL37" s="16"/>
      <c r="AM37" s="31"/>
      <c r="AN37" s="643"/>
      <c r="AO37" s="643"/>
      <c r="AP37" s="643"/>
      <c r="AQ37" s="31"/>
      <c r="AR37" s="40" t="s">
        <v>70</v>
      </c>
      <c r="AS37" s="400"/>
      <c r="AT37" s="401"/>
      <c r="AU37" s="495"/>
      <c r="AX37" s="672"/>
      <c r="AY37" s="672"/>
      <c r="AZ37" s="672"/>
      <c r="BA37" s="672"/>
      <c r="BB37" s="672"/>
      <c r="BC37" s="672"/>
      <c r="BD37" s="672"/>
      <c r="BE37" s="672"/>
      <c r="BF37" s="15"/>
      <c r="BG37" s="16"/>
      <c r="BH37" s="16"/>
      <c r="BI37" s="51"/>
      <c r="BJ37" s="74"/>
    </row>
    <row r="38" spans="1:62" ht="15.75" hidden="1" thickBot="1">
      <c r="A38" s="243" t="str">
        <f t="shared" ref="A38" si="2">IF(COUNT(D38:AH38)=0,"n.b.",IF(MIN(D38:H38,J38:N38,P38:R38,T38:X38,Z38:AC38,AE38:AH38)=0,"B","A"))</f>
        <v>n.b.</v>
      </c>
      <c r="B38" s="48"/>
      <c r="C38" s="194" t="str">
        <f>IF(AND('Evaluation-Bewertung'!$C$38="X",'Input Form - EingabeMaske'!C55="x"),"X","&lt;&gt;")</f>
        <v>&lt;&gt;</v>
      </c>
      <c r="D38" s="232" t="str">
        <f>IF($A$31=FALSE,$AI$35,IF($C38="X",IF(ISBLANK('Questions - Fragen'!$D73),"--",'Questions - Fragen'!$D73),"xx"))</f>
        <v>xx</v>
      </c>
      <c r="E38" s="232" t="str">
        <f>IF($A$31=FALSE,$AI$35,IF($C38="X",IF(ISBLANK('Questions - Fragen'!$D84),"--",'Questions - Fragen'!$D84),"xx"))</f>
        <v>xx</v>
      </c>
      <c r="F38" s="232" t="str">
        <f>IF($A$31=FALSE,$AI$35,IF($C38="X",IF(ISBLANK('Questions - Fragen'!$D95),"--",'Questions - Fragen'!$D95),"xx"))</f>
        <v>xx</v>
      </c>
      <c r="G38" s="232" t="str">
        <f>IF($A$31=FALSE,$AI$35,IF($C38="X",IF(ISBLANK('Questions - Fragen'!$D106),"--",'Questions - Fragen'!$D106),"xx"))</f>
        <v>xx</v>
      </c>
      <c r="H38" s="633" t="str">
        <f>IF($A$31=FALSE,$AI$35,IF($C38="X",IF(ISBLANK('Questions - Fragen'!$D117),"--",'Questions - Fragen'!$D117),"xx"))</f>
        <v>xx</v>
      </c>
      <c r="I38" s="226"/>
      <c r="J38" s="232" t="str">
        <f>IF($A$31=FALSE,$AI$35,IF($C38="X",IF(ISBLANK('Questions - Fragen'!$D129),"--",'Questions - Fragen'!$D129),"xx"))</f>
        <v>xx</v>
      </c>
      <c r="K38" s="232" t="str">
        <f>IF($A$31=FALSE,$AI$35,IF($C38="X",IF(ISBLANK('Questions - Fragen'!$D140),"--",'Questions - Fragen'!$D140),"xx"))</f>
        <v>xx</v>
      </c>
      <c r="L38" s="633" t="str">
        <f>IF($A$31=FALSE,$AI$35,IF($C38="X",IF(ISBLANK('Questions - Fragen'!$D151),"--",'Questions - Fragen'!$D151),"xx"))</f>
        <v>xx</v>
      </c>
      <c r="M38" s="633" t="str">
        <f>IF($A$31=FALSE,$AI$35,IF($C38="X",IF(ISBLANK('Questions - Fragen'!$D162),"--",'Questions - Fragen'!$D162),"xx"))</f>
        <v>xx</v>
      </c>
      <c r="N38" s="232" t="str">
        <f>IF($A$31=FALSE,$AI$35,IF($C38="X",IF(ISBLANK('Questions - Fragen'!$D173),"--",'Questions - Fragen'!$D173),"xx"))</f>
        <v>xx</v>
      </c>
      <c r="O38" s="16"/>
      <c r="P38" s="633" t="str">
        <f>IF($A$31=FALSE,$AI$35,IF($C38="X",IF(ISBLANK('Questions - Fragen'!$D185),"--",'Questions - Fragen'!$D185),"xx"))</f>
        <v>xx</v>
      </c>
      <c r="Q38" s="232" t="str">
        <f>IF($A$31=FALSE,$AI$35,IF($C38="X",IF(ISBLANK('Questions - Fragen'!$D196),"--",'Questions - Fragen'!$D196),"xx"))</f>
        <v>xx</v>
      </c>
      <c r="R38" s="232" t="str">
        <f>IF($A$31=FALSE,$AI$35,IF($C38="X",IF(ISBLANK('Questions - Fragen'!$D207),"--",'Questions - Fragen'!$D207),"xx"))</f>
        <v>xx</v>
      </c>
      <c r="S38" s="226"/>
      <c r="T38" s="633" t="str">
        <f>IF($A$31=FALSE,$AI$35,IF($C38="X",IF(ISBLANK('Questions - Fragen'!$D219),"--",'Questions - Fragen'!$D219),"xx"))</f>
        <v>xx</v>
      </c>
      <c r="U38" s="232" t="str">
        <f>IF($A$31=FALSE,$AI$35,IF($C38="X",IF(ISBLANK('Questions - Fragen'!$D230),"--",'Questions - Fragen'!$D230),"xx"))</f>
        <v>xx</v>
      </c>
      <c r="V38" s="633" t="str">
        <f>IF($A$31=FALSE,$AI$35,IF($C38="X",IF(ISBLANK('Questions - Fragen'!$D241),"--",'Questions - Fragen'!$D241),"xx"))</f>
        <v>xx</v>
      </c>
      <c r="W38" s="232" t="str">
        <f>IF($A$31=FALSE,$AI$35,IF($C38="X",IF(ISBLANK('Questions - Fragen'!$D252),"--",'Questions - Fragen'!$D252),"xx"))</f>
        <v>xx</v>
      </c>
      <c r="X38" s="232" t="str">
        <f>IF($A$31=FALSE,$AI$35,IF($C38="X",IF(ISBLANK('Questions - Fragen'!$D263),"--",'Questions - Fragen'!$D263),"xx"))</f>
        <v>xx</v>
      </c>
      <c r="Z38" s="232" t="str">
        <f>IF($A$31=FALSE,$AI$35,IF($C38="X",IF(ISBLANK('Questions - Fragen'!$D275),"--",'Questions - Fragen'!$D275),"xx"))</f>
        <v>xx</v>
      </c>
      <c r="AA38" s="232" t="str">
        <f>IF($A$31=FALSE,$AI$35,IF($C38="X",IF(ISBLANK('Questions - Fragen'!$D286),"--",'Questions - Fragen'!$D286),"xx"))</f>
        <v>xx</v>
      </c>
      <c r="AB38" s="633" t="str">
        <f>IF($A$31=FALSE,$AI$35,IF($C38="X",IF(ISBLANK('Questions - Fragen'!$D297),"--",'Questions - Fragen'!$D297),"xx"))</f>
        <v>xx</v>
      </c>
      <c r="AC38" s="232" t="str">
        <f>IF($A$31=FALSE,$AI$35,IF($C38="X",IF(ISBLANK('Questions - Fragen'!$D308),"--",'Questions - Fragen'!$D308),"xx"))</f>
        <v>xx</v>
      </c>
      <c r="AD38" s="226"/>
      <c r="AE38" s="232" t="str">
        <f>IF($A$31=FALSE,$AI$35,IF($C38="X",IF(ISBLANK('Questions - Fragen'!$D320),"--",'Questions - Fragen'!$D320),"xx"))</f>
        <v>xx</v>
      </c>
      <c r="AF38" s="232" t="str">
        <f>IF($A$31=FALSE,$AI$35,IF($C38="X",IF(ISBLANK('Questions - Fragen'!$D331),"--",'Questions - Fragen'!$D331),"xx"))</f>
        <v>xx</v>
      </c>
      <c r="AG38" s="232" t="str">
        <f>IF($A$31=FALSE,$AI$35,IF($C38="X",IF(ISBLANK('Questions - Fragen'!$D342),"--",'Questions - Fragen'!$D342),"xx"))</f>
        <v>xx</v>
      </c>
      <c r="AH38" s="633" t="str">
        <f>IF($A$31=FALSE,$AI$35,IF($C38="X",IF(ISBLANK('Questions - Fragen'!$D353),"--",'Questions - Fragen'!$D353),"xx"))</f>
        <v>xx</v>
      </c>
      <c r="AI38" s="753">
        <f t="shared" ref="AI38" si="3">COUNTIF(D38:AH38,"&gt;-")</f>
        <v>26</v>
      </c>
      <c r="AJ38" s="753">
        <f>COUNT(D38:AH38)</f>
        <v>0</v>
      </c>
      <c r="AK38" s="753">
        <v>17</v>
      </c>
      <c r="AL38" s="753" t="str">
        <f>IF(AND($A$31,AJ38&gt;=AK38),AJ38*10,"--")</f>
        <v>--</v>
      </c>
      <c r="AM38" s="753" t="str">
        <f>IF(AND($A$31,AJ38&gt;=AK38),SUM(D38:AH38),"--")</f>
        <v>--</v>
      </c>
      <c r="AN38" s="643"/>
      <c r="AO38" s="643"/>
      <c r="AP38" s="643"/>
      <c r="AQ38" s="39"/>
      <c r="AR38" s="43"/>
      <c r="AS38" s="1469" t="str">
        <f>IF($A$31=FALSE,$AI$35,IF(C38="&lt;&gt;","xx",IF(AJ38&lt;AK38,$AI$35,ROUND(AM38/AL38,2))))</f>
        <v>xx</v>
      </c>
      <c r="AT38" s="1470"/>
      <c r="AU38" s="16"/>
      <c r="AX38" s="784" t="str">
        <f>E38</f>
        <v>xx</v>
      </c>
      <c r="AY38" s="784" t="str">
        <f>F38</f>
        <v>xx</v>
      </c>
      <c r="AZ38" s="784" t="str">
        <f>G38</f>
        <v>xx</v>
      </c>
      <c r="BA38" s="784" t="str">
        <f t="shared" ref="BA38" si="4">M38</f>
        <v>xx</v>
      </c>
      <c r="BB38" s="784" t="str">
        <f>N38</f>
        <v>xx</v>
      </c>
      <c r="BC38" s="784" t="str">
        <f>AE38</f>
        <v>xx</v>
      </c>
      <c r="BD38" s="784" t="str">
        <f>AF38</f>
        <v>xx</v>
      </c>
      <c r="BE38" s="784" t="str">
        <f>AG38</f>
        <v>xx</v>
      </c>
      <c r="BF38" s="15"/>
      <c r="BG38" s="16"/>
      <c r="BH38" s="16"/>
      <c r="BI38" s="51"/>
      <c r="BJ38" s="74"/>
    </row>
    <row r="39" spans="1:62" ht="15.75" hidden="1" thickBot="1">
      <c r="B39" s="48"/>
      <c r="C39" s="193"/>
      <c r="D39" s="185" t="s">
        <v>62</v>
      </c>
      <c r="E39" s="185"/>
      <c r="F39" s="176"/>
      <c r="G39" s="176"/>
      <c r="H39" s="630"/>
      <c r="I39" s="185" t="str">
        <f>PrSchr3</f>
        <v>Stage 3</v>
      </c>
      <c r="K39" s="176"/>
      <c r="L39" s="632"/>
      <c r="M39" s="632"/>
      <c r="N39" s="176"/>
      <c r="O39" s="16"/>
      <c r="P39" s="632"/>
      <c r="Q39" s="176"/>
      <c r="R39" s="176"/>
      <c r="S39" s="176"/>
      <c r="T39" s="632"/>
      <c r="U39" s="176"/>
      <c r="V39" s="632"/>
      <c r="W39" s="176"/>
      <c r="X39" s="176"/>
      <c r="Z39" s="176"/>
      <c r="AA39" s="176"/>
      <c r="AB39" s="632"/>
      <c r="AC39" s="176"/>
      <c r="AD39" s="176"/>
      <c r="AE39" s="176"/>
      <c r="AF39" s="176"/>
      <c r="AG39" s="176"/>
      <c r="AH39" s="632"/>
      <c r="AI39" s="176"/>
      <c r="AJ39" s="176"/>
      <c r="AK39" s="176"/>
      <c r="AL39" s="16"/>
      <c r="AM39" s="31"/>
      <c r="AN39" s="643"/>
      <c r="AO39" s="643"/>
      <c r="AP39" s="643"/>
      <c r="AQ39" s="31"/>
      <c r="AR39" s="40" t="s">
        <v>71</v>
      </c>
      <c r="AS39" s="495"/>
      <c r="AT39" s="495"/>
      <c r="AU39" s="495"/>
      <c r="AX39" s="672"/>
      <c r="AY39" s="672"/>
      <c r="AZ39" s="672"/>
      <c r="BA39" s="672"/>
      <c r="BB39" s="672"/>
      <c r="BC39" s="672"/>
      <c r="BD39" s="672"/>
      <c r="BE39" s="672"/>
      <c r="BF39" s="15"/>
      <c r="BG39" s="16"/>
      <c r="BH39" s="16"/>
      <c r="BI39" s="51"/>
      <c r="BJ39" s="74"/>
    </row>
    <row r="40" spans="1:62" ht="15.75" hidden="1" thickBot="1">
      <c r="A40" s="243" t="str">
        <f t="shared" ref="A40" si="5">IF(COUNT(D40:AH40)=0,"n.b.",IF(MIN(D40:H40,J40:N40,P40:R40,T40:X40,Z40:AC40,AE40:AH40)=0,"B","A"))</f>
        <v>n.b.</v>
      </c>
      <c r="B40" s="48"/>
      <c r="C40" s="194" t="str">
        <f>IF(AND('Evaluation-Bewertung'!$C$40="X",'Input Form - EingabeMaske'!C56="x"),"X","&lt;&gt;")</f>
        <v>&lt;&gt;</v>
      </c>
      <c r="D40" s="232" t="str">
        <f>IF($A$31=FALSE,$AI$35,IF($C40="X",IF(ISBLANK('Questions - Fragen'!$D74),"--",'Questions - Fragen'!$D74),"xx"))</f>
        <v>xx</v>
      </c>
      <c r="E40" s="232" t="str">
        <f>IF($A$31=FALSE,$AI$35,IF($C40="X",IF(ISBLANK('Questions - Fragen'!$D85),"--",'Questions - Fragen'!$D85),"xx"))</f>
        <v>xx</v>
      </c>
      <c r="F40" s="232" t="str">
        <f>IF($A$31=FALSE,$AI$35,IF($C40="X",IF(ISBLANK('Questions - Fragen'!$D96),"--",'Questions - Fragen'!$D96),"xx"))</f>
        <v>xx</v>
      </c>
      <c r="G40" s="232" t="str">
        <f>IF($A$31=FALSE,$AI$35,IF($C40="X",IF(ISBLANK('Questions - Fragen'!$D107),"--",'Questions - Fragen'!$D107),"xx"))</f>
        <v>xx</v>
      </c>
      <c r="H40" s="633" t="str">
        <f>IF($A$31=FALSE,$AI$35,IF($C40="X",IF(ISBLANK('Questions - Fragen'!$D118),"--",'Questions - Fragen'!$D118),"xx"))</f>
        <v>xx</v>
      </c>
      <c r="I40" s="226"/>
      <c r="J40" s="232" t="str">
        <f>IF($A$31=FALSE,$AI$35,IF($C40="X",IF(ISBLANK('Questions - Fragen'!$D130),"--",'Questions - Fragen'!$D130),"xx"))</f>
        <v>xx</v>
      </c>
      <c r="K40" s="232" t="str">
        <f>IF($A$31=FALSE,$AI$35,IF($C40="X",IF(ISBLANK('Questions - Fragen'!$D141),"--",'Questions - Fragen'!$D141),"xx"))</f>
        <v>xx</v>
      </c>
      <c r="L40" s="633" t="str">
        <f>IF($A$31=FALSE,$AI$35,IF($C40="X",IF(ISBLANK('Questions - Fragen'!$D152),"--",'Questions - Fragen'!$D152),"xx"))</f>
        <v>xx</v>
      </c>
      <c r="M40" s="633" t="str">
        <f>IF($A$31=FALSE,$AI$35,IF($C40="X",IF(ISBLANK('Questions - Fragen'!$D163),"--",'Questions - Fragen'!$D163),"xx"))</f>
        <v>xx</v>
      </c>
      <c r="N40" s="232" t="str">
        <f>IF($A$31=FALSE,$AI$35,IF($C40="X",IF(ISBLANK('Questions - Fragen'!$D174),"--",'Questions - Fragen'!$D174),"xx"))</f>
        <v>xx</v>
      </c>
      <c r="O40" s="16"/>
      <c r="P40" s="633" t="str">
        <f>IF($A$31=FALSE,$AI$35,IF($C40="X",IF(ISBLANK('Questions - Fragen'!$D186),"--",'Questions - Fragen'!$D186),"xx"))</f>
        <v>xx</v>
      </c>
      <c r="Q40" s="232" t="str">
        <f>IF($A$31=FALSE,$AI$35,IF($C40="X",IF(ISBLANK('Questions - Fragen'!$D197),"--",'Questions - Fragen'!$D197),"xx"))</f>
        <v>xx</v>
      </c>
      <c r="R40" s="232" t="str">
        <f>IF($A$31=FALSE,$AI$35,IF($C40="X",IF(ISBLANK('Questions - Fragen'!$D208),"--",'Questions - Fragen'!$D208),"xx"))</f>
        <v>xx</v>
      </c>
      <c r="S40" s="226"/>
      <c r="T40" s="633" t="str">
        <f>IF($A$31=FALSE,$AI$35,IF($C40="X",IF(ISBLANK('Questions - Fragen'!$D220),"--",'Questions - Fragen'!$D220),"xx"))</f>
        <v>xx</v>
      </c>
      <c r="U40" s="232" t="str">
        <f>IF($A$31=FALSE,$AI$35,IF($C40="X",IF(ISBLANK('Questions - Fragen'!$D231),"--",'Questions - Fragen'!$D231),"xx"))</f>
        <v>xx</v>
      </c>
      <c r="V40" s="633" t="str">
        <f>IF($A$31=FALSE,$AI$35,IF($C40="X",IF(ISBLANK('Questions - Fragen'!$D242),"--",'Questions - Fragen'!$D242),"xx"))</f>
        <v>xx</v>
      </c>
      <c r="W40" s="232" t="str">
        <f>IF($A$31=FALSE,$AI$35,IF($C40="X",IF(ISBLANK('Questions - Fragen'!$D253),"--",'Questions - Fragen'!$D253),"xx"))</f>
        <v>xx</v>
      </c>
      <c r="X40" s="232" t="str">
        <f>IF($A$31=FALSE,$AI$35,IF($C40="X",IF(ISBLANK('Questions - Fragen'!$D264),"--",'Questions - Fragen'!$D264),"xx"))</f>
        <v>xx</v>
      </c>
      <c r="Z40" s="232" t="str">
        <f>IF($A$31=FALSE,$AI$35,IF($C40="X",IF(ISBLANK('Questions - Fragen'!$D276),"--",'Questions - Fragen'!$D276),"xx"))</f>
        <v>xx</v>
      </c>
      <c r="AA40" s="232" t="str">
        <f>IF($A$31=FALSE,$AI$35,IF($C40="X",IF(ISBLANK('Questions - Fragen'!$D287),"--",'Questions - Fragen'!$D287),"xx"))</f>
        <v>xx</v>
      </c>
      <c r="AB40" s="633" t="str">
        <f>IF($A$31=FALSE,$AI$35,IF($C40="X",IF(ISBLANK('Questions - Fragen'!$D298),"--",'Questions - Fragen'!$D298),"xx"))</f>
        <v>xx</v>
      </c>
      <c r="AC40" s="232" t="str">
        <f>IF($A$31=FALSE,$AI$35,IF($C40="X",IF(ISBLANK('Questions - Fragen'!$D309),"--",'Questions - Fragen'!$D309),"xx"))</f>
        <v>xx</v>
      </c>
      <c r="AD40" s="226"/>
      <c r="AE40" s="232" t="str">
        <f>IF($A$31=FALSE,$AI$35,IF($C40="X",IF(ISBLANK('Questions - Fragen'!$D321),"--",'Questions - Fragen'!$D321),"xx"))</f>
        <v>xx</v>
      </c>
      <c r="AF40" s="232" t="str">
        <f>IF($A$31=FALSE,$AI$35,IF($C40="X",IF(ISBLANK('Questions - Fragen'!$D332),"--",'Questions - Fragen'!$D332),"xx"))</f>
        <v>xx</v>
      </c>
      <c r="AG40" s="232" t="str">
        <f>IF($A$31=FALSE,$AI$35,IF($C40="X",IF(ISBLANK('Questions - Fragen'!$D343),"--",'Questions - Fragen'!$D343),"xx"))</f>
        <v>xx</v>
      </c>
      <c r="AH40" s="633" t="str">
        <f>IF($A$31=FALSE,$AI$35,IF($C40="X",IF(ISBLANK('Questions - Fragen'!$D354),"--",'Questions - Fragen'!$D354),"xx"))</f>
        <v>xx</v>
      </c>
      <c r="AI40" s="753">
        <f t="shared" ref="AI40" si="6">COUNTIF(D40:AH40,"&gt;-")</f>
        <v>26</v>
      </c>
      <c r="AJ40" s="753">
        <f>COUNT(D40:AH40)</f>
        <v>0</v>
      </c>
      <c r="AK40" s="753">
        <v>17</v>
      </c>
      <c r="AL40" s="753" t="str">
        <f>IF(AND($A$31,AJ40&gt;=AK40),AJ40*10,"--")</f>
        <v>--</v>
      </c>
      <c r="AM40" s="753" t="str">
        <f>IF(AND($A$31,AJ40&gt;=AK40),SUM(D40:AH40),"--")</f>
        <v>--</v>
      </c>
      <c r="AN40" s="643"/>
      <c r="AO40" s="643"/>
      <c r="AP40" s="643"/>
      <c r="AQ40" s="39"/>
      <c r="AR40" s="43"/>
      <c r="AS40" s="1469" t="str">
        <f>IF($A$31=FALSE,$AI$35,IF(C40="&lt;&gt;","xx",IF(AJ40&lt;AK40,$AI$35,ROUND(AM40/AL40,2))))</f>
        <v>xx</v>
      </c>
      <c r="AT40" s="1470"/>
      <c r="AU40" s="16"/>
      <c r="AX40" s="784" t="str">
        <f>E40</f>
        <v>xx</v>
      </c>
      <c r="AY40" s="784" t="str">
        <f>F40</f>
        <v>xx</v>
      </c>
      <c r="AZ40" s="784" t="str">
        <f>G40</f>
        <v>xx</v>
      </c>
      <c r="BA40" s="784" t="str">
        <f t="shared" ref="BA40" si="7">M40</f>
        <v>xx</v>
      </c>
      <c r="BB40" s="784" t="str">
        <f>N40</f>
        <v>xx</v>
      </c>
      <c r="BC40" s="784" t="str">
        <f>AE40</f>
        <v>xx</v>
      </c>
      <c r="BD40" s="784" t="str">
        <f>AF40</f>
        <v>xx</v>
      </c>
      <c r="BE40" s="784" t="str">
        <f>AG40</f>
        <v>xx</v>
      </c>
      <c r="BF40" s="15"/>
      <c r="BG40" s="16"/>
      <c r="BH40" s="16"/>
      <c r="BI40" s="51"/>
      <c r="BJ40" s="74"/>
    </row>
    <row r="41" spans="1:62" ht="15.75" thickBot="1">
      <c r="B41" s="48"/>
      <c r="C41" s="193"/>
      <c r="D41" s="185" t="s">
        <v>775</v>
      </c>
      <c r="E41" s="185"/>
      <c r="F41" s="175"/>
      <c r="G41" s="175"/>
      <c r="H41" s="630"/>
      <c r="I41" s="185" t="str">
        <f>PrSchr4</f>
        <v>Stage 4</v>
      </c>
      <c r="K41" s="175"/>
      <c r="L41" s="631"/>
      <c r="M41" s="631"/>
      <c r="N41" s="175"/>
      <c r="O41" s="16"/>
      <c r="P41" s="631"/>
      <c r="Q41" s="175"/>
      <c r="R41" s="175"/>
      <c r="S41" s="175"/>
      <c r="T41" s="631"/>
      <c r="U41" s="175"/>
      <c r="V41" s="631"/>
      <c r="W41" s="175"/>
      <c r="X41" s="175"/>
      <c r="Z41" s="175"/>
      <c r="AA41" s="175"/>
      <c r="AB41" s="631"/>
      <c r="AC41" s="175"/>
      <c r="AD41" s="175"/>
      <c r="AE41" s="175"/>
      <c r="AF41" s="175"/>
      <c r="AG41" s="175"/>
      <c r="AH41" s="631"/>
      <c r="AI41" s="643" t="str">
        <f>$K$7</f>
        <v>n.e.</v>
      </c>
      <c r="AJ41" s="643" t="str">
        <f>$L$7</f>
        <v>Act.</v>
      </c>
      <c r="AK41" s="643" t="str">
        <f>$M$7</f>
        <v>Target</v>
      </c>
      <c r="AL41" s="643">
        <f>N13</f>
        <v>0</v>
      </c>
      <c r="AM41" s="643" t="str">
        <f>O13</f>
        <v>3.1</v>
      </c>
      <c r="AN41" s="643"/>
      <c r="AO41" s="643"/>
      <c r="AP41" s="643"/>
      <c r="AQ41" s="30"/>
      <c r="AR41" s="40" t="s">
        <v>69</v>
      </c>
      <c r="AS41" s="171"/>
      <c r="AT41" s="165"/>
      <c r="AU41" s="165"/>
      <c r="AX41" s="165"/>
      <c r="AY41" s="165"/>
      <c r="AZ41" s="627"/>
      <c r="BA41" s="627"/>
      <c r="BB41" s="627"/>
      <c r="BC41" s="627"/>
      <c r="BD41" s="627"/>
      <c r="BE41" s="627"/>
      <c r="BF41" s="15"/>
      <c r="BG41" s="16"/>
      <c r="BH41" s="16"/>
      <c r="BI41" s="51"/>
      <c r="BJ41" s="74"/>
    </row>
    <row r="42" spans="1:62" ht="15.75" thickBot="1">
      <c r="A42" s="243"/>
      <c r="B42" s="48"/>
      <c r="C42" s="194" t="str">
        <f>IF(AND('Evaluation-Bewertung'!$C$36="X",'Input Form - EingabeMaske'!C60="x"),"X","&lt;&gt;")</f>
        <v>&lt;&gt;</v>
      </c>
      <c r="D42" s="232" t="str">
        <f>IF($A$31=FALSE,$AI$35,IF($C42="X",IF(ISBLANK('Questions - Fragen'!$D78),"--",'Questions - Fragen'!$D78),"xx"))</f>
        <v>xx</v>
      </c>
      <c r="E42" s="232" t="str">
        <f>IF($A$31=FALSE,$AI$35,IF($C42="X",IF(ISBLANK('Questions - Fragen'!$D89),"--",'Questions - Fragen'!$D89),"xx"))</f>
        <v>xx</v>
      </c>
      <c r="F42" s="232" t="str">
        <f>IF($A$31=FALSE,$AI$35,IF($C42="X",IF(ISBLANK('Questions - Fragen'!$D100),"--",'Questions - Fragen'!$D100),"xx"))</f>
        <v>xx</v>
      </c>
      <c r="G42" s="232" t="str">
        <f>IF($A$31=FALSE,$AI$35,IF($C42="X",IF(ISBLANK('Questions - Fragen'!$D111),"--",'Questions - Fragen'!$D111),"xx"))</f>
        <v>xx</v>
      </c>
      <c r="H42" s="633" t="str">
        <f>IF($A$31=FALSE,$AI$35,IF($C42="X",IF(ISBLANK('Questions - Fragen'!$D122),"--",'Questions - Fragen'!$D122),"xx"))</f>
        <v>xx</v>
      </c>
      <c r="I42" s="226"/>
      <c r="J42" s="232" t="str">
        <f>IF($A$31=FALSE,$AI$35,IF($C42="X",IF(ISBLANK('Questions - Fragen'!$D134),"--",'Questions - Fragen'!$D134),"xx"))</f>
        <v>xx</v>
      </c>
      <c r="K42" s="232" t="str">
        <f>IF($A$31=FALSE,$AI$35,IF($C42="X",IF(ISBLANK('Questions - Fragen'!$D145),"--",'Questions - Fragen'!$D145),"xx"))</f>
        <v>xx</v>
      </c>
      <c r="L42" s="633" t="str">
        <f>IF($A$31=FALSE,$AI$35,IF($C42="X",IF(ISBLANK('Questions - Fragen'!$D156),"--",'Questions - Fragen'!$D156),"xx"))</f>
        <v>xx</v>
      </c>
      <c r="M42" s="633" t="str">
        <f>IF($A$31=FALSE,$AI$35,IF($C42="X",IF(ISBLANK('Questions - Fragen'!$D167),"--",'Questions - Fragen'!$D167),"xx"))</f>
        <v>xx</v>
      </c>
      <c r="N42" s="232" t="str">
        <f>IF($A$31=FALSE,$AI$35,IF($C42="X",IF(ISBLANK('Questions - Fragen'!$D178),"--",'Questions - Fragen'!$D178),"xx"))</f>
        <v>xx</v>
      </c>
      <c r="O42" s="16"/>
      <c r="P42" s="633" t="str">
        <f>IF($A$31=FALSE,$AI$35,IF($C42="X",IF(ISBLANK('Questions - Fragen'!$D190),"--",'Questions - Fragen'!$D190),"xx"))</f>
        <v>xx</v>
      </c>
      <c r="Q42" s="232" t="str">
        <f>IF($A$31=FALSE,$AI$35,IF($C42="X",IF(ISBLANK('Questions - Fragen'!$D201),"--",'Questions - Fragen'!$D201),"xx"))</f>
        <v>xx</v>
      </c>
      <c r="R42" s="232" t="str">
        <f>IF($A$31=FALSE,$AI$35,IF($C42="X",IF(ISBLANK('Questions - Fragen'!$D212),"--",'Questions - Fragen'!$D212),"xx"))</f>
        <v>xx</v>
      </c>
      <c r="S42" s="226"/>
      <c r="T42" s="633" t="str">
        <f>IF($A$31=FALSE,$AI$35,IF($C42="X",IF(ISBLANK('Questions - Fragen'!$D224),"--",'Questions - Fragen'!$D224),"xx"))</f>
        <v>xx</v>
      </c>
      <c r="U42" s="232" t="str">
        <f>IF($A$31=FALSE,$AI$35,IF($C42="X",IF(ISBLANK('Questions - Fragen'!$D235),"--",'Questions - Fragen'!$D235),"xx"))</f>
        <v>xx</v>
      </c>
      <c r="V42" s="633" t="str">
        <f>IF($A$31=FALSE,$AI$35,IF($C42="X",IF(ISBLANK('Questions - Fragen'!$D246),"--",'Questions - Fragen'!$D246),"xx"))</f>
        <v>xx</v>
      </c>
      <c r="W42" s="232" t="str">
        <f>IF($A$31=FALSE,$AI$35,IF($C42="X",IF(ISBLANK('Questions - Fragen'!$D257),"--",'Questions - Fragen'!$D257),"xx"))</f>
        <v>xx</v>
      </c>
      <c r="X42" s="232" t="str">
        <f>IF($A$31=FALSE,$AI$35,IF($C42="X",IF(ISBLANK('Questions - Fragen'!$D268),"--",'Questions - Fragen'!$D268),"xx"))</f>
        <v>xx</v>
      </c>
      <c r="Z42" s="232" t="str">
        <f>IF($A$31=FALSE,$AI$35,IF($C42="X",IF(ISBLANK('Questions - Fragen'!$D280),"--",'Questions - Fragen'!$D280),"xx"))</f>
        <v>xx</v>
      </c>
      <c r="AA42" s="232" t="str">
        <f>IF($A$31=FALSE,$AI$35,IF($C42="X",IF(ISBLANK('Questions - Fragen'!$D291),"--",'Questions - Fragen'!$D291),"xx"))</f>
        <v>xx</v>
      </c>
      <c r="AB42" s="633" t="str">
        <f>IF($A$31=FALSE,$AI$35,IF($C42="X",IF(ISBLANK('Questions - Fragen'!$D302),"--",'Questions - Fragen'!$D302),"xx"))</f>
        <v>xx</v>
      </c>
      <c r="AC42" s="232" t="str">
        <f>IF($A$31=FALSE,$AI$35,IF($C42="X",IF(ISBLANK('Questions - Fragen'!$D313),"--",'Questions - Fragen'!$D313),"xx"))</f>
        <v>xx</v>
      </c>
      <c r="AD42" s="226"/>
      <c r="AE42" s="232" t="str">
        <f>IF($A$31=FALSE,$AI$35,IF($C42="X",IF(ISBLANK('Questions - Fragen'!$D325),"--",'Questions - Fragen'!$D325),"xx"))</f>
        <v>xx</v>
      </c>
      <c r="AF42" s="232" t="str">
        <f>IF($A$31=FALSE,$AI$35,IF($C42="X",IF(ISBLANK('Questions - Fragen'!$D336),"--",'Questions - Fragen'!$D336),"xx"))</f>
        <v>xx</v>
      </c>
      <c r="AG42" s="232" t="str">
        <f>IF($A$31=FALSE,$AI$35,IF($C42="X",IF(ISBLANK('Questions - Fragen'!$D347),"--",'Questions - Fragen'!$D347),"xx"))</f>
        <v>xx</v>
      </c>
      <c r="AH42" s="633" t="str">
        <f>IF($A$31=FALSE,$AI$35,IF($C42="X",IF(ISBLANK('Questions - Fragen'!$D358),"--",'Questions - Fragen'!$D358),"xx"))</f>
        <v>xx</v>
      </c>
      <c r="AI42" s="753">
        <f>COUNTIF(D42:AH42,"&gt;-")</f>
        <v>26</v>
      </c>
      <c r="AJ42" s="753">
        <f>COUNT(D42:AH42)</f>
        <v>0</v>
      </c>
      <c r="AK42" s="753">
        <v>17</v>
      </c>
      <c r="AL42" s="753" t="str">
        <f>IF(AND($A$31,AJ42&gt;=AK42),AJ42*10,"--")</f>
        <v>--</v>
      </c>
      <c r="AM42" s="753" t="str">
        <f>IF(AND($A$31,AJ42&gt;=AK42),SUM(D42:AH42),"--")</f>
        <v>--</v>
      </c>
      <c r="AN42" s="643"/>
      <c r="AO42" s="643"/>
      <c r="AP42" s="643"/>
      <c r="AQ42" s="39"/>
      <c r="AR42" s="43"/>
      <c r="AS42" s="1469" t="str">
        <f>IF($A$31=FALSE,$AI$35,IF(C42="&lt;&gt;","xx",IF(AJ42&lt;AK42,$AI$35,ROUND(AM42/AL42,2))))</f>
        <v>xx</v>
      </c>
      <c r="AT42" s="1470"/>
      <c r="AU42" s="16"/>
      <c r="AX42" s="784" t="str">
        <f>E42</f>
        <v>xx</v>
      </c>
      <c r="AY42" s="784" t="str">
        <f>F42</f>
        <v>xx</v>
      </c>
      <c r="AZ42" s="784" t="str">
        <f>G42</f>
        <v>xx</v>
      </c>
      <c r="BA42" s="784" t="str">
        <f>M42</f>
        <v>xx</v>
      </c>
      <c r="BB42" s="784" t="str">
        <f>N42</f>
        <v>xx</v>
      </c>
      <c r="BC42" s="784" t="str">
        <f>AE42</f>
        <v>xx</v>
      </c>
      <c r="BD42" s="784" t="str">
        <f>AF42</f>
        <v>xx</v>
      </c>
      <c r="BE42" s="784" t="str">
        <f>AG42</f>
        <v>xx</v>
      </c>
      <c r="BF42" s="15"/>
      <c r="BG42" s="16"/>
      <c r="BH42" s="16"/>
      <c r="BI42" s="51"/>
      <c r="BJ42" s="74"/>
    </row>
    <row r="43" spans="1:62" ht="15.75" thickBot="1">
      <c r="B43" s="48"/>
      <c r="C43" s="193"/>
      <c r="D43" s="185" t="s">
        <v>776</v>
      </c>
      <c r="E43" s="185"/>
      <c r="F43" s="175"/>
      <c r="G43" s="175"/>
      <c r="H43" s="630"/>
      <c r="I43" s="185" t="str">
        <f>PrSchr5</f>
        <v>Stage 5</v>
      </c>
      <c r="K43" s="175"/>
      <c r="L43" s="631"/>
      <c r="M43" s="631"/>
      <c r="N43" s="175"/>
      <c r="O43" s="16"/>
      <c r="P43" s="631"/>
      <c r="Q43" s="175"/>
      <c r="R43" s="175"/>
      <c r="S43" s="175"/>
      <c r="T43" s="631"/>
      <c r="U43" s="175"/>
      <c r="V43" s="631"/>
      <c r="W43" s="175"/>
      <c r="X43" s="175"/>
      <c r="Z43" s="175"/>
      <c r="AA43" s="175"/>
      <c r="AB43" s="631"/>
      <c r="AC43" s="175"/>
      <c r="AD43" s="175"/>
      <c r="AE43" s="175"/>
      <c r="AF43" s="175"/>
      <c r="AG43" s="175"/>
      <c r="AH43" s="631"/>
      <c r="AI43" s="643" t="str">
        <f>$K$7</f>
        <v>n.e.</v>
      </c>
      <c r="AJ43" s="643" t="str">
        <f>$L$7</f>
        <v>Act.</v>
      </c>
      <c r="AK43" s="643" t="str">
        <f>$M$7</f>
        <v>Target</v>
      </c>
      <c r="AL43" s="643">
        <f>N15</f>
        <v>0</v>
      </c>
      <c r="AM43" s="643">
        <f>O15</f>
        <v>0</v>
      </c>
      <c r="AN43" s="643"/>
      <c r="AO43" s="643"/>
      <c r="AP43" s="643"/>
      <c r="AQ43" s="30"/>
      <c r="AR43" s="40" t="s">
        <v>69</v>
      </c>
      <c r="AS43" s="171"/>
      <c r="AT43" s="165"/>
      <c r="AU43" s="165"/>
      <c r="AX43" s="165"/>
      <c r="AY43" s="165"/>
      <c r="AZ43" s="627"/>
      <c r="BA43" s="627"/>
      <c r="BB43" s="627"/>
      <c r="BC43" s="627"/>
      <c r="BD43" s="627"/>
      <c r="BE43" s="627"/>
      <c r="BF43" s="15"/>
      <c r="BG43" s="16"/>
      <c r="BH43" s="16"/>
      <c r="BI43" s="51"/>
      <c r="BJ43" s="74"/>
    </row>
    <row r="44" spans="1:62" ht="15.75" thickBot="1">
      <c r="A44" s="243"/>
      <c r="B44" s="48"/>
      <c r="C44" s="194" t="str">
        <f>IF(AND('Evaluation-Bewertung'!$C$36="X",'Input Form - EingabeMaske'!C62="x"),"X","&lt;&gt;")</f>
        <v>&lt;&gt;</v>
      </c>
      <c r="D44" s="232" t="str">
        <f>IF($A$31=FALSE,$AI$35,IF($C44="X",IF(ISBLANK('Questions - Fragen'!$D80),"--",'Questions - Fragen'!$D80),"xx"))</f>
        <v>xx</v>
      </c>
      <c r="E44" s="232" t="str">
        <f>IF($A$31=FALSE,$AI$35,IF($C44="X",IF(ISBLANK('Questions - Fragen'!$D91),"--",'Questions - Fragen'!$D91),"xx"))</f>
        <v>xx</v>
      </c>
      <c r="F44" s="232" t="str">
        <f>IF($A$31=FALSE,$AI$35,IF($C44="X",IF(ISBLANK('Questions - Fragen'!$D102),"--",'Questions - Fragen'!$D102),"xx"))</f>
        <v>xx</v>
      </c>
      <c r="G44" s="232" t="str">
        <f>IF($A$31=FALSE,$AI$35,IF($C44="X",IF(ISBLANK('Questions - Fragen'!$D113),"--",'Questions - Fragen'!$D113),"xx"))</f>
        <v>xx</v>
      </c>
      <c r="H44" s="633" t="str">
        <f>IF($A$31=FALSE,$AI$35,IF($C44="X",IF(ISBLANK('Questions - Fragen'!$D124),"--",'Questions - Fragen'!$D124),"xx"))</f>
        <v>xx</v>
      </c>
      <c r="I44" s="226"/>
      <c r="J44" s="232" t="str">
        <f>IF($A$31=FALSE,$AI$35,IF($C44="X",IF(ISBLANK('Questions - Fragen'!$D136),"--",'Questions - Fragen'!$D136),"xx"))</f>
        <v>xx</v>
      </c>
      <c r="K44" s="232" t="str">
        <f>IF($A$31=FALSE,$AI$35,IF($C44="X",IF(ISBLANK('Questions - Fragen'!$D147),"--",'Questions - Fragen'!$D147),"xx"))</f>
        <v>xx</v>
      </c>
      <c r="L44" s="633" t="str">
        <f>IF($A$31=FALSE,$AI$35,IF($C44="X",IF(ISBLANK('Questions - Fragen'!$D158),"--",'Questions - Fragen'!$D158),"xx"))</f>
        <v>xx</v>
      </c>
      <c r="M44" s="633" t="str">
        <f>IF($A$31=FALSE,$AI$35,IF($C44="X",IF(ISBLANK('Questions - Fragen'!$D169),"--",'Questions - Fragen'!$D169),"xx"))</f>
        <v>xx</v>
      </c>
      <c r="N44" s="232" t="str">
        <f>IF($A$31=FALSE,$AI$35,IF($C44="X",IF(ISBLANK('Questions - Fragen'!$D180),"--",'Questions - Fragen'!$D180),"xx"))</f>
        <v>xx</v>
      </c>
      <c r="O44" s="16"/>
      <c r="P44" s="633" t="str">
        <f>IF($A$31=FALSE,$AI$35,IF($C44="X",IF(ISBLANK('Questions - Fragen'!$D192),"--",'Questions - Fragen'!$D192),"xx"))</f>
        <v>xx</v>
      </c>
      <c r="Q44" s="232" t="str">
        <f>IF($A$31=FALSE,$AI$35,IF($C44="X",IF(ISBLANK('Questions - Fragen'!$D203),"--",'Questions - Fragen'!$D203),"xx"))</f>
        <v>xx</v>
      </c>
      <c r="R44" s="232" t="str">
        <f>IF($A$31=FALSE,$AI$35,IF($C44="X",IF(ISBLANK('Questions - Fragen'!$D214),"--",'Questions - Fragen'!$D214),"xx"))</f>
        <v>xx</v>
      </c>
      <c r="S44" s="226"/>
      <c r="T44" s="633" t="str">
        <f>IF($A$31=FALSE,$AI$35,IF($C44="X",IF(ISBLANK('Questions - Fragen'!$D226),"--",'Questions - Fragen'!$D226),"xx"))</f>
        <v>xx</v>
      </c>
      <c r="U44" s="232" t="str">
        <f>IF($A$31=FALSE,$AI$35,IF($C44="X",IF(ISBLANK('Questions - Fragen'!$D237),"--",'Questions - Fragen'!$D237),"xx"))</f>
        <v>xx</v>
      </c>
      <c r="V44" s="633" t="str">
        <f>IF($A$31=FALSE,$AI$35,IF($C44="X",IF(ISBLANK('Questions - Fragen'!$D248),"--",'Questions - Fragen'!$D248),"xx"))</f>
        <v>xx</v>
      </c>
      <c r="W44" s="232" t="str">
        <f>IF($A$31=FALSE,$AI$35,IF($C44="X",IF(ISBLANK('Questions - Fragen'!$D259),"--",'Questions - Fragen'!$D259),"xx"))</f>
        <v>xx</v>
      </c>
      <c r="X44" s="232" t="str">
        <f>IF($A$31=FALSE,$AI$35,IF($C44="X",IF(ISBLANK('Questions - Fragen'!$D270),"--",'Questions - Fragen'!$D270),"xx"))</f>
        <v>xx</v>
      </c>
      <c r="Z44" s="232" t="str">
        <f>IF($A$31=FALSE,$AI$35,IF($C44="X",IF(ISBLANK('Questions - Fragen'!$D282),"--",'Questions - Fragen'!$D282),"xx"))</f>
        <v>xx</v>
      </c>
      <c r="AA44" s="232" t="str">
        <f>IF($A$31=FALSE,$AI$35,IF($C44="X",IF(ISBLANK('Questions - Fragen'!$D293),"--",'Questions - Fragen'!$D293),"xx"))</f>
        <v>xx</v>
      </c>
      <c r="AB44" s="633" t="str">
        <f>IF($A$31=FALSE,$AI$35,IF($C44="X",IF(ISBLANK('Questions - Fragen'!$D304),"--",'Questions - Fragen'!$D304),"xx"))</f>
        <v>xx</v>
      </c>
      <c r="AC44" s="232" t="str">
        <f>IF($A$31=FALSE,$AI$35,IF($C44="X",IF(ISBLANK('Questions - Fragen'!$D315),"--",'Questions - Fragen'!$D315),"xx"))</f>
        <v>xx</v>
      </c>
      <c r="AD44" s="226"/>
      <c r="AE44" s="232" t="str">
        <f>IF($A$31=FALSE,$AI$35,IF($C44="X",IF(ISBLANK('Questions - Fragen'!$D327),"--",'Questions - Fragen'!$D327),"xx"))</f>
        <v>xx</v>
      </c>
      <c r="AF44" s="232" t="str">
        <f>IF($A$31=FALSE,$AI$35,IF($C44="X",IF(ISBLANK('Questions - Fragen'!$D338),"--",'Questions - Fragen'!$D338),"xx"))</f>
        <v>xx</v>
      </c>
      <c r="AG44" s="232" t="str">
        <f>IF($A$31=FALSE,$AI$35,IF($C44="X",IF(ISBLANK('Questions - Fragen'!$D349),"--",'Questions - Fragen'!$D349),"xx"))</f>
        <v>xx</v>
      </c>
      <c r="AH44" s="633" t="str">
        <f>IF($A$31=FALSE,$AI$35,IF($C44="X",IF(ISBLANK('Questions - Fragen'!$D360),"--",'Questions - Fragen'!$D360),"xx"))</f>
        <v>xx</v>
      </c>
      <c r="AI44" s="753">
        <f>COUNTIF(D44:AH44,"&gt;-")</f>
        <v>26</v>
      </c>
      <c r="AJ44" s="753">
        <f>COUNT(D44:AH44)</f>
        <v>0</v>
      </c>
      <c r="AK44" s="753">
        <v>17</v>
      </c>
      <c r="AL44" s="753" t="str">
        <f>IF(AND($A$31,AJ44&gt;=AK44),AJ44*10,"--")</f>
        <v>--</v>
      </c>
      <c r="AM44" s="753" t="str">
        <f>IF(AND($A$31,AJ44&gt;=AK44),SUM(D44:AH44),"--")</f>
        <v>--</v>
      </c>
      <c r="AN44" s="643"/>
      <c r="AO44" s="643"/>
      <c r="AP44" s="643"/>
      <c r="AQ44" s="39"/>
      <c r="AR44" s="43"/>
      <c r="AS44" s="1469" t="str">
        <f>IF($A$31=FALSE,$AI$35,IF(C44="&lt;&gt;","xx",IF(AJ44&lt;AK44,$AI$35,ROUND(AM44/AL44,2))))</f>
        <v>xx</v>
      </c>
      <c r="AT44" s="1470"/>
      <c r="AU44" s="16"/>
      <c r="AX44" s="784" t="str">
        <f>E44</f>
        <v>xx</v>
      </c>
      <c r="AY44" s="784" t="str">
        <f>F44</f>
        <v>xx</v>
      </c>
      <c r="AZ44" s="784" t="str">
        <f>G44</f>
        <v>xx</v>
      </c>
      <c r="BA44" s="784" t="str">
        <f>M44</f>
        <v>xx</v>
      </c>
      <c r="BB44" s="784" t="str">
        <f>N44</f>
        <v>xx</v>
      </c>
      <c r="BC44" s="784" t="str">
        <f>AE44</f>
        <v>xx</v>
      </c>
      <c r="BD44" s="784" t="str">
        <f>AF44</f>
        <v>xx</v>
      </c>
      <c r="BE44" s="784" t="str">
        <f>AG44</f>
        <v>xx</v>
      </c>
      <c r="BF44" s="15"/>
      <c r="BG44" s="16"/>
      <c r="BH44" s="16"/>
      <c r="BI44" s="51"/>
      <c r="BJ44" s="74"/>
    </row>
    <row r="45" spans="1:62" ht="15.75" thickBot="1">
      <c r="B45" s="48"/>
      <c r="C45" s="193"/>
      <c r="D45" s="185" t="s">
        <v>777</v>
      </c>
      <c r="E45" s="185"/>
      <c r="F45" s="175"/>
      <c r="G45" s="175"/>
      <c r="H45" s="630"/>
      <c r="I45" s="185" t="str">
        <f>PrSchr6</f>
        <v>Stage 6</v>
      </c>
      <c r="K45" s="175"/>
      <c r="L45" s="631"/>
      <c r="M45" s="631"/>
      <c r="N45" s="175"/>
      <c r="O45" s="16"/>
      <c r="P45" s="631"/>
      <c r="Q45" s="175"/>
      <c r="R45" s="175"/>
      <c r="S45" s="175"/>
      <c r="T45" s="631"/>
      <c r="U45" s="175"/>
      <c r="V45" s="631"/>
      <c r="W45" s="175"/>
      <c r="X45" s="175"/>
      <c r="Z45" s="175"/>
      <c r="AA45" s="175"/>
      <c r="AB45" s="631"/>
      <c r="AC45" s="175"/>
      <c r="AD45" s="175"/>
      <c r="AE45" s="175"/>
      <c r="AF45" s="175"/>
      <c r="AG45" s="175"/>
      <c r="AH45" s="631"/>
      <c r="AI45" s="643" t="str">
        <f>$K$7</f>
        <v>n.e.</v>
      </c>
      <c r="AJ45" s="643" t="str">
        <f>$L$7</f>
        <v>Act.</v>
      </c>
      <c r="AK45" s="643" t="str">
        <f>$M$7</f>
        <v>Target</v>
      </c>
      <c r="AL45" s="643">
        <f>N17</f>
        <v>0</v>
      </c>
      <c r="AM45" s="643">
        <f>O17</f>
        <v>0</v>
      </c>
      <c r="AN45" s="643"/>
      <c r="AO45" s="643"/>
      <c r="AP45" s="643"/>
      <c r="AQ45" s="30"/>
      <c r="AR45" s="40" t="s">
        <v>69</v>
      </c>
      <c r="AS45" s="171"/>
      <c r="AT45" s="165"/>
      <c r="AU45" s="165"/>
      <c r="AX45" s="165"/>
      <c r="AY45" s="165"/>
      <c r="AZ45" s="627"/>
      <c r="BA45" s="627"/>
      <c r="BB45" s="627"/>
      <c r="BC45" s="627"/>
      <c r="BD45" s="627"/>
      <c r="BE45" s="627"/>
      <c r="BF45" s="15"/>
      <c r="BG45" s="16"/>
      <c r="BH45" s="16"/>
      <c r="BI45" s="51"/>
      <c r="BJ45" s="74"/>
    </row>
    <row r="46" spans="1:62" ht="15.75" thickBot="1">
      <c r="A46" s="243"/>
      <c r="B46" s="48"/>
      <c r="C46" s="194" t="str">
        <f>IF(AND('Evaluation-Bewertung'!$C$36="X",'Input Form - EingabeMaske'!C64="x"),"X","&lt;&gt;")</f>
        <v>&lt;&gt;</v>
      </c>
      <c r="D46" s="232" t="str">
        <f>IF($A$31=FALSE,$AI$35,IF($C46="X",IF(ISBLANK('Questions - Fragen'!$D82),"--",'Questions - Fragen'!$D82),"xx"))</f>
        <v>xx</v>
      </c>
      <c r="E46" s="232" t="str">
        <f>IF($A$31=FALSE,$AI$35,IF($C46="X",IF(ISBLANK('Questions - Fragen'!$D93),"--",'Questions - Fragen'!$D93),"xx"))</f>
        <v>xx</v>
      </c>
      <c r="F46" s="232" t="str">
        <f>IF($A$31=FALSE,$AI$35,IF($C46="X",IF(ISBLANK('Questions - Fragen'!$D104),"--",'Questions - Fragen'!$D104),"xx"))</f>
        <v>xx</v>
      </c>
      <c r="G46" s="232" t="str">
        <f>IF($A$31=FALSE,$AI$35,IF($C46="X",IF(ISBLANK('Questions - Fragen'!$D115),"--",'Questions - Fragen'!$D115),"xx"))</f>
        <v>xx</v>
      </c>
      <c r="H46" s="633" t="str">
        <f>IF($A$31=FALSE,$AI$35,IF($C46="X",IF(ISBLANK('Questions - Fragen'!$D126),"--",'Questions - Fragen'!$D126),"xx"))</f>
        <v>xx</v>
      </c>
      <c r="I46" s="226"/>
      <c r="J46" s="232" t="str">
        <f>IF($A$31=FALSE,$AI$35,IF($C46="X",IF(ISBLANK('Questions - Fragen'!$D138),"--",'Questions - Fragen'!$D138),"xx"))</f>
        <v>xx</v>
      </c>
      <c r="K46" s="232" t="str">
        <f>IF($A$31=FALSE,$AI$35,IF($C46="X",IF(ISBLANK('Questions - Fragen'!$D149),"--",'Questions - Fragen'!$D149),"xx"))</f>
        <v>xx</v>
      </c>
      <c r="L46" s="633" t="str">
        <f>IF($A$31=FALSE,$AI$35,IF($C46="X",IF(ISBLANK('Questions - Fragen'!$D160),"--",'Questions - Fragen'!$D160),"xx"))</f>
        <v>xx</v>
      </c>
      <c r="M46" s="633" t="str">
        <f>IF($A$31=FALSE,$AI$35,IF($C46="X",IF(ISBLANK('Questions - Fragen'!$D171),"--",'Questions - Fragen'!$D171),"xx"))</f>
        <v>xx</v>
      </c>
      <c r="N46" s="232" t="str">
        <f>IF($A$31=FALSE,$AI$35,IF($C46="X",IF(ISBLANK('Questions - Fragen'!$D182),"--",'Questions - Fragen'!$D182),"xx"))</f>
        <v>xx</v>
      </c>
      <c r="O46" s="16"/>
      <c r="P46" s="633" t="str">
        <f>IF($A$31=FALSE,$AI$35,IF($C46="X",IF(ISBLANK('Questions - Fragen'!$D194),"--",'Questions - Fragen'!$D194),"xx"))</f>
        <v>xx</v>
      </c>
      <c r="Q46" s="232" t="str">
        <f>IF($A$31=FALSE,$AI$35,IF($C46="X",IF(ISBLANK('Questions - Fragen'!$D205),"--",'Questions - Fragen'!$D205),"xx"))</f>
        <v>xx</v>
      </c>
      <c r="R46" s="232" t="str">
        <f>IF($A$31=FALSE,$AI$35,IF($C46="X",IF(ISBLANK('Questions - Fragen'!$D216),"--",'Questions - Fragen'!$D216),"xx"))</f>
        <v>xx</v>
      </c>
      <c r="S46" s="226"/>
      <c r="T46" s="633" t="str">
        <f>IF($A$31=FALSE,$AI$35,IF($C46="X",IF(ISBLANK('Questions - Fragen'!$D228),"--",'Questions - Fragen'!$D228),"xx"))</f>
        <v>xx</v>
      </c>
      <c r="U46" s="232" t="str">
        <f>IF($A$31=FALSE,$AI$35,IF($C46="X",IF(ISBLANK('Questions - Fragen'!$D239),"--",'Questions - Fragen'!$D239),"xx"))</f>
        <v>xx</v>
      </c>
      <c r="V46" s="633" t="str">
        <f>IF($A$31=FALSE,$AI$35,IF($C46="X",IF(ISBLANK('Questions - Fragen'!$D250),"--",'Questions - Fragen'!$D250),"xx"))</f>
        <v>xx</v>
      </c>
      <c r="W46" s="232" t="str">
        <f>IF($A$31=FALSE,$AI$35,IF($C46="X",IF(ISBLANK('Questions - Fragen'!$D261),"--",'Questions - Fragen'!$D261),"xx"))</f>
        <v>xx</v>
      </c>
      <c r="X46" s="232" t="str">
        <f>IF($A$31=FALSE,$AI$35,IF($C46="X",IF(ISBLANK('Questions - Fragen'!$D272),"--",'Questions - Fragen'!$D272),"xx"))</f>
        <v>xx</v>
      </c>
      <c r="Z46" s="232" t="str">
        <f>IF($A$31=FALSE,$AI$35,IF($C46="X",IF(ISBLANK('Questions - Fragen'!$D284),"--",'Questions - Fragen'!$D284),"xx"))</f>
        <v>xx</v>
      </c>
      <c r="AA46" s="232" t="str">
        <f>IF($A$31=FALSE,$AI$35,IF($C46="X",IF(ISBLANK('Questions - Fragen'!$D295),"--",'Questions - Fragen'!$D295),"xx"))</f>
        <v>xx</v>
      </c>
      <c r="AB46" s="633" t="str">
        <f>IF($A$31=FALSE,$AI$35,IF($C46="X",IF(ISBLANK('Questions - Fragen'!$D306),"--",'Questions - Fragen'!$D306),"xx"))</f>
        <v>xx</v>
      </c>
      <c r="AC46" s="232" t="str">
        <f>IF($A$31=FALSE,$AI$35,IF($C46="X",IF(ISBLANK('Questions - Fragen'!$D317),"--",'Questions - Fragen'!$D317),"xx"))</f>
        <v>xx</v>
      </c>
      <c r="AD46" s="226"/>
      <c r="AE46" s="232" t="str">
        <f>IF($A$31=FALSE,$AI$35,IF($C46="X",IF(ISBLANK('Questions - Fragen'!$D329),"--",'Questions - Fragen'!$D329),"xx"))</f>
        <v>xx</v>
      </c>
      <c r="AF46" s="232" t="str">
        <f>IF($A$31=FALSE,$AI$35,IF($C46="X",IF(ISBLANK('Questions - Fragen'!$D340),"--",'Questions - Fragen'!$D340),"xx"))</f>
        <v>xx</v>
      </c>
      <c r="AG46" s="232" t="str">
        <f>IF($A$31=FALSE,$AI$35,IF($C46="X",IF(ISBLANK('Questions - Fragen'!$D351),"--",'Questions - Fragen'!$D351),"xx"))</f>
        <v>xx</v>
      </c>
      <c r="AH46" s="633" t="str">
        <f>IF($A$31=FALSE,$AI$35,IF($C46="X",IF(ISBLANK('Questions - Fragen'!$D362),"--",'Questions - Fragen'!$D362),"xx"))</f>
        <v>xx</v>
      </c>
      <c r="AI46" s="753">
        <f>COUNTIF(D46:AH46,"&gt;-")</f>
        <v>26</v>
      </c>
      <c r="AJ46" s="753">
        <f>COUNT(D46:AH46)</f>
        <v>0</v>
      </c>
      <c r="AK46" s="753">
        <v>17</v>
      </c>
      <c r="AL46" s="753" t="str">
        <f>IF(AND($A$31,AJ46&gt;=AK46),AJ46*10,"--")</f>
        <v>--</v>
      </c>
      <c r="AM46" s="753" t="str">
        <f>IF(AND($A$31,AJ46&gt;=AK46),SUM(D46:AH46),"--")</f>
        <v>--</v>
      </c>
      <c r="AN46" s="643"/>
      <c r="AO46" s="643"/>
      <c r="AP46" s="643"/>
      <c r="AQ46" s="39"/>
      <c r="AR46" s="43"/>
      <c r="AS46" s="1469" t="str">
        <f>IF($A$31=FALSE,$AI$35,IF(C46="&lt;&gt;","xx",IF(AJ46&lt;AK46,$AI$35,ROUND(AM46/AL46,2))))</f>
        <v>xx</v>
      </c>
      <c r="AT46" s="1470"/>
      <c r="AU46" s="16"/>
      <c r="AX46" s="784" t="str">
        <f>E46</f>
        <v>xx</v>
      </c>
      <c r="AY46" s="784" t="str">
        <f>F46</f>
        <v>xx</v>
      </c>
      <c r="AZ46" s="784" t="str">
        <f>G46</f>
        <v>xx</v>
      </c>
      <c r="BA46" s="784" t="str">
        <f>M46</f>
        <v>xx</v>
      </c>
      <c r="BB46" s="784" t="str">
        <f>N46</f>
        <v>xx</v>
      </c>
      <c r="BC46" s="784" t="str">
        <f>AE46</f>
        <v>xx</v>
      </c>
      <c r="BD46" s="784" t="str">
        <f>AF46</f>
        <v>xx</v>
      </c>
      <c r="BE46" s="784" t="str">
        <f>AG46</f>
        <v>xx</v>
      </c>
      <c r="BF46" s="15"/>
      <c r="BG46" s="16"/>
      <c r="BH46" s="16"/>
      <c r="BI46" s="51"/>
      <c r="BJ46" s="74"/>
    </row>
    <row r="47" spans="1:62" ht="15.75" thickBot="1">
      <c r="B47" s="48"/>
      <c r="C47" s="193"/>
      <c r="D47" s="185" t="s">
        <v>778</v>
      </c>
      <c r="E47" s="185"/>
      <c r="F47" s="175"/>
      <c r="G47" s="175"/>
      <c r="H47" s="630"/>
      <c r="I47" s="185" t="str">
        <f>PrSchr7</f>
        <v>Stage 7</v>
      </c>
      <c r="K47" s="175"/>
      <c r="L47" s="631"/>
      <c r="M47" s="631"/>
      <c r="N47" s="175"/>
      <c r="O47" s="16"/>
      <c r="P47" s="631"/>
      <c r="Q47" s="175"/>
      <c r="R47" s="175"/>
      <c r="S47" s="175"/>
      <c r="T47" s="631"/>
      <c r="U47" s="175"/>
      <c r="V47" s="631"/>
      <c r="W47" s="175"/>
      <c r="X47" s="175"/>
      <c r="Z47" s="175"/>
      <c r="AA47" s="175"/>
      <c r="AB47" s="631"/>
      <c r="AC47" s="175"/>
      <c r="AD47" s="175"/>
      <c r="AE47" s="175"/>
      <c r="AF47" s="175"/>
      <c r="AG47" s="175"/>
      <c r="AH47" s="631"/>
      <c r="AI47" s="643" t="str">
        <f>$K$7</f>
        <v>n.e.</v>
      </c>
      <c r="AJ47" s="643" t="str">
        <f>$L$7</f>
        <v>Act.</v>
      </c>
      <c r="AK47" s="643" t="str">
        <f>$M$7</f>
        <v>Target</v>
      </c>
      <c r="AL47" s="643">
        <f>N19</f>
        <v>0</v>
      </c>
      <c r="AM47" s="643">
        <f>O19</f>
        <v>0</v>
      </c>
      <c r="AN47" s="643"/>
      <c r="AO47" s="643"/>
      <c r="AP47" s="643"/>
      <c r="AQ47" s="30"/>
      <c r="AR47" s="40" t="s">
        <v>69</v>
      </c>
      <c r="AS47" s="171"/>
      <c r="AT47" s="165"/>
      <c r="AU47" s="165"/>
      <c r="AX47" s="165"/>
      <c r="AY47" s="165"/>
      <c r="AZ47" s="627"/>
      <c r="BA47" s="627"/>
      <c r="BB47" s="627"/>
      <c r="BC47" s="627"/>
      <c r="BD47" s="627"/>
      <c r="BE47" s="627"/>
      <c r="BF47" s="15"/>
      <c r="BG47" s="16"/>
      <c r="BH47" s="16"/>
      <c r="BI47" s="51"/>
      <c r="BJ47" s="74"/>
    </row>
    <row r="48" spans="1:62" ht="15.75" thickBot="1">
      <c r="A48" s="243"/>
      <c r="B48" s="48"/>
      <c r="C48" s="194" t="str">
        <f>IF(AND('Evaluation-Bewertung'!$C$36="X",'Input Form - EingabeMaske'!C66="x"),"X","&lt;&gt;")</f>
        <v>&lt;&gt;</v>
      </c>
      <c r="D48" s="232" t="str">
        <f>IF($A$31=FALSE,$AI$35,IF($C48="X",IF(ISBLANK('Questions - Fragen'!$D84),"--",'Questions - Fragen'!$D84),"xx"))</f>
        <v>xx</v>
      </c>
      <c r="E48" s="232" t="str">
        <f>IF($A$31=FALSE,$AI$35,IF($C48="X",IF(ISBLANK('Questions - Fragen'!$D95),"--",'Questions - Fragen'!$D95),"xx"))</f>
        <v>xx</v>
      </c>
      <c r="F48" s="232" t="str">
        <f>IF($A$31=FALSE,$AI$35,IF($C48="X",IF(ISBLANK('Questions - Fragen'!$D106),"--",'Questions - Fragen'!$D106),"xx"))</f>
        <v>xx</v>
      </c>
      <c r="G48" s="232" t="str">
        <f>IF($A$31=FALSE,$AI$35,IF($C48="X",IF(ISBLANK('Questions - Fragen'!$D117),"--",'Questions - Fragen'!$D117),"xx"))</f>
        <v>xx</v>
      </c>
      <c r="H48" s="633" t="str">
        <f>IF($A$31=FALSE,$AI$35,IF($C48="X",IF(ISBLANK('Questions - Fragen'!$D128),"--",'Questions - Fragen'!$D128),"xx"))</f>
        <v>xx</v>
      </c>
      <c r="I48" s="226"/>
      <c r="J48" s="232" t="str">
        <f>IF($A$31=FALSE,$AI$35,IF($C48="X",IF(ISBLANK('Questions - Fragen'!$D140),"--",'Questions - Fragen'!$D140),"xx"))</f>
        <v>xx</v>
      </c>
      <c r="K48" s="232" t="str">
        <f>IF($A$31=FALSE,$AI$35,IF($C48="X",IF(ISBLANK('Questions - Fragen'!$D151),"--",'Questions - Fragen'!$D151),"xx"))</f>
        <v>xx</v>
      </c>
      <c r="L48" s="633" t="str">
        <f>IF($A$31=FALSE,$AI$35,IF($C48="X",IF(ISBLANK('Questions - Fragen'!$D162),"--",'Questions - Fragen'!$D162),"xx"))</f>
        <v>xx</v>
      </c>
      <c r="M48" s="633" t="str">
        <f>IF($A$31=FALSE,$AI$35,IF($C48="X",IF(ISBLANK('Questions - Fragen'!$D173),"--",'Questions - Fragen'!$D173),"xx"))</f>
        <v>xx</v>
      </c>
      <c r="N48" s="232" t="str">
        <f>IF($A$31=FALSE,$AI$35,IF($C48="X",IF(ISBLANK('Questions - Fragen'!$D184),"--",'Questions - Fragen'!$D184),"xx"))</f>
        <v>xx</v>
      </c>
      <c r="O48" s="16"/>
      <c r="P48" s="633" t="str">
        <f>IF($A$31=FALSE,$AI$35,IF($C48="X",IF(ISBLANK('Questions - Fragen'!$D196),"--",'Questions - Fragen'!$D196),"xx"))</f>
        <v>xx</v>
      </c>
      <c r="Q48" s="232" t="str">
        <f>IF($A$31=FALSE,$AI$35,IF($C48="X",IF(ISBLANK('Questions - Fragen'!$D207),"--",'Questions - Fragen'!$D207),"xx"))</f>
        <v>xx</v>
      </c>
      <c r="R48" s="232" t="str">
        <f>IF($A$31=FALSE,$AI$35,IF($C48="X",IF(ISBLANK('Questions - Fragen'!$D218),"--",'Questions - Fragen'!$D218),"xx"))</f>
        <v>xx</v>
      </c>
      <c r="S48" s="226"/>
      <c r="T48" s="633" t="str">
        <f>IF($A$31=FALSE,$AI$35,IF($C48="X",IF(ISBLANK('Questions - Fragen'!$D230),"--",'Questions - Fragen'!$D230),"xx"))</f>
        <v>xx</v>
      </c>
      <c r="U48" s="232" t="str">
        <f>IF($A$31=FALSE,$AI$35,IF($C48="X",IF(ISBLANK('Questions - Fragen'!$D241),"--",'Questions - Fragen'!$D241),"xx"))</f>
        <v>xx</v>
      </c>
      <c r="V48" s="633" t="str">
        <f>IF($A$31=FALSE,$AI$35,IF($C48="X",IF(ISBLANK('Questions - Fragen'!$D252),"--",'Questions - Fragen'!$D252),"xx"))</f>
        <v>xx</v>
      </c>
      <c r="W48" s="232" t="str">
        <f>IF($A$31=FALSE,$AI$35,IF($C48="X",IF(ISBLANK('Questions - Fragen'!$D263),"--",'Questions - Fragen'!$D263),"xx"))</f>
        <v>xx</v>
      </c>
      <c r="X48" s="232" t="str">
        <f>IF($A$31=FALSE,$AI$35,IF($C48="X",IF(ISBLANK('Questions - Fragen'!$D274),"--",'Questions - Fragen'!$D274),"xx"))</f>
        <v>xx</v>
      </c>
      <c r="Z48" s="232" t="str">
        <f>IF($A$31=FALSE,$AI$35,IF($C48="X",IF(ISBLANK('Questions - Fragen'!$D286),"--",'Questions - Fragen'!$D286),"xx"))</f>
        <v>xx</v>
      </c>
      <c r="AA48" s="232" t="str">
        <f>IF($A$31=FALSE,$AI$35,IF($C48="X",IF(ISBLANK('Questions - Fragen'!$D297),"--",'Questions - Fragen'!$D297),"xx"))</f>
        <v>xx</v>
      </c>
      <c r="AB48" s="633" t="str">
        <f>IF($A$31=FALSE,$AI$35,IF($C48="X",IF(ISBLANK('Questions - Fragen'!$D308),"--",'Questions - Fragen'!$D308),"xx"))</f>
        <v>xx</v>
      </c>
      <c r="AC48" s="232" t="str">
        <f>IF($A$31=FALSE,$AI$35,IF($C48="X",IF(ISBLANK('Questions - Fragen'!$D319),"--",'Questions - Fragen'!$D319),"xx"))</f>
        <v>xx</v>
      </c>
      <c r="AD48" s="226"/>
      <c r="AE48" s="232" t="str">
        <f>IF($A$31=FALSE,$AI$35,IF($C48="X",IF(ISBLANK('Questions - Fragen'!$D331),"--",'Questions - Fragen'!$D331),"xx"))</f>
        <v>xx</v>
      </c>
      <c r="AF48" s="232" t="str">
        <f>IF($A$31=FALSE,$AI$35,IF($C48="X",IF(ISBLANK('Questions - Fragen'!$D342),"--",'Questions - Fragen'!$D342),"xx"))</f>
        <v>xx</v>
      </c>
      <c r="AG48" s="232" t="str">
        <f>IF($A$31=FALSE,$AI$35,IF($C48="X",IF(ISBLANK('Questions - Fragen'!$D353),"--",'Questions - Fragen'!$D353),"xx"))</f>
        <v>xx</v>
      </c>
      <c r="AH48" s="633" t="str">
        <f>IF($A$31=FALSE,$AI$35,IF($C48="X",IF(ISBLANK('Questions - Fragen'!$D364),"--",'Questions - Fragen'!$D364),"xx"))</f>
        <v>xx</v>
      </c>
      <c r="AI48" s="753">
        <f>COUNTIF(D48:AH48,"&gt;-")</f>
        <v>26</v>
      </c>
      <c r="AJ48" s="753">
        <f>COUNT(D48:AH48)</f>
        <v>0</v>
      </c>
      <c r="AK48" s="753">
        <v>17</v>
      </c>
      <c r="AL48" s="753" t="str">
        <f>IF(AND($A$31,AJ48&gt;=AK48),AJ48*10,"--")</f>
        <v>--</v>
      </c>
      <c r="AM48" s="753" t="str">
        <f>IF(AND($A$31,AJ48&gt;=AK48),SUM(D48:AH48),"--")</f>
        <v>--</v>
      </c>
      <c r="AN48" s="643"/>
      <c r="AO48" s="643"/>
      <c r="AP48" s="643"/>
      <c r="AQ48" s="39"/>
      <c r="AR48" s="43"/>
      <c r="AS48" s="1469" t="str">
        <f>IF($A$31=FALSE,$AI$35,IF(C48="&lt;&gt;","xx",IF(AJ48&lt;AK48,$AI$35,ROUND(AM48/AL48,2))))</f>
        <v>xx</v>
      </c>
      <c r="AT48" s="1470"/>
      <c r="AU48" s="16"/>
      <c r="AX48" s="784" t="str">
        <f>E48</f>
        <v>xx</v>
      </c>
      <c r="AY48" s="784" t="str">
        <f>F48</f>
        <v>xx</v>
      </c>
      <c r="AZ48" s="784" t="str">
        <f>G48</f>
        <v>xx</v>
      </c>
      <c r="BA48" s="784" t="str">
        <f>M48</f>
        <v>xx</v>
      </c>
      <c r="BB48" s="784" t="str">
        <f>N48</f>
        <v>xx</v>
      </c>
      <c r="BC48" s="784" t="str">
        <f>AE48</f>
        <v>xx</v>
      </c>
      <c r="BD48" s="784" t="str">
        <f>AF48</f>
        <v>xx</v>
      </c>
      <c r="BE48" s="784" t="str">
        <f>AG48</f>
        <v>xx</v>
      </c>
      <c r="BF48" s="15"/>
      <c r="BG48" s="16"/>
      <c r="BH48" s="16"/>
      <c r="BI48" s="51"/>
      <c r="BJ48" s="74"/>
    </row>
    <row r="49" spans="1:62" ht="15.75" thickBot="1">
      <c r="B49" s="48"/>
      <c r="C49" s="193"/>
      <c r="D49" s="185" t="s">
        <v>779</v>
      </c>
      <c r="E49" s="185"/>
      <c r="F49" s="175"/>
      <c r="G49" s="175"/>
      <c r="H49" s="630"/>
      <c r="I49" s="185" t="str">
        <f>PrSchr8</f>
        <v>Stage 8</v>
      </c>
      <c r="K49" s="175"/>
      <c r="L49" s="631"/>
      <c r="M49" s="631"/>
      <c r="N49" s="175"/>
      <c r="O49" s="16"/>
      <c r="P49" s="631"/>
      <c r="Q49" s="175"/>
      <c r="R49" s="175"/>
      <c r="S49" s="175"/>
      <c r="T49" s="631"/>
      <c r="U49" s="175"/>
      <c r="V49" s="631"/>
      <c r="W49" s="175"/>
      <c r="X49" s="175"/>
      <c r="Z49" s="175"/>
      <c r="AA49" s="175"/>
      <c r="AB49" s="631"/>
      <c r="AC49" s="175"/>
      <c r="AD49" s="175"/>
      <c r="AE49" s="175"/>
      <c r="AF49" s="175"/>
      <c r="AG49" s="175"/>
      <c r="AH49" s="631"/>
      <c r="AI49" s="643" t="str">
        <f>$K$7</f>
        <v>n.e.</v>
      </c>
      <c r="AJ49" s="643" t="str">
        <f>$L$7</f>
        <v>Act.</v>
      </c>
      <c r="AK49" s="643" t="str">
        <f>$M$7</f>
        <v>Target</v>
      </c>
      <c r="AL49" s="643" t="str">
        <f>N21</f>
        <v>Target</v>
      </c>
      <c r="AM49" s="643" t="str">
        <f>O21</f>
        <v>Max.</v>
      </c>
      <c r="AN49" s="643"/>
      <c r="AO49" s="643"/>
      <c r="AP49" s="643"/>
      <c r="AQ49" s="30"/>
      <c r="AR49" s="40" t="s">
        <v>69</v>
      </c>
      <c r="AS49" s="171"/>
      <c r="AT49" s="165"/>
      <c r="AU49" s="165"/>
      <c r="AX49" s="165"/>
      <c r="AY49" s="165"/>
      <c r="AZ49" s="627"/>
      <c r="BA49" s="627"/>
      <c r="BB49" s="627"/>
      <c r="BC49" s="627"/>
      <c r="BD49" s="627"/>
      <c r="BE49" s="627"/>
      <c r="BF49" s="15"/>
      <c r="BG49" s="16"/>
      <c r="BH49" s="16"/>
      <c r="BI49" s="51"/>
      <c r="BJ49" s="74"/>
    </row>
    <row r="50" spans="1:62" ht="15.75" thickBot="1">
      <c r="A50" s="243"/>
      <c r="B50" s="48"/>
      <c r="C50" s="194" t="str">
        <f>IF(AND('Evaluation-Bewertung'!$C$36="X",'Input Form - EingabeMaske'!C68="x"),"X","&lt;&gt;")</f>
        <v>&lt;&gt;</v>
      </c>
      <c r="D50" s="232" t="str">
        <f>IF($A$31=FALSE,$AI$35,IF($C50="X",IF(ISBLANK('Questions - Fragen'!$D86),"--",'Questions - Fragen'!$D86),"xx"))</f>
        <v>xx</v>
      </c>
      <c r="E50" s="232" t="str">
        <f>IF($A$31=FALSE,$AI$35,IF($C50="X",IF(ISBLANK('Questions - Fragen'!$D97),"--",'Questions - Fragen'!$D97),"xx"))</f>
        <v>xx</v>
      </c>
      <c r="F50" s="232" t="str">
        <f>IF($A$31=FALSE,$AI$35,IF($C50="X",IF(ISBLANK('Questions - Fragen'!$D108),"--",'Questions - Fragen'!$D108),"xx"))</f>
        <v>xx</v>
      </c>
      <c r="G50" s="232" t="str">
        <f>IF($A$31=FALSE,$AI$35,IF($C50="X",IF(ISBLANK('Questions - Fragen'!$D119),"--",'Questions - Fragen'!$D119),"xx"))</f>
        <v>xx</v>
      </c>
      <c r="H50" s="633" t="str">
        <f>IF($A$31=FALSE,$AI$35,IF($C50="X",IF(ISBLANK('Questions - Fragen'!$D130),"--",'Questions - Fragen'!$D130),"xx"))</f>
        <v>xx</v>
      </c>
      <c r="I50" s="226"/>
      <c r="J50" s="232" t="str">
        <f>IF($A$31=FALSE,$AI$35,IF($C50="X",IF(ISBLANK('Questions - Fragen'!$D142),"--",'Questions - Fragen'!$D142),"xx"))</f>
        <v>xx</v>
      </c>
      <c r="K50" s="232" t="str">
        <f>IF($A$31=FALSE,$AI$35,IF($C50="X",IF(ISBLANK('Questions - Fragen'!$D153),"--",'Questions - Fragen'!$D153),"xx"))</f>
        <v>xx</v>
      </c>
      <c r="L50" s="633" t="str">
        <f>IF($A$31=FALSE,$AI$35,IF($C50="X",IF(ISBLANK('Questions - Fragen'!$D164),"--",'Questions - Fragen'!$D164),"xx"))</f>
        <v>xx</v>
      </c>
      <c r="M50" s="633" t="str">
        <f>IF($A$31=FALSE,$AI$35,IF($C50="X",IF(ISBLANK('Questions - Fragen'!$D175),"--",'Questions - Fragen'!$D175),"xx"))</f>
        <v>xx</v>
      </c>
      <c r="N50" s="232" t="str">
        <f>IF($A$31=FALSE,$AI$35,IF($C50="X",IF(ISBLANK('Questions - Fragen'!$D186),"--",'Questions - Fragen'!$D186),"xx"))</f>
        <v>xx</v>
      </c>
      <c r="O50" s="16"/>
      <c r="P50" s="633" t="str">
        <f>IF($A$31=FALSE,$AI$35,IF($C50="X",IF(ISBLANK('Questions - Fragen'!$D198),"--",'Questions - Fragen'!$D198),"xx"))</f>
        <v>xx</v>
      </c>
      <c r="Q50" s="232" t="str">
        <f>IF($A$31=FALSE,$AI$35,IF($C50="X",IF(ISBLANK('Questions - Fragen'!$D209),"--",'Questions - Fragen'!$D209),"xx"))</f>
        <v>xx</v>
      </c>
      <c r="R50" s="232" t="str">
        <f>IF($A$31=FALSE,$AI$35,IF($C50="X",IF(ISBLANK('Questions - Fragen'!$D220),"--",'Questions - Fragen'!$D220),"xx"))</f>
        <v>xx</v>
      </c>
      <c r="S50" s="226"/>
      <c r="T50" s="633" t="str">
        <f>IF($A$31=FALSE,$AI$35,IF($C50="X",IF(ISBLANK('Questions - Fragen'!$D232),"--",'Questions - Fragen'!$D232),"xx"))</f>
        <v>xx</v>
      </c>
      <c r="U50" s="232" t="str">
        <f>IF($A$31=FALSE,$AI$35,IF($C50="X",IF(ISBLANK('Questions - Fragen'!$D243),"--",'Questions - Fragen'!$D243),"xx"))</f>
        <v>xx</v>
      </c>
      <c r="V50" s="633" t="str">
        <f>IF($A$31=FALSE,$AI$35,IF($C50="X",IF(ISBLANK('Questions - Fragen'!$D254),"--",'Questions - Fragen'!$D254),"xx"))</f>
        <v>xx</v>
      </c>
      <c r="W50" s="232" t="str">
        <f>IF($A$31=FALSE,$AI$35,IF($C50="X",IF(ISBLANK('Questions - Fragen'!$D265),"--",'Questions - Fragen'!$D265),"xx"))</f>
        <v>xx</v>
      </c>
      <c r="X50" s="232" t="str">
        <f>IF($A$31=FALSE,$AI$35,IF($C50="X",IF(ISBLANK('Questions - Fragen'!$D276),"--",'Questions - Fragen'!$D276),"xx"))</f>
        <v>xx</v>
      </c>
      <c r="Z50" s="232" t="str">
        <f>IF($A$31=FALSE,$AI$35,IF($C50="X",IF(ISBLANK('Questions - Fragen'!$D288),"--",'Questions - Fragen'!$D288),"xx"))</f>
        <v>xx</v>
      </c>
      <c r="AA50" s="232" t="str">
        <f>IF($A$31=FALSE,$AI$35,IF($C50="X",IF(ISBLANK('Questions - Fragen'!$D299),"--",'Questions - Fragen'!$D299),"xx"))</f>
        <v>xx</v>
      </c>
      <c r="AB50" s="633" t="str">
        <f>IF($A$31=FALSE,$AI$35,IF($C50="X",IF(ISBLANK('Questions - Fragen'!$D310),"--",'Questions - Fragen'!$D310),"xx"))</f>
        <v>xx</v>
      </c>
      <c r="AC50" s="232" t="str">
        <f>IF($A$31=FALSE,$AI$35,IF($C50="X",IF(ISBLANK('Questions - Fragen'!$D321),"--",'Questions - Fragen'!$D321),"xx"))</f>
        <v>xx</v>
      </c>
      <c r="AD50" s="226"/>
      <c r="AE50" s="232" t="str">
        <f>IF($A$31=FALSE,$AI$35,IF($C50="X",IF(ISBLANK('Questions - Fragen'!$D333),"--",'Questions - Fragen'!$D333),"xx"))</f>
        <v>xx</v>
      </c>
      <c r="AF50" s="232" t="str">
        <f>IF($A$31=FALSE,$AI$35,IF($C50="X",IF(ISBLANK('Questions - Fragen'!$D344),"--",'Questions - Fragen'!$D344),"xx"))</f>
        <v>xx</v>
      </c>
      <c r="AG50" s="232" t="str">
        <f>IF($A$31=FALSE,$AI$35,IF($C50="X",IF(ISBLANK('Questions - Fragen'!$D355),"--",'Questions - Fragen'!$D355),"xx"))</f>
        <v>xx</v>
      </c>
      <c r="AH50" s="633" t="str">
        <f>IF($A$31=FALSE,$AI$35,IF($C50="X",IF(ISBLANK('Questions - Fragen'!$D366),"--",'Questions - Fragen'!$D366),"xx"))</f>
        <v>xx</v>
      </c>
      <c r="AI50" s="753">
        <f>COUNTIF(D50:AH50,"&gt;-")</f>
        <v>26</v>
      </c>
      <c r="AJ50" s="753">
        <f>COUNT(D50:AH50)</f>
        <v>0</v>
      </c>
      <c r="AK50" s="753">
        <v>17</v>
      </c>
      <c r="AL50" s="753" t="str">
        <f>IF(AND($A$31,AJ50&gt;=AK50),AJ50*10,"--")</f>
        <v>--</v>
      </c>
      <c r="AM50" s="753" t="str">
        <f>IF(AND($A$31,AJ50&gt;=AK50),SUM(D50:AH50),"--")</f>
        <v>--</v>
      </c>
      <c r="AN50" s="643"/>
      <c r="AO50" s="643"/>
      <c r="AP50" s="643"/>
      <c r="AQ50" s="39"/>
      <c r="AR50" s="43"/>
      <c r="AS50" s="1469" t="str">
        <f>IF($A$31=FALSE,$AI$35,IF(C50="&lt;&gt;","xx",IF(AJ50&lt;AK50,$AI$35,ROUND(AM50/AL50,2))))</f>
        <v>xx</v>
      </c>
      <c r="AT50" s="1470"/>
      <c r="AU50" s="16"/>
      <c r="AX50" s="784" t="str">
        <f>E50</f>
        <v>xx</v>
      </c>
      <c r="AY50" s="784" t="str">
        <f>F50</f>
        <v>xx</v>
      </c>
      <c r="AZ50" s="784" t="str">
        <f>G50</f>
        <v>xx</v>
      </c>
      <c r="BA50" s="784" t="str">
        <f>M50</f>
        <v>xx</v>
      </c>
      <c r="BB50" s="784" t="str">
        <f>N50</f>
        <v>xx</v>
      </c>
      <c r="BC50" s="784" t="str">
        <f>AE50</f>
        <v>xx</v>
      </c>
      <c r="BD50" s="784" t="str">
        <f>AF50</f>
        <v>xx</v>
      </c>
      <c r="BE50" s="784" t="str">
        <f>AG50</f>
        <v>xx</v>
      </c>
      <c r="BF50" s="15"/>
      <c r="BG50" s="16"/>
      <c r="BH50" s="16"/>
      <c r="BI50" s="51"/>
      <c r="BJ50" s="74"/>
    </row>
    <row r="51" spans="1:62" ht="15.75" thickBot="1">
      <c r="B51" s="48"/>
      <c r="C51" s="193"/>
      <c r="D51" s="185" t="s">
        <v>780</v>
      </c>
      <c r="E51" s="185"/>
      <c r="F51" s="175"/>
      <c r="G51" s="175"/>
      <c r="H51" s="630"/>
      <c r="I51" s="185" t="str">
        <f>PrSchr9</f>
        <v>Stage 9</v>
      </c>
      <c r="K51" s="175"/>
      <c r="L51" s="631"/>
      <c r="M51" s="631"/>
      <c r="N51" s="175"/>
      <c r="O51" s="16"/>
      <c r="P51" s="631"/>
      <c r="Q51" s="175"/>
      <c r="R51" s="175"/>
      <c r="S51" s="175"/>
      <c r="T51" s="631"/>
      <c r="U51" s="175"/>
      <c r="V51" s="631"/>
      <c r="W51" s="175"/>
      <c r="X51" s="175"/>
      <c r="Z51" s="175"/>
      <c r="AA51" s="175"/>
      <c r="AB51" s="631"/>
      <c r="AC51" s="175"/>
      <c r="AD51" s="175"/>
      <c r="AE51" s="175"/>
      <c r="AF51" s="175"/>
      <c r="AG51" s="175"/>
      <c r="AH51" s="631"/>
      <c r="AI51" s="643" t="str">
        <f>$K$7</f>
        <v>n.e.</v>
      </c>
      <c r="AJ51" s="643" t="str">
        <f>$L$7</f>
        <v>Act.</v>
      </c>
      <c r="AK51" s="643" t="str">
        <f>$M$7</f>
        <v>Target</v>
      </c>
      <c r="AL51" s="643">
        <f>N23</f>
        <v>0</v>
      </c>
      <c r="AM51" s="643">
        <f>O23</f>
        <v>0</v>
      </c>
      <c r="AN51" s="643"/>
      <c r="AO51" s="643"/>
      <c r="AP51" s="643"/>
      <c r="AQ51" s="30"/>
      <c r="AR51" s="40" t="s">
        <v>69</v>
      </c>
      <c r="AS51" s="171"/>
      <c r="AT51" s="165"/>
      <c r="AU51" s="165"/>
      <c r="AX51" s="165"/>
      <c r="AY51" s="165"/>
      <c r="AZ51" s="627"/>
      <c r="BA51" s="627"/>
      <c r="BB51" s="627"/>
      <c r="BC51" s="627"/>
      <c r="BD51" s="627"/>
      <c r="BE51" s="627"/>
      <c r="BF51" s="15"/>
      <c r="BG51" s="16"/>
      <c r="BH51" s="16"/>
      <c r="BI51" s="51"/>
      <c r="BJ51" s="74"/>
    </row>
    <row r="52" spans="1:62" ht="15.75" thickBot="1">
      <c r="A52" s="243"/>
      <c r="B52" s="48"/>
      <c r="C52" s="194" t="str">
        <f>IF(AND('Evaluation-Bewertung'!$C$36="X",'Input Form - EingabeMaske'!C70="x"),"X","&lt;&gt;")</f>
        <v>&lt;&gt;</v>
      </c>
      <c r="D52" s="232" t="str">
        <f>IF($A$31=FALSE,$AI$35,IF($C52="X",IF(ISBLANK('Questions - Fragen'!$D88),"--",'Questions - Fragen'!$D88),"xx"))</f>
        <v>xx</v>
      </c>
      <c r="E52" s="232" t="str">
        <f>IF($A$31=FALSE,$AI$35,IF($C52="X",IF(ISBLANK('Questions - Fragen'!$D99),"--",'Questions - Fragen'!$D99),"xx"))</f>
        <v>xx</v>
      </c>
      <c r="F52" s="232" t="str">
        <f>IF($A$31=FALSE,$AI$35,IF($C52="X",IF(ISBLANK('Questions - Fragen'!$D110),"--",'Questions - Fragen'!$D110),"xx"))</f>
        <v>xx</v>
      </c>
      <c r="G52" s="232" t="str">
        <f>IF($A$31=FALSE,$AI$35,IF($C52="X",IF(ISBLANK('Questions - Fragen'!$D121),"--",'Questions - Fragen'!$D121),"xx"))</f>
        <v>xx</v>
      </c>
      <c r="H52" s="633" t="str">
        <f>IF($A$31=FALSE,$AI$35,IF($C52="X",IF(ISBLANK('Questions - Fragen'!$D132),"--",'Questions - Fragen'!$D132),"xx"))</f>
        <v>xx</v>
      </c>
      <c r="I52" s="226"/>
      <c r="J52" s="232" t="str">
        <f>IF($A$31=FALSE,$AI$35,IF($C52="X",IF(ISBLANK('Questions - Fragen'!$D144),"--",'Questions - Fragen'!$D144),"xx"))</f>
        <v>xx</v>
      </c>
      <c r="K52" s="232" t="str">
        <f>IF($A$31=FALSE,$AI$35,IF($C52="X",IF(ISBLANK('Questions - Fragen'!$D155),"--",'Questions - Fragen'!$D155),"xx"))</f>
        <v>xx</v>
      </c>
      <c r="L52" s="633" t="str">
        <f>IF($A$31=FALSE,$AI$35,IF($C52="X",IF(ISBLANK('Questions - Fragen'!$D166),"--",'Questions - Fragen'!$D166),"xx"))</f>
        <v>xx</v>
      </c>
      <c r="M52" s="633" t="str">
        <f>IF($A$31=FALSE,$AI$35,IF($C52="X",IF(ISBLANK('Questions - Fragen'!$D177),"--",'Questions - Fragen'!$D177),"xx"))</f>
        <v>xx</v>
      </c>
      <c r="N52" s="232" t="str">
        <f>IF($A$31=FALSE,$AI$35,IF($C52="X",IF(ISBLANK('Questions - Fragen'!$D188),"--",'Questions - Fragen'!$D188),"xx"))</f>
        <v>xx</v>
      </c>
      <c r="O52" s="16"/>
      <c r="P52" s="633" t="str">
        <f>IF($A$31=FALSE,$AI$35,IF($C52="X",IF(ISBLANK('Questions - Fragen'!$D200),"--",'Questions - Fragen'!$D200),"xx"))</f>
        <v>xx</v>
      </c>
      <c r="Q52" s="232" t="str">
        <f>IF($A$31=FALSE,$AI$35,IF($C52="X",IF(ISBLANK('Questions - Fragen'!$D211),"--",'Questions - Fragen'!$D211),"xx"))</f>
        <v>xx</v>
      </c>
      <c r="R52" s="232" t="str">
        <f>IF($A$31=FALSE,$AI$35,IF($C52="X",IF(ISBLANK('Questions - Fragen'!$D222),"--",'Questions - Fragen'!$D222),"xx"))</f>
        <v>xx</v>
      </c>
      <c r="S52" s="226"/>
      <c r="T52" s="633" t="str">
        <f>IF($A$31=FALSE,$AI$35,IF($C52="X",IF(ISBLANK('Questions - Fragen'!$D234),"--",'Questions - Fragen'!$D234),"xx"))</f>
        <v>xx</v>
      </c>
      <c r="U52" s="232" t="str">
        <f>IF($A$31=FALSE,$AI$35,IF($C52="X",IF(ISBLANK('Questions - Fragen'!$D245),"--",'Questions - Fragen'!$D245),"xx"))</f>
        <v>xx</v>
      </c>
      <c r="V52" s="633" t="str">
        <f>IF($A$31=FALSE,$AI$35,IF($C52="X",IF(ISBLANK('Questions - Fragen'!$D256),"--",'Questions - Fragen'!$D256),"xx"))</f>
        <v>xx</v>
      </c>
      <c r="W52" s="232" t="str">
        <f>IF($A$31=FALSE,$AI$35,IF($C52="X",IF(ISBLANK('Questions - Fragen'!$D267),"--",'Questions - Fragen'!$D267),"xx"))</f>
        <v>xx</v>
      </c>
      <c r="X52" s="232" t="str">
        <f>IF($A$31=FALSE,$AI$35,IF($C52="X",IF(ISBLANK('Questions - Fragen'!$D278),"--",'Questions - Fragen'!$D278),"xx"))</f>
        <v>xx</v>
      </c>
      <c r="Z52" s="232" t="str">
        <f>IF($A$31=FALSE,$AI$35,IF($C52="X",IF(ISBLANK('Questions - Fragen'!$D290),"--",'Questions - Fragen'!$D290),"xx"))</f>
        <v>xx</v>
      </c>
      <c r="AA52" s="232" t="str">
        <f>IF($A$31=FALSE,$AI$35,IF($C52="X",IF(ISBLANK('Questions - Fragen'!$D301),"--",'Questions - Fragen'!$D301),"xx"))</f>
        <v>xx</v>
      </c>
      <c r="AB52" s="633" t="str">
        <f>IF($A$31=FALSE,$AI$35,IF($C52="X",IF(ISBLANK('Questions - Fragen'!$D312),"--",'Questions - Fragen'!$D312),"xx"))</f>
        <v>xx</v>
      </c>
      <c r="AC52" s="232" t="str">
        <f>IF($A$31=FALSE,$AI$35,IF($C52="X",IF(ISBLANK('Questions - Fragen'!$D323),"--",'Questions - Fragen'!$D323),"xx"))</f>
        <v>xx</v>
      </c>
      <c r="AD52" s="226"/>
      <c r="AE52" s="232" t="str">
        <f>IF($A$31=FALSE,$AI$35,IF($C52="X",IF(ISBLANK('Questions - Fragen'!$D335),"--",'Questions - Fragen'!$D335),"xx"))</f>
        <v>xx</v>
      </c>
      <c r="AF52" s="232" t="str">
        <f>IF($A$31=FALSE,$AI$35,IF($C52="X",IF(ISBLANK('Questions - Fragen'!$D346),"--",'Questions - Fragen'!$D346),"xx"))</f>
        <v>xx</v>
      </c>
      <c r="AG52" s="232" t="str">
        <f>IF($A$31=FALSE,$AI$35,IF($C52="X",IF(ISBLANK('Questions - Fragen'!$D357),"--",'Questions - Fragen'!$D357),"xx"))</f>
        <v>xx</v>
      </c>
      <c r="AH52" s="633" t="str">
        <f>IF($A$31=FALSE,$AI$35,IF($C52="X",IF(ISBLANK('Questions - Fragen'!$D368),"--",'Questions - Fragen'!$D368),"xx"))</f>
        <v>xx</v>
      </c>
      <c r="AI52" s="753">
        <f>COUNTIF(D52:AH52,"&gt;-")</f>
        <v>26</v>
      </c>
      <c r="AJ52" s="753">
        <f>COUNT(D52:AH52)</f>
        <v>0</v>
      </c>
      <c r="AK52" s="753">
        <v>17</v>
      </c>
      <c r="AL52" s="753" t="str">
        <f>IF(AND($A$31,AJ52&gt;=AK52),AJ52*10,"--")</f>
        <v>--</v>
      </c>
      <c r="AM52" s="753" t="str">
        <f>IF(AND($A$31,AJ52&gt;=AK52),SUM(D52:AH52),"--")</f>
        <v>--</v>
      </c>
      <c r="AN52" s="643"/>
      <c r="AO52" s="643"/>
      <c r="AP52" s="643"/>
      <c r="AQ52" s="39"/>
      <c r="AR52" s="43"/>
      <c r="AS52" s="1469" t="str">
        <f>IF($A$31=FALSE,$AI$35,IF(C52="&lt;&gt;","xx",IF(AJ52&lt;AK52,$AI$35,ROUND(AM52/AL52,2))))</f>
        <v>xx</v>
      </c>
      <c r="AT52" s="1470"/>
      <c r="AU52" s="16"/>
      <c r="AX52" s="784" t="str">
        <f>E52</f>
        <v>xx</v>
      </c>
      <c r="AY52" s="784" t="str">
        <f>F52</f>
        <v>xx</v>
      </c>
      <c r="AZ52" s="784" t="str">
        <f>G52</f>
        <v>xx</v>
      </c>
      <c r="BA52" s="784" t="str">
        <f>M52</f>
        <v>xx</v>
      </c>
      <c r="BB52" s="784" t="str">
        <f>N52</f>
        <v>xx</v>
      </c>
      <c r="BC52" s="784" t="str">
        <f>AE52</f>
        <v>xx</v>
      </c>
      <c r="BD52" s="784" t="str">
        <f>AF52</f>
        <v>xx</v>
      </c>
      <c r="BE52" s="784" t="str">
        <f>AG52</f>
        <v>xx</v>
      </c>
      <c r="BF52" s="15"/>
      <c r="BG52" s="16"/>
      <c r="BH52" s="16"/>
      <c r="BI52" s="51"/>
      <c r="BJ52" s="74"/>
    </row>
    <row r="53" spans="1:62" ht="15.75" thickBot="1">
      <c r="B53" s="48"/>
      <c r="C53" s="193"/>
      <c r="D53" s="185" t="s">
        <v>781</v>
      </c>
      <c r="E53" s="185"/>
      <c r="F53" s="175"/>
      <c r="G53" s="175"/>
      <c r="H53" s="630"/>
      <c r="I53" s="185" t="str">
        <f>PrSchr10</f>
        <v>Stage 10</v>
      </c>
      <c r="K53" s="175"/>
      <c r="L53" s="631"/>
      <c r="M53" s="631"/>
      <c r="N53" s="175"/>
      <c r="O53" s="16"/>
      <c r="P53" s="631"/>
      <c r="Q53" s="175"/>
      <c r="R53" s="175"/>
      <c r="S53" s="175"/>
      <c r="T53" s="631"/>
      <c r="U53" s="175"/>
      <c r="V53" s="631"/>
      <c r="W53" s="175"/>
      <c r="X53" s="175"/>
      <c r="Z53" s="175"/>
      <c r="AA53" s="175"/>
      <c r="AB53" s="631"/>
      <c r="AC53" s="175"/>
      <c r="AD53" s="175"/>
      <c r="AE53" s="175"/>
      <c r="AF53" s="175"/>
      <c r="AG53" s="175"/>
      <c r="AH53" s="631"/>
      <c r="AI53" s="643" t="str">
        <f>$K$7</f>
        <v>n.e.</v>
      </c>
      <c r="AJ53" s="643" t="str">
        <f>$L$7</f>
        <v>Act.</v>
      </c>
      <c r="AK53" s="643" t="str">
        <f>$M$7</f>
        <v>Target</v>
      </c>
      <c r="AL53" s="643">
        <f>N25</f>
        <v>0</v>
      </c>
      <c r="AM53" s="643">
        <f>O25</f>
        <v>0</v>
      </c>
      <c r="AN53" s="643"/>
      <c r="AO53" s="643"/>
      <c r="AP53" s="643"/>
      <c r="AQ53" s="30"/>
      <c r="AR53" s="40" t="s">
        <v>69</v>
      </c>
      <c r="AS53" s="171"/>
      <c r="AT53" s="165"/>
      <c r="AU53" s="165"/>
      <c r="AX53" s="165"/>
      <c r="AY53" s="165"/>
      <c r="AZ53" s="627"/>
      <c r="BA53" s="627"/>
      <c r="BB53" s="627"/>
      <c r="BC53" s="627"/>
      <c r="BD53" s="627"/>
      <c r="BE53" s="627"/>
      <c r="BF53" s="15"/>
      <c r="BG53" s="16"/>
      <c r="BH53" s="16"/>
      <c r="BI53" s="51"/>
      <c r="BJ53" s="74"/>
    </row>
    <row r="54" spans="1:62" ht="15.75" thickBot="1">
      <c r="A54" s="243"/>
      <c r="B54" s="48"/>
      <c r="C54" s="194" t="str">
        <f>IF(AND('Evaluation-Bewertung'!$C$36="X",'Input Form - EingabeMaske'!C72="x"),"X","&lt;&gt;")</f>
        <v>&lt;&gt;</v>
      </c>
      <c r="D54" s="232" t="str">
        <f>IF($A$31=FALSE,$AI$35,IF($C54="X",IF(ISBLANK('Questions - Fragen'!$D90),"--",'Questions - Fragen'!$D90),"xx"))</f>
        <v>xx</v>
      </c>
      <c r="E54" s="232" t="str">
        <f>IF($A$31=FALSE,$AI$35,IF($C54="X",IF(ISBLANK('Questions - Fragen'!$D101),"--",'Questions - Fragen'!$D101),"xx"))</f>
        <v>xx</v>
      </c>
      <c r="F54" s="232" t="str">
        <f>IF($A$31=FALSE,$AI$35,IF($C54="X",IF(ISBLANK('Questions - Fragen'!$D112),"--",'Questions - Fragen'!$D112),"xx"))</f>
        <v>xx</v>
      </c>
      <c r="G54" s="232" t="str">
        <f>IF($A$31=FALSE,$AI$35,IF($C54="X",IF(ISBLANK('Questions - Fragen'!$D123),"--",'Questions - Fragen'!$D123),"xx"))</f>
        <v>xx</v>
      </c>
      <c r="H54" s="633" t="str">
        <f>IF($A$31=FALSE,$AI$35,IF($C54="X",IF(ISBLANK('Questions - Fragen'!$D134),"--",'Questions - Fragen'!$D134),"xx"))</f>
        <v>xx</v>
      </c>
      <c r="I54" s="226"/>
      <c r="J54" s="232" t="str">
        <f>IF($A$31=FALSE,$AI$35,IF($C54="X",IF(ISBLANK('Questions - Fragen'!$D146),"--",'Questions - Fragen'!$D146),"xx"))</f>
        <v>xx</v>
      </c>
      <c r="K54" s="232" t="str">
        <f>IF($A$31=FALSE,$AI$35,IF($C54="X",IF(ISBLANK('Questions - Fragen'!$D157),"--",'Questions - Fragen'!$D157),"xx"))</f>
        <v>xx</v>
      </c>
      <c r="L54" s="633" t="str">
        <f>IF($A$31=FALSE,$AI$35,IF($C54="X",IF(ISBLANK('Questions - Fragen'!$D168),"--",'Questions - Fragen'!$D168),"xx"))</f>
        <v>xx</v>
      </c>
      <c r="M54" s="633" t="str">
        <f>IF($A$31=FALSE,$AI$35,IF($C54="X",IF(ISBLANK('Questions - Fragen'!$D179),"--",'Questions - Fragen'!$D179),"xx"))</f>
        <v>xx</v>
      </c>
      <c r="N54" s="232" t="str">
        <f>IF($A$31=FALSE,$AI$35,IF($C54="X",IF(ISBLANK('Questions - Fragen'!$D190),"--",'Questions - Fragen'!$D190),"xx"))</f>
        <v>xx</v>
      </c>
      <c r="O54" s="16"/>
      <c r="P54" s="633" t="str">
        <f>IF($A$31=FALSE,$AI$35,IF($C54="X",IF(ISBLANK('Questions - Fragen'!$D202),"--",'Questions - Fragen'!$D202),"xx"))</f>
        <v>xx</v>
      </c>
      <c r="Q54" s="232" t="str">
        <f>IF($A$31=FALSE,$AI$35,IF($C54="X",IF(ISBLANK('Questions - Fragen'!$D213),"--",'Questions - Fragen'!$D213),"xx"))</f>
        <v>xx</v>
      </c>
      <c r="R54" s="232" t="str">
        <f>IF($A$31=FALSE,$AI$35,IF($C54="X",IF(ISBLANK('Questions - Fragen'!$D224),"--",'Questions - Fragen'!$D224),"xx"))</f>
        <v>xx</v>
      </c>
      <c r="S54" s="226"/>
      <c r="T54" s="633" t="str">
        <f>IF($A$31=FALSE,$AI$35,IF($C54="X",IF(ISBLANK('Questions - Fragen'!$D236),"--",'Questions - Fragen'!$D236),"xx"))</f>
        <v>xx</v>
      </c>
      <c r="U54" s="232" t="str">
        <f>IF($A$31=FALSE,$AI$35,IF($C54="X",IF(ISBLANK('Questions - Fragen'!$D247),"--",'Questions - Fragen'!$D247),"xx"))</f>
        <v>xx</v>
      </c>
      <c r="V54" s="633" t="str">
        <f>IF($A$31=FALSE,$AI$35,IF($C54="X",IF(ISBLANK('Questions - Fragen'!$D258),"--",'Questions - Fragen'!$D258),"xx"))</f>
        <v>xx</v>
      </c>
      <c r="W54" s="232" t="str">
        <f>IF($A$31=FALSE,$AI$35,IF($C54="X",IF(ISBLANK('Questions - Fragen'!$D269),"--",'Questions - Fragen'!$D269),"xx"))</f>
        <v>xx</v>
      </c>
      <c r="X54" s="232" t="str">
        <f>IF($A$31=FALSE,$AI$35,IF($C54="X",IF(ISBLANK('Questions - Fragen'!$D280),"--",'Questions - Fragen'!$D280),"xx"))</f>
        <v>xx</v>
      </c>
      <c r="Z54" s="232" t="str">
        <f>IF($A$31=FALSE,$AI$35,IF($C54="X",IF(ISBLANK('Questions - Fragen'!$D292),"--",'Questions - Fragen'!$D292),"xx"))</f>
        <v>xx</v>
      </c>
      <c r="AA54" s="232" t="str">
        <f>IF($A$31=FALSE,$AI$35,IF($C54="X",IF(ISBLANK('Questions - Fragen'!$D303),"--",'Questions - Fragen'!$D303),"xx"))</f>
        <v>xx</v>
      </c>
      <c r="AB54" s="633" t="str">
        <f>IF($A$31=FALSE,$AI$35,IF($C54="X",IF(ISBLANK('Questions - Fragen'!$D314),"--",'Questions - Fragen'!$D314),"xx"))</f>
        <v>xx</v>
      </c>
      <c r="AC54" s="232" t="str">
        <f>IF($A$31=FALSE,$AI$35,IF($C54="X",IF(ISBLANK('Questions - Fragen'!$D325),"--",'Questions - Fragen'!$D325),"xx"))</f>
        <v>xx</v>
      </c>
      <c r="AD54" s="226"/>
      <c r="AE54" s="232" t="str">
        <f>IF($A$31=FALSE,$AI$35,IF($C54="X",IF(ISBLANK('Questions - Fragen'!$D337),"--",'Questions - Fragen'!$D337),"xx"))</f>
        <v>xx</v>
      </c>
      <c r="AF54" s="232" t="str">
        <f>IF($A$31=FALSE,$AI$35,IF($C54="X",IF(ISBLANK('Questions - Fragen'!$D348),"--",'Questions - Fragen'!$D348),"xx"))</f>
        <v>xx</v>
      </c>
      <c r="AG54" s="232" t="str">
        <f>IF($A$31=FALSE,$AI$35,IF($C54="X",IF(ISBLANK('Questions - Fragen'!$D359),"--",'Questions - Fragen'!$D359),"xx"))</f>
        <v>xx</v>
      </c>
      <c r="AH54" s="633" t="str">
        <f>IF($A$31=FALSE,$AI$35,IF($C54="X",IF(ISBLANK('Questions - Fragen'!$D370),"--",'Questions - Fragen'!$D370),"xx"))</f>
        <v>xx</v>
      </c>
      <c r="AI54" s="753">
        <f>COUNTIF(D54:AH54,"&gt;-")</f>
        <v>26</v>
      </c>
      <c r="AJ54" s="753">
        <f>COUNT(D54:AH54)</f>
        <v>0</v>
      </c>
      <c r="AK54" s="753">
        <v>17</v>
      </c>
      <c r="AL54" s="753" t="str">
        <f>IF(AND($A$31,AJ54&gt;=AK54),AJ54*10,"--")</f>
        <v>--</v>
      </c>
      <c r="AM54" s="753" t="str">
        <f>IF(AND($A$31,AJ54&gt;=AK54),SUM(D54:AH54),"--")</f>
        <v>--</v>
      </c>
      <c r="AN54" s="643"/>
      <c r="AO54" s="643"/>
      <c r="AP54" s="643"/>
      <c r="AQ54" s="39"/>
      <c r="AR54" s="43"/>
      <c r="AS54" s="1469" t="str">
        <f>IF($A$31=FALSE,$AI$35,IF(C54="&lt;&gt;","xx",IF(AJ54&lt;AK54,$AI$35,ROUND(AM54/AL54,2))))</f>
        <v>xx</v>
      </c>
      <c r="AT54" s="1470"/>
      <c r="AU54" s="16"/>
      <c r="AX54" s="784" t="str">
        <f>E54</f>
        <v>xx</v>
      </c>
      <c r="AY54" s="784" t="str">
        <f>F54</f>
        <v>xx</v>
      </c>
      <c r="AZ54" s="784" t="str">
        <f>G54</f>
        <v>xx</v>
      </c>
      <c r="BA54" s="784" t="str">
        <f>M54</f>
        <v>xx</v>
      </c>
      <c r="BB54" s="784" t="str">
        <f>N54</f>
        <v>xx</v>
      </c>
      <c r="BC54" s="784" t="str">
        <f>AE54</f>
        <v>xx</v>
      </c>
      <c r="BD54" s="784" t="str">
        <f>AF54</f>
        <v>xx</v>
      </c>
      <c r="BE54" s="784" t="str">
        <f>AG54</f>
        <v>xx</v>
      </c>
      <c r="BF54" s="15"/>
      <c r="BG54" s="16"/>
      <c r="BH54" s="16"/>
      <c r="BI54" s="51"/>
      <c r="BJ54" s="74"/>
    </row>
    <row r="55" spans="1:62" ht="15">
      <c r="A55" s="242" t="s">
        <v>223</v>
      </c>
      <c r="B55" s="48"/>
      <c r="C55" s="196"/>
      <c r="D55" s="187"/>
      <c r="E55" s="187"/>
      <c r="F55" s="187"/>
      <c r="G55" s="187"/>
      <c r="H55" s="187"/>
      <c r="I55" s="187"/>
      <c r="J55" s="187"/>
      <c r="K55" s="187"/>
      <c r="L55" s="187"/>
      <c r="M55" s="187"/>
      <c r="N55" s="187"/>
      <c r="O55" s="16"/>
      <c r="P55" s="187"/>
      <c r="Q55" s="187"/>
      <c r="R55" s="187"/>
      <c r="S55" s="187"/>
      <c r="T55" s="187"/>
      <c r="U55" s="187"/>
      <c r="V55" s="187"/>
      <c r="W55" s="187"/>
      <c r="X55" s="187"/>
      <c r="Z55" s="187"/>
      <c r="AA55" s="187"/>
      <c r="AB55" s="187"/>
      <c r="AC55" s="187"/>
      <c r="AD55" s="187"/>
      <c r="AE55" s="187"/>
      <c r="AF55" s="187"/>
      <c r="AG55" s="187"/>
      <c r="AH55" s="187"/>
      <c r="AI55" s="187"/>
      <c r="AJ55" s="187"/>
      <c r="AK55" s="187"/>
      <c r="AL55" s="187"/>
      <c r="AM55" s="39"/>
      <c r="AN55" s="643"/>
      <c r="AO55" s="643"/>
      <c r="AP55" s="643"/>
      <c r="AQ55" s="39"/>
      <c r="AR55" s="39"/>
      <c r="AS55" s="39"/>
      <c r="AT55" s="39"/>
      <c r="AU55" s="39"/>
      <c r="AX55" s="783"/>
      <c r="AY55" s="783"/>
      <c r="AZ55" s="783"/>
      <c r="BA55" s="783"/>
      <c r="BB55" s="783"/>
      <c r="BC55" s="783"/>
      <c r="BD55" s="783"/>
      <c r="BE55" s="783"/>
      <c r="BF55" s="15"/>
      <c r="BG55" s="16"/>
      <c r="BH55" s="16"/>
      <c r="BI55" s="51"/>
      <c r="BJ55" s="16"/>
    </row>
    <row r="56" spans="1:62" ht="15">
      <c r="A56" s="243" t="str">
        <f>IF(COUNTIF(A36:A40,"n.b.")=10,"n.b.",IF(COUNTIF(A36:A40,"C")&gt;=1,"C",IF(COUNTIF(A36:A40,"B")&gt;=1,"B","A")))</f>
        <v>A</v>
      </c>
      <c r="B56" s="48"/>
      <c r="C56" s="36"/>
      <c r="D56" s="197" t="str">
        <f>'Evaluation-Bewertung'!D56</f>
        <v>Results of the sub elements for process analysis (Average Levels 1 - n)</v>
      </c>
      <c r="E56" s="31"/>
      <c r="F56" s="31"/>
      <c r="G56" s="31"/>
      <c r="H56" s="31"/>
      <c r="I56" s="31"/>
      <c r="J56" s="31"/>
      <c r="K56" s="31"/>
      <c r="L56" s="31"/>
      <c r="M56" s="31"/>
      <c r="N56" s="31"/>
      <c r="O56" s="16"/>
      <c r="P56" s="31"/>
      <c r="Q56" s="176"/>
      <c r="R56" s="31"/>
      <c r="S56" s="31"/>
      <c r="T56" s="31"/>
      <c r="U56" s="31"/>
      <c r="V56" s="31"/>
      <c r="W56" s="31"/>
      <c r="X56" s="31"/>
      <c r="Z56" s="31"/>
      <c r="AA56" s="31"/>
      <c r="AB56" s="176"/>
      <c r="AC56" s="31"/>
      <c r="AD56" s="31"/>
      <c r="AE56" s="31"/>
      <c r="AF56" s="31"/>
      <c r="AG56" s="31"/>
      <c r="AH56" s="31"/>
      <c r="AI56" s="31"/>
      <c r="AJ56" s="31"/>
      <c r="AK56" s="31"/>
      <c r="AL56" s="31"/>
      <c r="AM56" s="31"/>
      <c r="AN56" s="643"/>
      <c r="AO56" s="643"/>
      <c r="AP56" s="643"/>
      <c r="AQ56" s="31"/>
      <c r="AR56" s="31"/>
      <c r="AS56" s="31"/>
      <c r="AT56" s="198">
        <f>+COUNTIF(AS36:AT40,$AI$35)</f>
        <v>0</v>
      </c>
      <c r="AU56" s="198"/>
      <c r="AX56" s="198"/>
      <c r="AY56" s="198"/>
      <c r="AZ56" s="198"/>
      <c r="BA56" s="198"/>
      <c r="BB56" s="198"/>
      <c r="BC56" s="198"/>
      <c r="BD56" s="198"/>
      <c r="BE56" s="198"/>
      <c r="BF56" s="16"/>
      <c r="BG56" s="16"/>
      <c r="BH56" s="16"/>
      <c r="BI56" s="49"/>
      <c r="BJ56" s="34"/>
    </row>
    <row r="57" spans="1:62" ht="15" thickBot="1">
      <c r="B57" s="48"/>
      <c r="C57" s="33"/>
      <c r="D57" s="31"/>
      <c r="E57" s="31"/>
      <c r="F57" s="31"/>
      <c r="G57" s="31"/>
      <c r="H57" s="31"/>
      <c r="I57" s="31"/>
      <c r="J57" s="31"/>
      <c r="K57" s="31"/>
      <c r="L57" s="31"/>
      <c r="M57" s="31"/>
      <c r="N57" s="31"/>
      <c r="O57" s="16"/>
      <c r="P57" s="31"/>
      <c r="Q57" s="176"/>
      <c r="R57" s="31"/>
      <c r="S57" s="31"/>
      <c r="T57" s="31"/>
      <c r="U57" s="15"/>
      <c r="V57" s="15"/>
      <c r="W57" s="15"/>
      <c r="X57" s="15"/>
      <c r="Z57" s="15"/>
      <c r="AA57" s="15"/>
      <c r="AB57" s="179"/>
      <c r="AC57" s="15"/>
      <c r="AD57" s="15"/>
      <c r="AE57" s="15"/>
      <c r="AF57" s="15"/>
      <c r="AG57" s="15"/>
      <c r="AH57" s="15"/>
      <c r="AI57" s="15"/>
      <c r="AJ57" s="15"/>
      <c r="AK57" s="15"/>
      <c r="AL57" s="15"/>
      <c r="AM57" s="15"/>
      <c r="AN57" s="643"/>
      <c r="AO57" s="643"/>
      <c r="AP57" s="643"/>
      <c r="AQ57" s="15"/>
      <c r="AR57" s="15"/>
      <c r="AS57" s="15"/>
      <c r="AT57" s="15"/>
      <c r="AU57" s="15"/>
      <c r="AX57" s="15"/>
      <c r="AY57" s="15"/>
      <c r="AZ57" s="15"/>
      <c r="BA57" s="15"/>
      <c r="BB57" s="15"/>
      <c r="BC57" s="15"/>
      <c r="BD57" s="15"/>
      <c r="BE57" s="15"/>
      <c r="BF57" s="16"/>
      <c r="BG57" s="16"/>
      <c r="BH57" s="16"/>
      <c r="BI57" s="51"/>
      <c r="BJ57" s="16"/>
    </row>
    <row r="58" spans="1:62" ht="15" thickBot="1">
      <c r="B58" s="48"/>
      <c r="C58" s="30"/>
      <c r="D58" s="755" t="str">
        <f>D34</f>
        <v>6.1.1</v>
      </c>
      <c r="E58" s="756" t="str">
        <f>E34</f>
        <v>6.1.2</v>
      </c>
      <c r="F58" s="757" t="str">
        <f>F34</f>
        <v>6.1.3</v>
      </c>
      <c r="G58" s="757" t="str">
        <f>G34</f>
        <v>6.1.4</v>
      </c>
      <c r="H58" s="758" t="str">
        <f>H34</f>
        <v>6.1.5*</v>
      </c>
      <c r="I58" s="341"/>
      <c r="J58" s="755" t="str">
        <f>J34</f>
        <v>6.2.1</v>
      </c>
      <c r="K58" s="756" t="str">
        <f>K34</f>
        <v>6.2.2</v>
      </c>
      <c r="L58" s="764" t="str">
        <f>L34</f>
        <v>6.2.3*</v>
      </c>
      <c r="M58" s="764" t="str">
        <f>M34</f>
        <v>6.2.4*</v>
      </c>
      <c r="N58" s="765" t="str">
        <f>N34</f>
        <v>6.2.5</v>
      </c>
      <c r="O58" s="961"/>
      <c r="P58" s="757" t="str">
        <f>P34</f>
        <v>6.3.1*</v>
      </c>
      <c r="Q58" s="757" t="str">
        <f>Q34</f>
        <v>6.3.2</v>
      </c>
      <c r="R58" s="765" t="str">
        <f>R34</f>
        <v>6.3.3</v>
      </c>
      <c r="S58" s="340"/>
      <c r="T58" s="771" t="str">
        <f>T34</f>
        <v>6.4.1*</v>
      </c>
      <c r="U58" s="757" t="str">
        <f>U34</f>
        <v>6.4.2</v>
      </c>
      <c r="V58" s="764" t="str">
        <f>V34</f>
        <v>6.4.3*</v>
      </c>
      <c r="W58" s="757" t="str">
        <f>W34</f>
        <v>6.4.4</v>
      </c>
      <c r="X58" s="765" t="str">
        <f>X34</f>
        <v>6.4.5</v>
      </c>
      <c r="Z58" s="755" t="str">
        <f>Z34</f>
        <v>6.5.1</v>
      </c>
      <c r="AA58" s="757" t="str">
        <f>AA34</f>
        <v>6.5.2</v>
      </c>
      <c r="AB58" s="764" t="str">
        <f>AB34</f>
        <v>6.5.3*</v>
      </c>
      <c r="AC58" s="765" t="str">
        <f>AC34</f>
        <v>6.5.4</v>
      </c>
      <c r="AD58" s="341"/>
      <c r="AE58" s="755" t="str">
        <f>AE34</f>
        <v>6.6.1</v>
      </c>
      <c r="AF58" s="757" t="str">
        <f>AF34</f>
        <v>6.6.2</v>
      </c>
      <c r="AG58" s="757" t="str">
        <f>AG34</f>
        <v>6.6.3</v>
      </c>
      <c r="AH58" s="758" t="str">
        <f>AH34</f>
        <v>6.6.4*</v>
      </c>
      <c r="AI58" s="643" t="str">
        <f>'Evaluation-Bewertung'!AI58</f>
        <v>n.e.</v>
      </c>
      <c r="AJ58" s="643" t="str">
        <f>'Evaluation-Bewertung'!AJ58</f>
        <v>Act.</v>
      </c>
      <c r="AK58" s="643" t="str">
        <f>'Evaluation-Bewertung'!AK58</f>
        <v>Target</v>
      </c>
      <c r="AL58" s="643" t="str">
        <f>'Evaluation-Bewertung'!AL58</f>
        <v>Max.</v>
      </c>
      <c r="AM58" s="643" t="str">
        <f>'Evaluation-Bewertung'!AM58</f>
        <v>Act.</v>
      </c>
      <c r="AN58" s="643"/>
      <c r="AO58" s="643"/>
      <c r="AP58" s="643"/>
      <c r="AQ58" s="30"/>
      <c r="AR58" s="15"/>
      <c r="AS58" s="15"/>
      <c r="AT58" s="15"/>
      <c r="AU58" s="15"/>
      <c r="AX58" s="774" t="str">
        <f t="shared" ref="AX58:BE58" si="8">AX34</f>
        <v>6.1.2</v>
      </c>
      <c r="AY58" s="775" t="str">
        <f t="shared" si="8"/>
        <v>6.1.3</v>
      </c>
      <c r="AZ58" s="775" t="str">
        <f t="shared" si="8"/>
        <v>6.1.4</v>
      </c>
      <c r="BA58" s="775" t="str">
        <f t="shared" si="8"/>
        <v>6.2.4</v>
      </c>
      <c r="BB58" s="775" t="str">
        <f t="shared" si="8"/>
        <v>6.2.5</v>
      </c>
      <c r="BC58" s="775" t="str">
        <f t="shared" si="8"/>
        <v>6.6.1</v>
      </c>
      <c r="BD58" s="775" t="str">
        <f t="shared" si="8"/>
        <v>6.6.2</v>
      </c>
      <c r="BE58" s="776" t="str">
        <f t="shared" si="8"/>
        <v>6.6.3</v>
      </c>
      <c r="BF58" s="16"/>
      <c r="BG58" s="16"/>
      <c r="BH58" s="16"/>
      <c r="BI58" s="51"/>
      <c r="BJ58" s="16"/>
    </row>
    <row r="59" spans="1:62" ht="15.75" thickBot="1">
      <c r="B59" s="48"/>
      <c r="C59" s="36"/>
      <c r="D59" s="677">
        <f>IF(ISERROR(AVERAGE(D36:D40)),$AI$35,ROUND(AVERAGE(D36:D40),2))</f>
        <v>10</v>
      </c>
      <c r="E59" s="653">
        <f>IF(ISERROR(AVERAGE(E36:E40)),$AI$35,ROUND(AVERAGE(E36:E40),2))</f>
        <v>10</v>
      </c>
      <c r="F59" s="653">
        <f>IF(ISERROR(AVERAGE(F36:F40)),$AI$35,ROUND(AVERAGE(F36:F40),2))</f>
        <v>10</v>
      </c>
      <c r="G59" s="653">
        <f>IF(ISERROR(AVERAGE(G36:G40)),$AI$35,ROUND(AVERAGE(G36:G40),2))</f>
        <v>10</v>
      </c>
      <c r="H59" s="678" t="str">
        <f>IF(ISERROR(AVERAGE(H36:H40)),$AI$35,ROUND(AVERAGE(H36:H40),2))</f>
        <v>n.e.</v>
      </c>
      <c r="I59" s="227"/>
      <c r="J59" s="677" t="str">
        <f>IF(ISERROR(AVERAGE(J36:J40)),$AI$35,ROUND(AVERAGE(J36:J40),2))</f>
        <v>n.e.</v>
      </c>
      <c r="K59" s="723" t="str">
        <f>IF(ISERROR(AVERAGE(K36:K40)),$AI$35,ROUND(AVERAGE(K36:K40),2))</f>
        <v>n.e.</v>
      </c>
      <c r="L59" s="679" t="str">
        <f>IF(ISERROR(AVERAGE(L36:L40)),$AI$35,ROUND(AVERAGE(L36:L40),2))</f>
        <v>n.e.</v>
      </c>
      <c r="M59" s="679">
        <f>IF(ISERROR(AVERAGE(M36:M40)),$AI$35,ROUND(AVERAGE(M36:M40),2))</f>
        <v>10</v>
      </c>
      <c r="N59" s="680">
        <f>IF(ISERROR(AVERAGE(N36:N40)),$AI$35,ROUND(AVERAGE(N36:N40),2))</f>
        <v>10</v>
      </c>
      <c r="O59" s="962"/>
      <c r="P59" s="681">
        <f>IF(ISERROR(AVERAGE(P36:P40)),$AI$35,ROUND(AVERAGE(P36:P40),2))</f>
        <v>10</v>
      </c>
      <c r="Q59" s="723">
        <f>IF(ISERROR(AVERAGE(Q36:Q40)),$AI$35,ROUND(AVERAGE(Q36:Q40),2))</f>
        <v>10</v>
      </c>
      <c r="R59" s="680">
        <f>IF(ISERROR(AVERAGE(R36:R40)),$AI$35,ROUND(AVERAGE(R36:R40),2))</f>
        <v>10</v>
      </c>
      <c r="S59" s="228"/>
      <c r="T59" s="681" t="str">
        <f>IF(ISERROR(AVERAGE(T36:T40)),$AI$35,ROUND(AVERAGE(T36:T40),2))</f>
        <v>n.e.</v>
      </c>
      <c r="U59" s="653">
        <f>IF(ISERROR(AVERAGE(U36:U40)),$AI$35,ROUND(AVERAGE(U36:U40),2))</f>
        <v>6</v>
      </c>
      <c r="V59" s="679">
        <f>IF(ISERROR(AVERAGE(V36:V40)),$AI$35,ROUND(AVERAGE(V36:V40),2))</f>
        <v>10</v>
      </c>
      <c r="W59" s="653">
        <f>IF(ISERROR(AVERAGE(W36:W40)),$AI$35,ROUND(AVERAGE(W36:W40),2))</f>
        <v>10</v>
      </c>
      <c r="X59" s="680">
        <f>IF(ISERROR(AVERAGE(X36:X40)),$AI$35,ROUND(AVERAGE(X36:X40),2))</f>
        <v>10</v>
      </c>
      <c r="Z59" s="677">
        <f>IF(ISERROR(AVERAGE(Z36:Z40)),$AI$35,ROUND(AVERAGE(Z36:Z40),2))</f>
        <v>10</v>
      </c>
      <c r="AA59" s="653">
        <f>IF(ISERROR(AVERAGE(AA36:AA40)),$AI$35,ROUND(AVERAGE(AA36:AA40),2))</f>
        <v>10</v>
      </c>
      <c r="AB59" s="679">
        <f>IF(ISERROR(AVERAGE(AB36:AB40)),$AI$35,ROUND(AVERAGE(AB36:AB40),2))</f>
        <v>10</v>
      </c>
      <c r="AC59" s="680">
        <f>IF(ISERROR(AVERAGE(AC36:AC40)),$AI$35,ROUND(AVERAGE(AC36:AC40),2))</f>
        <v>10</v>
      </c>
      <c r="AD59" s="228"/>
      <c r="AE59" s="677">
        <f>IF(ISERROR(AVERAGE(AE36:AE40)),$AI$35,ROUND(AVERAGE(AE36:AE40),2))</f>
        <v>10</v>
      </c>
      <c r="AF59" s="653">
        <f>IF(ISERROR(AVERAGE(AF36:AF40)),$AI$35,ROUND(AVERAGE(AF36:AF40),2))</f>
        <v>10</v>
      </c>
      <c r="AG59" s="653">
        <f>IF(ISERROR(AVERAGE(AG36:AG40)),$AI$35,ROUND(AVERAGE(AG36:AG40),2))</f>
        <v>8</v>
      </c>
      <c r="AH59" s="678">
        <f>IF(ISERROR(AVERAGE(AH36:AH40)),$AI$35,ROUND(AVERAGE(AH36:AH40),2))</f>
        <v>10</v>
      </c>
      <c r="AI59" s="753">
        <f>SUM(AI36:AI40)</f>
        <v>57</v>
      </c>
      <c r="AJ59" s="753">
        <f>SUM(AJ36:AJ40)</f>
        <v>21</v>
      </c>
      <c r="AK59" s="753">
        <f>SUM(F61,L61,P61,V61,AA61,AF61)</f>
        <v>20</v>
      </c>
      <c r="AL59" s="753">
        <f>COUNT(D59:AH59)*10</f>
        <v>210</v>
      </c>
      <c r="AM59" s="753">
        <f>SUM(D59:AH59)</f>
        <v>204</v>
      </c>
      <c r="AN59" s="643"/>
      <c r="AO59" s="643"/>
      <c r="AP59" s="643"/>
      <c r="AQ59" s="200"/>
      <c r="AR59" s="722" t="s">
        <v>303</v>
      </c>
      <c r="AS59" s="1469">
        <f>IF(COUNTIF(AS36:AT40,$AI$35)&gt;0,$AI$35,ROUND(AM59/AL59,2))</f>
        <v>0.97</v>
      </c>
      <c r="AT59" s="1470"/>
      <c r="AU59" s="16"/>
      <c r="AX59" s="725">
        <f t="shared" ref="AX59:BE59" si="9">IF(ISERROR(AVERAGE(AX36:AX40)),$AI$35,ROUND(AVERAGE(AX36:AX40),2))</f>
        <v>10</v>
      </c>
      <c r="AY59" s="680">
        <f t="shared" si="9"/>
        <v>10</v>
      </c>
      <c r="AZ59" s="680">
        <f t="shared" si="9"/>
        <v>10</v>
      </c>
      <c r="BA59" s="680">
        <f t="shared" si="9"/>
        <v>10</v>
      </c>
      <c r="BB59" s="680">
        <f t="shared" si="9"/>
        <v>10</v>
      </c>
      <c r="BC59" s="680">
        <f t="shared" si="9"/>
        <v>10</v>
      </c>
      <c r="BD59" s="680">
        <f t="shared" si="9"/>
        <v>10</v>
      </c>
      <c r="BE59" s="680">
        <f t="shared" si="9"/>
        <v>8</v>
      </c>
      <c r="BF59" s="16"/>
      <c r="BG59" s="16"/>
      <c r="BH59" s="16"/>
      <c r="BI59" s="51"/>
      <c r="BJ59" s="16"/>
    </row>
    <row r="60" spans="1:62">
      <c r="B60" s="48"/>
      <c r="C60" s="31"/>
      <c r="D60" s="48"/>
      <c r="E60" s="751" t="str">
        <f>$L$7</f>
        <v>Act.</v>
      </c>
      <c r="F60" s="751" t="str">
        <f>$M$7</f>
        <v>Target</v>
      </c>
      <c r="G60" s="751" t="s">
        <v>260</v>
      </c>
      <c r="H60" s="759" t="s">
        <v>202</v>
      </c>
      <c r="J60" s="766"/>
      <c r="K60" s="751" t="str">
        <f>$L$7</f>
        <v>Act.</v>
      </c>
      <c r="L60" s="751" t="str">
        <f>$M$7</f>
        <v>Target</v>
      </c>
      <c r="M60" s="751" t="s">
        <v>260</v>
      </c>
      <c r="N60" s="759" t="s">
        <v>202</v>
      </c>
      <c r="O60" s="768" t="str">
        <f>$L$7</f>
        <v>Act.</v>
      </c>
      <c r="P60" s="751" t="str">
        <f>$M$7</f>
        <v>Target</v>
      </c>
      <c r="Q60" s="751" t="s">
        <v>260</v>
      </c>
      <c r="R60" s="759" t="s">
        <v>202</v>
      </c>
      <c r="T60" s="766"/>
      <c r="U60" s="751" t="str">
        <f>$L$7</f>
        <v>Act.</v>
      </c>
      <c r="V60" s="751" t="str">
        <f>$M$7</f>
        <v>Target</v>
      </c>
      <c r="W60" s="751" t="s">
        <v>260</v>
      </c>
      <c r="X60" s="759" t="s">
        <v>202</v>
      </c>
      <c r="Y60" s="31"/>
      <c r="Z60" s="768" t="str">
        <f>$L$7</f>
        <v>Act.</v>
      </c>
      <c r="AA60" s="751" t="str">
        <f>$M$7</f>
        <v>Target</v>
      </c>
      <c r="AB60" s="751" t="s">
        <v>260</v>
      </c>
      <c r="AC60" s="759" t="s">
        <v>202</v>
      </c>
      <c r="AD60" s="31"/>
      <c r="AE60" s="768" t="str">
        <f>$L$7</f>
        <v>Act.</v>
      </c>
      <c r="AF60" s="751" t="str">
        <f>$M$7</f>
        <v>Target</v>
      </c>
      <c r="AG60" s="751" t="s">
        <v>260</v>
      </c>
      <c r="AH60" s="759" t="s">
        <v>202</v>
      </c>
      <c r="AI60" s="31"/>
      <c r="AJ60" s="31"/>
      <c r="AK60" s="31"/>
      <c r="AL60" s="31"/>
      <c r="AM60" s="495"/>
      <c r="AN60" s="643"/>
      <c r="AO60" s="643"/>
      <c r="AP60" s="643"/>
      <c r="AQ60" s="495"/>
      <c r="AR60" s="495"/>
      <c r="AS60" s="495"/>
      <c r="AT60" s="495"/>
      <c r="AU60" s="495"/>
      <c r="AX60" s="777"/>
      <c r="AY60" s="495"/>
      <c r="AZ60" s="495"/>
      <c r="BA60" s="495"/>
      <c r="BB60" s="495"/>
      <c r="BC60" s="495"/>
      <c r="BD60" s="495"/>
      <c r="BE60" s="52"/>
      <c r="BF60" s="16"/>
      <c r="BG60" s="16"/>
      <c r="BH60" s="16"/>
      <c r="BI60" s="52"/>
      <c r="BJ60" s="495"/>
    </row>
    <row r="61" spans="1:62" ht="15.75" thickBot="1">
      <c r="B61" s="48"/>
      <c r="C61" s="38"/>
      <c r="D61" s="48"/>
      <c r="E61" s="754">
        <f>COUNT(D36:H40)</f>
        <v>4</v>
      </c>
      <c r="F61" s="754">
        <f>ROUNDUP(COUNTIF($C$36:$C$40,"X")*5/3*2,0)</f>
        <v>4</v>
      </c>
      <c r="G61" s="754">
        <f>IF(AND($A31,E61&gt;=F61),E61*10,"--")</f>
        <v>40</v>
      </c>
      <c r="H61" s="760">
        <f>IF(AND($A31,E61&gt;=F61),SUM(D36:H40),"--")</f>
        <v>40</v>
      </c>
      <c r="J61" s="48"/>
      <c r="K61" s="754">
        <f>COUNT(J36:N40)</f>
        <v>2</v>
      </c>
      <c r="L61" s="754">
        <f>ROUNDUP(COUNTIF($C$36:$C$40,"X")*5/3*2,0)</f>
        <v>4</v>
      </c>
      <c r="M61" s="754" t="str">
        <f>IF(AND($A31,K61&gt;=L61),K61*10,"--")</f>
        <v>--</v>
      </c>
      <c r="N61" s="760" t="str">
        <f>IF(AND($A31,K61&gt;=L61),SUM(J36:N40),"--")</f>
        <v>--</v>
      </c>
      <c r="O61" s="782">
        <f>COUNT(P36:R40)</f>
        <v>3</v>
      </c>
      <c r="P61" s="754">
        <f>ROUNDUP(COUNTIF($C$36:$C$40,"X")*3/3*2,0)</f>
        <v>2</v>
      </c>
      <c r="Q61" s="754">
        <f>IF(AND($A31,O61&gt;=P61),O61*10,"--")</f>
        <v>30</v>
      </c>
      <c r="R61" s="760">
        <f>IF(AND($A31,O61&gt;=P61),SUM(P36:R40),"--")</f>
        <v>30</v>
      </c>
      <c r="T61" s="48"/>
      <c r="U61" s="754">
        <f>COUNT(T36:X40)</f>
        <v>4</v>
      </c>
      <c r="V61" s="754">
        <f>ROUNDUP(COUNTIF($C$36:$C$40,"X")*5/3*2,0)</f>
        <v>4</v>
      </c>
      <c r="W61" s="754">
        <f>IF(AND($A31,U61&gt;=V61),U61*10,"--")</f>
        <v>40</v>
      </c>
      <c r="X61" s="760">
        <f>IF(AND($A31,U61&gt;=V61),SUM(T36:X40),"--")</f>
        <v>36</v>
      </c>
      <c r="Y61" s="38"/>
      <c r="Z61" s="782">
        <f>COUNT(Z36:AC40)</f>
        <v>4</v>
      </c>
      <c r="AA61" s="754">
        <f>ROUNDUP(COUNTIF($C$36:$C$40,"X")*4/3*2,0)</f>
        <v>3</v>
      </c>
      <c r="AB61" s="754">
        <f>IF(AND($A31,Z61&gt;=AA61),Z61*10,"--")</f>
        <v>40</v>
      </c>
      <c r="AC61" s="760">
        <f>IF(AND($A31,Z61&gt;=AA61),SUM(Z36:AC40),"--")</f>
        <v>40</v>
      </c>
      <c r="AD61" s="43"/>
      <c r="AE61" s="782">
        <f>COUNT(AE36:AH40)</f>
        <v>4</v>
      </c>
      <c r="AF61" s="754">
        <f>ROUNDUP(COUNTIF($C$36:$C$40,"X")*4/3*2,0)</f>
        <v>3</v>
      </c>
      <c r="AG61" s="754">
        <f>IF(AND($A31,AE61&gt;=AF61),AE61*10,"--")</f>
        <v>40</v>
      </c>
      <c r="AH61" s="760">
        <f>IF(AND($A31,AE61&gt;=AF61),SUM(AE36:AH40),"--")</f>
        <v>38</v>
      </c>
      <c r="AR61" s="38"/>
      <c r="AS61" s="202"/>
      <c r="AT61" s="331"/>
      <c r="AX61" s="768" t="str">
        <f>$K$7</f>
        <v>n.e.</v>
      </c>
      <c r="AY61" s="751" t="str">
        <f>$L$7</f>
        <v>Act.</v>
      </c>
      <c r="AZ61" s="751" t="str">
        <f>$M$7</f>
        <v>Target</v>
      </c>
      <c r="BA61" s="751" t="str">
        <f>$N$7</f>
        <v>Max.</v>
      </c>
      <c r="BB61" s="751" t="str">
        <f>$O$7</f>
        <v>Act.</v>
      </c>
      <c r="BC61" s="202"/>
      <c r="BD61" s="202"/>
      <c r="BE61" s="778"/>
      <c r="BF61" s="16"/>
      <c r="BG61" s="16"/>
      <c r="BH61" s="16"/>
      <c r="BI61" s="54"/>
    </row>
    <row r="62" spans="1:62" ht="15.75" thickBot="1">
      <c r="B62" s="48"/>
      <c r="C62" s="43"/>
      <c r="D62" s="761"/>
      <c r="E62" s="762"/>
      <c r="F62" s="763" t="s">
        <v>56</v>
      </c>
      <c r="G62" s="1471">
        <f>IF(OR($A$31=FALSE,F61&gt;E61),$AI$35,IFERROR(ROUND(H61/G61,2),$AI$35))</f>
        <v>1</v>
      </c>
      <c r="H62" s="1472"/>
      <c r="I62" s="16"/>
      <c r="J62" s="761"/>
      <c r="K62" s="762"/>
      <c r="L62" s="767" t="s">
        <v>55</v>
      </c>
      <c r="M62" s="1471" t="str">
        <f>IF(OR($A$31=FALSE,L61&gt;K61),$AI$35,IFERROR(ROUND(N61/M61,2),$AI$35))</f>
        <v>n.e.</v>
      </c>
      <c r="N62" s="1472"/>
      <c r="O62" s="963"/>
      <c r="P62" s="770" t="s">
        <v>54</v>
      </c>
      <c r="Q62" s="1471">
        <f>IF(OR($A$31=FALSE,P61&gt;O61),$AI$35,IFERROR(ROUND(R61/Q61,2),$AI$35))</f>
        <v>1</v>
      </c>
      <c r="R62" s="1472"/>
      <c r="S62" s="16"/>
      <c r="T62" s="772"/>
      <c r="U62" s="773"/>
      <c r="V62" s="770" t="s">
        <v>53</v>
      </c>
      <c r="W62" s="1471">
        <f>IF(OR($A$31=FALSE,V61&gt;U61),$AI$35,IFERROR(ROUND(X61/W61,2),$AI$35))</f>
        <v>0.9</v>
      </c>
      <c r="X62" s="1472"/>
      <c r="Y62" s="16"/>
      <c r="Z62" s="761"/>
      <c r="AA62" s="763" t="s">
        <v>52</v>
      </c>
      <c r="AB62" s="1471">
        <f>IF(OR($A$31=FALSE,AA61&gt;Z61),$AI$35,IFERROR(ROUND(AC61/AB61,2),$AI$35))</f>
        <v>1</v>
      </c>
      <c r="AC62" s="1472"/>
      <c r="AD62" s="16"/>
      <c r="AE62" s="761"/>
      <c r="AF62" s="767" t="s">
        <v>51</v>
      </c>
      <c r="AG62" s="1471">
        <f>IF(OR($A$31=FALSE,AF61&gt;AE61),$AI$35,IFERROR(ROUND(AH61/AG61,2),$AI$35))</f>
        <v>0.95</v>
      </c>
      <c r="AH62" s="1472"/>
      <c r="AI62" s="16"/>
      <c r="AJ62" s="38"/>
      <c r="AK62" s="38"/>
      <c r="AL62" s="38"/>
      <c r="AM62" s="184"/>
      <c r="AN62" s="184"/>
      <c r="AO62" s="184"/>
      <c r="AP62" s="184"/>
      <c r="AQ62" s="184"/>
      <c r="AR62" s="38"/>
      <c r="AS62" s="202"/>
      <c r="AT62" s="332"/>
      <c r="AU62" s="202"/>
      <c r="AX62" s="779">
        <f>COUNTIF(AX59:BE59,"&gt;-")</f>
        <v>0</v>
      </c>
      <c r="AY62" s="780">
        <f>COUNT(AX36:BE40)</f>
        <v>8</v>
      </c>
      <c r="AZ62" s="780">
        <f>ROUNDUP(COUNTIF($C$36:$C$40,"X")*8/3*2,0)</f>
        <v>6</v>
      </c>
      <c r="BA62" s="780">
        <f>IF(AND($B62,AY62&gt;=AZ62),COUNTIF(AX59:BE59,"&lt;&gt;"&amp;AX61)*10,"--")</f>
        <v>80</v>
      </c>
      <c r="BB62" s="780">
        <f>IF(AND($B62,AY62&gt;=AZ62),SUM(AX59:BE59),"--")</f>
        <v>78</v>
      </c>
      <c r="BC62" s="781" t="s">
        <v>50</v>
      </c>
      <c r="BD62" s="1515">
        <f>IF(A31=FALSE,AX61,IF(AY62&gt;=AZ62,ROUND(BB62/BA62,2),$AI$35))</f>
        <v>0.98</v>
      </c>
      <c r="BE62" s="1516"/>
      <c r="BF62" s="16"/>
      <c r="BG62" s="16"/>
      <c r="BH62" s="16"/>
      <c r="BI62" s="54"/>
    </row>
    <row r="63" spans="1:62" ht="15">
      <c r="B63" s="48"/>
      <c r="C63" s="43"/>
      <c r="D63" s="201"/>
      <c r="E63" s="43"/>
      <c r="F63" s="38"/>
      <c r="G63" s="184"/>
      <c r="H63" s="184"/>
      <c r="I63" s="15"/>
      <c r="J63" s="201"/>
      <c r="K63" s="43"/>
      <c r="L63" s="38"/>
      <c r="M63" s="43"/>
      <c r="N63" s="184"/>
      <c r="O63" s="184"/>
      <c r="P63" s="15"/>
      <c r="Q63" s="201"/>
      <c r="R63" s="43"/>
      <c r="S63" s="43"/>
      <c r="T63" s="184"/>
      <c r="U63" s="184"/>
      <c r="V63" s="201"/>
      <c r="W63" s="38"/>
      <c r="X63" s="184"/>
      <c r="Y63" s="184"/>
      <c r="Z63" s="201"/>
      <c r="AA63" s="38"/>
      <c r="AB63" s="38"/>
      <c r="AC63" s="184"/>
      <c r="AD63" s="184"/>
      <c r="AE63" s="201"/>
      <c r="AF63" s="43"/>
      <c r="AG63" s="43"/>
      <c r="AH63" s="43"/>
      <c r="AI63" s="38"/>
      <c r="AJ63" s="38"/>
      <c r="AK63" s="38"/>
      <c r="AL63" s="38"/>
      <c r="AM63" s="184"/>
      <c r="AN63" s="184"/>
      <c r="AO63" s="184"/>
      <c r="AP63" s="184"/>
      <c r="AQ63" s="184"/>
      <c r="AR63" s="38"/>
      <c r="AS63" s="202"/>
      <c r="AT63" s="201"/>
      <c r="AU63" s="202"/>
      <c r="AW63" s="202"/>
      <c r="AX63" s="202"/>
      <c r="AY63" s="202"/>
      <c r="AZ63" s="202"/>
      <c r="BA63" s="202"/>
      <c r="BB63" s="202"/>
      <c r="BE63" s="203"/>
      <c r="BF63" s="16"/>
      <c r="BG63" s="16"/>
      <c r="BH63" s="16"/>
      <c r="BI63" s="54"/>
    </row>
    <row r="64" spans="1:62" ht="15">
      <c r="B64" s="48"/>
      <c r="C64" s="33"/>
      <c r="D64" s="31"/>
      <c r="E64" s="31"/>
      <c r="F64" s="31"/>
      <c r="G64" s="31"/>
      <c r="H64" s="31"/>
      <c r="I64" s="31"/>
      <c r="J64" s="31"/>
      <c r="K64" s="31"/>
      <c r="L64" s="31"/>
      <c r="M64" s="31"/>
      <c r="N64" s="31"/>
      <c r="O64" s="36"/>
      <c r="P64" s="31"/>
      <c r="Q64" s="31"/>
      <c r="R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16"/>
      <c r="BF64" s="16"/>
      <c r="BG64" s="16"/>
      <c r="BH64" s="16"/>
      <c r="BI64" s="49"/>
      <c r="BJ64" s="34"/>
    </row>
    <row r="65" spans="1:62" ht="15" thickBot="1">
      <c r="A65" s="244" t="s">
        <v>224</v>
      </c>
      <c r="B65" s="48"/>
      <c r="C65" s="31"/>
      <c r="D65" s="31"/>
      <c r="E65" s="31"/>
      <c r="F65" s="31"/>
      <c r="G65" s="235"/>
      <c r="H65" s="31"/>
      <c r="I65" s="31"/>
      <c r="J65" s="31"/>
      <c r="K65" s="31"/>
      <c r="L65" s="31"/>
      <c r="M65" s="31"/>
      <c r="N65" s="235"/>
      <c r="O65" s="31"/>
      <c r="P65" s="31"/>
      <c r="Q65" s="31"/>
      <c r="R65" s="235"/>
      <c r="S65" s="15"/>
      <c r="T65" s="15"/>
      <c r="U65" s="390" t="s">
        <v>127</v>
      </c>
      <c r="V65" s="390" t="s">
        <v>128</v>
      </c>
      <c r="W65" s="628" t="s">
        <v>205</v>
      </c>
      <c r="X65" s="628" t="s">
        <v>215</v>
      </c>
      <c r="Y65" s="390" t="s">
        <v>131</v>
      </c>
      <c r="Z65" s="643" t="str">
        <f>'Evaluation-Bewertung'!Z65</f>
        <v>n.e.</v>
      </c>
      <c r="AA65" s="643" t="str">
        <f>'Evaluation-Bewertung'!AA65</f>
        <v>Act.</v>
      </c>
      <c r="AB65" s="643" t="str">
        <f>'Evaluation-Bewertung'!AB65</f>
        <v>Target</v>
      </c>
      <c r="AC65" s="643" t="str">
        <f>'Evaluation-Bewertung'!AC65</f>
        <v>Max.</v>
      </c>
      <c r="AD65" s="643" t="str">
        <f>'Evaluation-Bewertung'!AD65</f>
        <v>Act.</v>
      </c>
      <c r="AE65" s="38"/>
      <c r="AF65" s="38"/>
      <c r="AG65" s="38"/>
      <c r="AH65" s="38"/>
      <c r="AI65" s="38"/>
      <c r="AJ65" s="38"/>
      <c r="AK65" s="38"/>
      <c r="AL65" s="38"/>
      <c r="AM65" s="38"/>
      <c r="AN65" s="38"/>
      <c r="AO65" s="38"/>
      <c r="AP65" s="38"/>
      <c r="AQ65" s="495"/>
      <c r="AR65" s="495"/>
      <c r="AS65" s="495"/>
      <c r="AT65" s="495"/>
      <c r="AU65" s="495"/>
      <c r="AV65" s="495"/>
      <c r="AW65" s="495"/>
      <c r="AX65" s="495"/>
      <c r="AY65" s="495"/>
      <c r="AZ65" s="495"/>
      <c r="BA65" s="495"/>
      <c r="BB65" s="495"/>
      <c r="BC65" s="495"/>
      <c r="BD65" s="495"/>
      <c r="BE65" s="16"/>
      <c r="BF65" s="16"/>
      <c r="BG65" s="16"/>
      <c r="BH65" s="16"/>
      <c r="BI65" s="52"/>
      <c r="BJ65" s="495"/>
    </row>
    <row r="66" spans="1:62" ht="16.5" thickBot="1">
      <c r="A66" s="243" t="str">
        <f>IF(COUNT(U66:Y66)=0,Z65,IF(MIN(U66:Y66)=0,"B","A"))</f>
        <v>n.e.</v>
      </c>
      <c r="B66" s="48"/>
      <c r="C66" s="71" t="s">
        <v>101</v>
      </c>
      <c r="D66" s="72" t="str">
        <f>'Questions - Fragen'!C362</f>
        <v>Customer care / customer satisfaction / service</v>
      </c>
      <c r="E66" s="31"/>
      <c r="F66" s="31"/>
      <c r="G66" s="31"/>
      <c r="H66" s="31"/>
      <c r="I66" s="31"/>
      <c r="J66" s="31"/>
      <c r="K66" s="31"/>
      <c r="L66" s="31"/>
      <c r="M66" s="31"/>
      <c r="N66" s="31"/>
      <c r="O66" s="36"/>
      <c r="P66" s="31"/>
      <c r="Q66" s="31"/>
      <c r="R66" s="31"/>
      <c r="S66" s="15"/>
      <c r="T66" s="15"/>
      <c r="U66" s="232" t="str">
        <f>IF($A$67=FALSE,$Z$65,IF(ISBLANK('Questions - Fragen'!D$363),"--",'Questions - Fragen'!D$363))</f>
        <v>n.e.</v>
      </c>
      <c r="V66" s="232" t="str">
        <f>IF($A$67=FALSE,$Z$65,IF(ISBLANK('Questions - Fragen'!D$364),"--",'Questions - Fragen'!D$364))</f>
        <v>n.e.</v>
      </c>
      <c r="W66" s="633" t="str">
        <f>IF($A$67=FALSE,$Z$65,IF(ISBLANK('Questions - Fragen'!D$365),"--",'Questions - Fragen'!D$365))</f>
        <v>n.e.</v>
      </c>
      <c r="X66" s="633" t="str">
        <f>IF($A$67=FALSE,$Z$65,IF(ISBLANK('Questions - Fragen'!D$366),"--",'Questions - Fragen'!D$366))</f>
        <v>n.e.</v>
      </c>
      <c r="Y66" s="232" t="str">
        <f>IF($A$67=FALSE,$Z$65,IF(ISBLANK('Questions - Fragen'!D$367),"--",'Questions - Fragen'!D$367))</f>
        <v>n.e.</v>
      </c>
      <c r="Z66" s="753">
        <f>COUNTIF(U66:Y66,"&gt;-")</f>
        <v>5</v>
      </c>
      <c r="AA66" s="753">
        <f>COUNT(U66:Y66)</f>
        <v>0</v>
      </c>
      <c r="AB66" s="753">
        <v>4</v>
      </c>
      <c r="AC66" s="753" t="str">
        <f>IF(AND($A67,AA66&gt;=AB66),AA66*10,"--")</f>
        <v>--</v>
      </c>
      <c r="AD66" s="753" t="str">
        <f>IF(AND($A67,AA66&gt;=AB66),SUM(U66:Y66),"--")</f>
        <v>--</v>
      </c>
      <c r="AE66" s="38"/>
      <c r="AF66" s="38"/>
      <c r="AG66" s="272"/>
      <c r="AH66" s="38"/>
      <c r="AI66" s="38"/>
      <c r="AJ66" s="38"/>
      <c r="AK66" s="38"/>
      <c r="AL66" s="38"/>
      <c r="AM66" s="38"/>
      <c r="AN66" s="38"/>
      <c r="AO66" s="38"/>
      <c r="AP66" s="38"/>
      <c r="AR66" s="204" t="s">
        <v>502</v>
      </c>
      <c r="AS66" s="1515" t="str">
        <f>IF(A67=FALSE,Z65,IF(AA66&gt;=AB66,ROUND(AD66/AC66,2),$AI$35))</f>
        <v>n.e.</v>
      </c>
      <c r="AT66" s="1516"/>
      <c r="AU66" s="16"/>
      <c r="AV66" s="184"/>
      <c r="AW66" s="184"/>
      <c r="AX66" s="184"/>
      <c r="AY66" s="184"/>
      <c r="AZ66" s="184"/>
      <c r="BA66" s="184"/>
      <c r="BB66" s="184"/>
      <c r="BC66" s="184"/>
      <c r="BD66" s="184"/>
      <c r="BE66" s="16"/>
      <c r="BF66" s="16"/>
      <c r="BG66" s="16"/>
      <c r="BH66" s="16"/>
      <c r="BI66" s="49"/>
      <c r="BJ66" s="34"/>
    </row>
    <row r="67" spans="1:62">
      <c r="A67" s="970" t="b">
        <f>'Evaluation-Bewertung'!A67</f>
        <v>0</v>
      </c>
      <c r="B67" s="635"/>
      <c r="C67" s="276"/>
      <c r="D67" s="640"/>
      <c r="E67" s="640"/>
      <c r="F67" s="640"/>
      <c r="G67" s="640"/>
      <c r="H67" s="640"/>
      <c r="I67" s="31"/>
      <c r="J67" s="15"/>
      <c r="K67" s="15"/>
      <c r="L67" s="15"/>
      <c r="M67" s="15"/>
      <c r="N67" s="15"/>
      <c r="O67" s="15"/>
      <c r="P67" s="15"/>
      <c r="Q67" s="15"/>
      <c r="R67" s="15"/>
      <c r="S67" s="31"/>
      <c r="T67" s="31"/>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6"/>
      <c r="BF67" s="16"/>
      <c r="BG67" s="16"/>
      <c r="BH67" s="16"/>
      <c r="BI67" s="51"/>
      <c r="BJ67" s="16"/>
    </row>
    <row r="68" spans="1:62">
      <c r="B68" s="574"/>
      <c r="C68" s="575"/>
      <c r="D68" s="575"/>
      <c r="E68" s="575"/>
      <c r="F68" s="575"/>
      <c r="G68" s="575"/>
      <c r="H68" s="575"/>
      <c r="I68" s="575"/>
      <c r="J68" s="575"/>
      <c r="K68" s="575"/>
      <c r="L68" s="575"/>
      <c r="M68" s="575"/>
      <c r="N68" s="575"/>
      <c r="O68" s="575"/>
      <c r="P68" s="575"/>
      <c r="Q68" s="575"/>
      <c r="R68" s="575"/>
      <c r="S68" s="575"/>
      <c r="T68" s="575"/>
      <c r="U68" s="575"/>
      <c r="V68" s="575"/>
      <c r="W68" s="575"/>
      <c r="X68" s="575"/>
      <c r="Y68" s="575"/>
      <c r="Z68" s="575"/>
      <c r="AA68" s="575"/>
      <c r="AB68" s="575"/>
      <c r="AC68" s="575"/>
      <c r="AD68" s="575"/>
      <c r="AE68" s="575"/>
      <c r="AF68" s="575"/>
      <c r="AG68" s="575"/>
      <c r="AH68" s="575"/>
      <c r="AI68" s="575"/>
      <c r="AJ68" s="575"/>
      <c r="AK68" s="575"/>
      <c r="AL68" s="575"/>
      <c r="AM68" s="575"/>
      <c r="AN68" s="575"/>
      <c r="AO68" s="575"/>
      <c r="AP68" s="575"/>
      <c r="AQ68" s="575"/>
      <c r="AR68" s="575"/>
      <c r="AS68" s="575"/>
      <c r="AT68" s="575"/>
      <c r="AU68" s="575"/>
      <c r="AV68" s="575"/>
      <c r="AW68" s="575"/>
      <c r="AX68" s="575"/>
      <c r="AY68" s="575"/>
      <c r="AZ68" s="575"/>
      <c r="BA68" s="575"/>
      <c r="BB68" s="575"/>
      <c r="BC68" s="575"/>
      <c r="BD68" s="575"/>
      <c r="BE68" s="575"/>
      <c r="BF68" s="575"/>
      <c r="BG68" s="575"/>
      <c r="BH68" s="575"/>
      <c r="BI68" s="576"/>
      <c r="BJ68" s="34"/>
    </row>
    <row r="69" spans="1:62">
      <c r="A69" s="254"/>
      <c r="B69" s="48"/>
      <c r="C69" s="577"/>
      <c r="D69" s="578"/>
      <c r="E69" s="578"/>
      <c r="F69" s="578"/>
      <c r="G69" s="578"/>
      <c r="H69" s="578"/>
      <c r="I69" s="578"/>
      <c r="J69" s="578"/>
      <c r="K69" s="578"/>
      <c r="L69" s="578"/>
      <c r="M69" s="578"/>
      <c r="N69" s="578"/>
      <c r="O69" s="578"/>
      <c r="P69" s="578"/>
      <c r="Q69" s="578"/>
      <c r="R69" s="578"/>
      <c r="S69" s="578"/>
      <c r="T69" s="578"/>
      <c r="U69" s="579"/>
      <c r="V69" s="579"/>
      <c r="W69" s="579"/>
      <c r="X69" s="579"/>
      <c r="Y69" s="579"/>
      <c r="Z69" s="579"/>
      <c r="AA69" s="579"/>
      <c r="AB69" s="579"/>
      <c r="AC69" s="579"/>
      <c r="AD69" s="579"/>
      <c r="AE69" s="579"/>
      <c r="AF69" s="579"/>
      <c r="AG69" s="579"/>
      <c r="AH69" s="579"/>
      <c r="AI69" s="580"/>
      <c r="AJ69" s="580"/>
      <c r="AK69" s="580"/>
      <c r="AL69" s="580"/>
      <c r="AM69" s="580"/>
      <c r="AN69" s="580"/>
      <c r="AO69" s="580"/>
      <c r="AP69" s="580"/>
      <c r="AQ69" s="580"/>
      <c r="AR69" s="580"/>
      <c r="AS69" s="580"/>
      <c r="AT69" s="580"/>
      <c r="AU69" s="580"/>
      <c r="AV69" s="580"/>
      <c r="AW69" s="580"/>
      <c r="AX69" s="580"/>
      <c r="AY69" s="580"/>
      <c r="AZ69" s="580"/>
      <c r="BA69" s="580"/>
      <c r="BB69" s="580"/>
      <c r="BC69" s="580"/>
      <c r="BD69" s="580"/>
      <c r="BE69" s="580"/>
      <c r="BF69" s="580"/>
      <c r="BG69" s="580"/>
      <c r="BH69" s="580"/>
      <c r="BI69" s="581"/>
      <c r="BJ69" s="582"/>
    </row>
    <row r="70" spans="1:62">
      <c r="B70" s="48"/>
      <c r="C70" s="578"/>
      <c r="D70" s="578"/>
      <c r="E70" s="578"/>
      <c r="F70" s="578"/>
      <c r="G70" s="578"/>
      <c r="H70" s="578"/>
      <c r="I70" s="578"/>
      <c r="J70" s="578"/>
      <c r="K70" s="578"/>
      <c r="L70" s="578"/>
      <c r="M70" s="578"/>
      <c r="N70" s="578"/>
      <c r="O70" s="578"/>
      <c r="P70" s="578"/>
      <c r="Q70" s="578"/>
      <c r="R70" s="578"/>
      <c r="S70" s="578"/>
      <c r="T70" s="578"/>
      <c r="U70" s="579"/>
      <c r="V70" s="579"/>
      <c r="W70" s="579"/>
      <c r="X70" s="579"/>
      <c r="Y70" s="579"/>
      <c r="Z70" s="579"/>
      <c r="AA70" s="579"/>
      <c r="AB70" s="579"/>
      <c r="AC70" s="579"/>
      <c r="AD70" s="579"/>
      <c r="AE70" s="579"/>
      <c r="AF70" s="579"/>
      <c r="AG70" s="579"/>
      <c r="AH70" s="579"/>
      <c r="AI70" s="580"/>
      <c r="AJ70" s="580"/>
      <c r="AK70" s="580"/>
      <c r="AL70" s="580"/>
      <c r="AM70" s="580"/>
      <c r="AN70" s="580"/>
      <c r="AO70" s="580"/>
      <c r="AP70" s="580"/>
      <c r="AQ70" s="580"/>
      <c r="AR70" s="580"/>
      <c r="AS70" s="580"/>
      <c r="AT70" s="580"/>
      <c r="AU70" s="580"/>
      <c r="AV70" s="580"/>
      <c r="AW70" s="38"/>
      <c r="AX70" s="38"/>
      <c r="AY70" s="38"/>
      <c r="AZ70" s="38"/>
      <c r="BA70" s="38"/>
      <c r="BB70" s="38"/>
      <c r="BC70" s="38"/>
      <c r="BD70" s="38"/>
      <c r="BE70" s="580"/>
      <c r="BF70" s="580"/>
      <c r="BG70" s="580"/>
      <c r="BH70" s="580"/>
      <c r="BI70" s="581"/>
      <c r="BJ70" s="582"/>
    </row>
    <row r="71" spans="1:62" s="493" customFormat="1" ht="18">
      <c r="A71" s="241"/>
      <c r="B71" s="583"/>
      <c r="C71" s="495"/>
      <c r="D71" s="584" t="str">
        <f>'Evaluation-Bewertung'!D71</f>
        <v>Responsible for downgrading</v>
      </c>
      <c r="E71" s="585"/>
      <c r="F71" s="585"/>
      <c r="G71" s="495"/>
      <c r="H71" s="585"/>
      <c r="I71" s="586"/>
      <c r="J71" s="586"/>
      <c r="K71" s="586"/>
      <c r="L71" s="586"/>
      <c r="M71" s="1525"/>
      <c r="N71" s="1525"/>
      <c r="O71" s="1525"/>
      <c r="P71" s="1525"/>
      <c r="Q71" s="586"/>
      <c r="R71" s="586"/>
      <c r="S71" s="586"/>
      <c r="T71" s="16"/>
      <c r="U71" s="16"/>
      <c r="V71" s="16"/>
      <c r="W71" s="16"/>
      <c r="X71" s="16"/>
      <c r="Y71" s="16"/>
      <c r="Z71" s="16"/>
      <c r="AA71" s="16"/>
      <c r="AB71" s="16"/>
      <c r="AC71" s="16"/>
      <c r="AD71" s="16"/>
      <c r="AE71" s="16"/>
      <c r="AF71" s="16"/>
      <c r="AG71" s="579"/>
      <c r="AH71" s="579"/>
      <c r="AI71" s="588"/>
      <c r="AJ71" s="588"/>
      <c r="AK71" s="588"/>
      <c r="AL71" s="588"/>
      <c r="AM71" s="588"/>
      <c r="AN71" s="1524" t="str">
        <f>'Input Form - EingabeMaske'!C34</f>
        <v>Billets</v>
      </c>
      <c r="AO71" s="1524"/>
      <c r="AP71" s="1524"/>
      <c r="AQ71" s="1524"/>
      <c r="AR71" s="1524"/>
      <c r="AS71" s="1524"/>
      <c r="AT71" s="1524"/>
      <c r="AU71" s="589" t="str">
        <f>'Evaluation-Bewertung'!AU71</f>
        <v>Overall compliance EG:</v>
      </c>
      <c r="AV71" s="590"/>
      <c r="AW71" s="591"/>
      <c r="AX71" s="591"/>
      <c r="AY71" s="591"/>
      <c r="AZ71" s="591"/>
      <c r="BA71" s="591"/>
      <c r="BB71" s="591"/>
      <c r="BC71" s="591"/>
      <c r="BD71" s="591"/>
      <c r="BE71" s="580"/>
      <c r="BF71" s="580"/>
      <c r="BG71" s="580"/>
      <c r="BH71" s="580"/>
      <c r="BI71" s="592"/>
      <c r="BJ71" s="593"/>
    </row>
    <row r="72" spans="1:62" ht="16.5" thickBot="1">
      <c r="B72" s="48"/>
      <c r="C72" s="578"/>
      <c r="D72" s="1499"/>
      <c r="E72" s="1499"/>
      <c r="F72" s="1499"/>
      <c r="G72" s="1499"/>
      <c r="H72" s="1499"/>
      <c r="I72" s="1500"/>
      <c r="J72" s="1500"/>
      <c r="K72" s="1500"/>
      <c r="L72" s="1500"/>
      <c r="M72" s="1500"/>
      <c r="N72" s="1500"/>
      <c r="O72" s="1500"/>
      <c r="P72" s="1500"/>
      <c r="Q72" s="724"/>
      <c r="R72" s="724"/>
      <c r="S72" s="724"/>
      <c r="T72" s="16"/>
      <c r="U72" s="16"/>
      <c r="V72" s="16"/>
      <c r="W72" s="16"/>
      <c r="X72" s="16"/>
      <c r="Y72" s="16"/>
      <c r="Z72" s="16"/>
      <c r="AA72" s="16"/>
      <c r="AB72" s="16"/>
      <c r="AC72" s="16"/>
      <c r="AD72" s="16"/>
      <c r="AE72" s="16"/>
      <c r="AF72" s="16"/>
      <c r="AG72" s="579"/>
      <c r="AH72" s="579"/>
      <c r="AI72" s="588"/>
      <c r="AJ72" s="588"/>
      <c r="AK72" s="588"/>
      <c r="AL72" s="588"/>
      <c r="AM72" s="588"/>
      <c r="AN72" s="588"/>
      <c r="AO72" s="588"/>
      <c r="AP72" s="588"/>
      <c r="AQ72" s="588"/>
      <c r="AR72" s="588"/>
      <c r="AS72" s="588"/>
      <c r="AT72" s="588"/>
      <c r="AU72" s="38"/>
      <c r="AV72" s="38"/>
      <c r="AW72" s="591"/>
      <c r="AX72" s="591"/>
      <c r="AY72" s="591"/>
      <c r="AZ72" s="591"/>
      <c r="BA72" s="591"/>
      <c r="BB72" s="591"/>
      <c r="BC72" s="591"/>
      <c r="BD72" s="591"/>
      <c r="BE72" s="580"/>
      <c r="BF72" s="580"/>
      <c r="BG72" s="580"/>
      <c r="BH72" s="580"/>
      <c r="BI72" s="581"/>
      <c r="BJ72" s="582"/>
    </row>
    <row r="73" spans="1:62" ht="15.75">
      <c r="B73" s="48"/>
      <c r="C73" s="38"/>
      <c r="D73" s="594" t="str">
        <f>+IF(K163="n.b.","n.b.",+IF(K163&lt;80%,"C",+IF(K163&lt;90%,"B","A")))</f>
        <v>A</v>
      </c>
      <c r="E73" s="595" t="str">
        <f>'Evaluation-Bewertung'!E73</f>
        <v>Calculated EG, C&lt;80, B&lt;90</v>
      </c>
      <c r="F73" s="596"/>
      <c r="G73" s="596"/>
      <c r="H73" s="596"/>
      <c r="I73" s="596"/>
      <c r="J73" s="596"/>
      <c r="K73" s="596"/>
      <c r="L73" s="596"/>
      <c r="M73" s="597"/>
      <c r="N73" s="597"/>
      <c r="O73" s="598"/>
      <c r="P73" s="598"/>
      <c r="Q73" s="598"/>
      <c r="R73" s="599"/>
      <c r="S73" s="38"/>
      <c r="T73" s="16"/>
      <c r="U73" s="16"/>
      <c r="V73" s="16"/>
      <c r="W73" s="16"/>
      <c r="X73" s="16"/>
      <c r="Y73" s="16"/>
      <c r="Z73" s="16"/>
      <c r="AA73" s="16"/>
      <c r="AB73" s="16"/>
      <c r="AC73" s="16"/>
      <c r="AD73" s="16"/>
      <c r="AE73" s="16"/>
      <c r="AF73" s="16"/>
      <c r="AG73" s="579"/>
      <c r="AH73" s="579"/>
      <c r="AI73" s="588"/>
      <c r="AJ73" s="588"/>
      <c r="AK73" s="588"/>
      <c r="AL73" s="588"/>
      <c r="AM73" s="588"/>
      <c r="AN73" s="588"/>
      <c r="AO73" s="588"/>
      <c r="AP73" s="588"/>
      <c r="AQ73" s="588"/>
      <c r="AR73" s="588"/>
      <c r="AS73" s="588"/>
      <c r="AT73" s="588"/>
      <c r="AU73" s="600"/>
      <c r="AV73" s="600"/>
      <c r="AW73" s="591"/>
      <c r="AX73" s="591"/>
      <c r="AY73" s="591"/>
      <c r="AZ73" s="591"/>
      <c r="BA73" s="591"/>
      <c r="BB73" s="591"/>
      <c r="BC73" s="591"/>
      <c r="BD73" s="591"/>
      <c r="BE73" s="580"/>
      <c r="BF73" s="580"/>
      <c r="BG73" s="580"/>
      <c r="BH73" s="580"/>
      <c r="BI73" s="581"/>
      <c r="BJ73" s="582"/>
    </row>
    <row r="74" spans="1:62" ht="18">
      <c r="B74" s="48"/>
      <c r="C74" s="38"/>
      <c r="D74" s="601" t="str">
        <f>+E160</f>
        <v>A</v>
      </c>
      <c r="E74" s="602" t="str">
        <f>'Evaluation-Bewertung'!E74</f>
        <v xml:space="preserve">Asterisk questions for EG, minimum 1 question with 4 ratings = "B", minimum 1 question with 0 = "C"  </v>
      </c>
      <c r="F74" s="603"/>
      <c r="G74" s="603"/>
      <c r="H74" s="603"/>
      <c r="I74" s="603"/>
      <c r="J74" s="603"/>
      <c r="K74" s="603"/>
      <c r="L74" s="603"/>
      <c r="M74" s="267"/>
      <c r="N74" s="267"/>
      <c r="O74" s="604"/>
      <c r="P74" s="604"/>
      <c r="Q74" s="604"/>
      <c r="R74" s="605"/>
      <c r="S74" s="38"/>
      <c r="T74" s="16"/>
      <c r="U74" s="16"/>
      <c r="V74" s="16"/>
      <c r="W74" s="16"/>
      <c r="X74" s="16"/>
      <c r="Y74" s="16"/>
      <c r="Z74" s="16"/>
      <c r="AA74" s="16"/>
      <c r="AB74" s="16"/>
      <c r="AC74" s="16"/>
      <c r="AD74" s="16"/>
      <c r="AE74" s="16"/>
      <c r="AF74" s="16"/>
      <c r="AG74" s="579"/>
      <c r="AH74" s="579"/>
      <c r="AI74" s="260"/>
      <c r="AJ74" s="260"/>
      <c r="AK74" s="260"/>
      <c r="AL74" s="260"/>
      <c r="AM74" s="579"/>
      <c r="AN74" s="579"/>
      <c r="AO74" s="579"/>
      <c r="AP74" s="579"/>
      <c r="AR74" s="38"/>
      <c r="AS74" s="589"/>
      <c r="AT74" s="589"/>
      <c r="AU74" s="589"/>
      <c r="AV74" s="589"/>
      <c r="AW74" s="589"/>
      <c r="AX74" s="589"/>
      <c r="AY74" s="589"/>
      <c r="AZ74" s="589"/>
      <c r="BA74" s="589"/>
      <c r="BB74" s="589"/>
      <c r="BC74" s="589"/>
      <c r="BD74" s="600"/>
      <c r="BE74" s="606"/>
      <c r="BF74" s="600"/>
      <c r="BG74" s="600"/>
      <c r="BH74" s="600"/>
      <c r="BI74" s="581"/>
      <c r="BJ74" s="582"/>
    </row>
    <row r="75" spans="1:62" ht="16.5" thickBot="1">
      <c r="B75" s="48"/>
      <c r="C75" s="38"/>
      <c r="D75" s="607" t="str">
        <f>IF(COUNTIF(A8:A66,Z65)=16,Z65,+IF(COUNTIF((A8:A66),"C")&gt;=1,"C",+IF(+COUNTIF((A8:A66),"B")&gt;=1,"B","A")))</f>
        <v>A</v>
      </c>
      <c r="E75" s="602" t="str">
        <f>'Evaluation-Bewertung'!E75</f>
        <v>No question rated 0, otherwise "B"</v>
      </c>
      <c r="F75" s="603"/>
      <c r="G75" s="603"/>
      <c r="H75" s="603"/>
      <c r="I75" s="603"/>
      <c r="J75" s="603"/>
      <c r="K75" s="603"/>
      <c r="L75" s="603"/>
      <c r="M75" s="267"/>
      <c r="N75" s="267"/>
      <c r="O75" s="604"/>
      <c r="P75" s="604"/>
      <c r="Q75" s="604"/>
      <c r="R75" s="605"/>
      <c r="S75" s="38"/>
      <c r="T75" s="16"/>
      <c r="U75" s="16"/>
      <c r="V75" s="16"/>
      <c r="W75" s="16"/>
      <c r="X75" s="16"/>
      <c r="Y75" s="16"/>
      <c r="Z75" s="16"/>
      <c r="AA75" s="16"/>
      <c r="AB75" s="16"/>
      <c r="AC75" s="16"/>
      <c r="AD75" s="16"/>
      <c r="AE75" s="16"/>
      <c r="AF75" s="16"/>
      <c r="AG75" s="579"/>
      <c r="AH75" s="579"/>
      <c r="AI75" s="608"/>
      <c r="AJ75" s="608"/>
      <c r="AK75" s="608"/>
      <c r="AL75" s="1454" t="str">
        <f>'Evaluation-Bewertung'!AL75</f>
        <v>Total points awarded for the relevant questions</v>
      </c>
      <c r="AM75" s="1454" t="e">
        <f>'Evaluation-Bewertung'!AM75</f>
        <v>#N/A</v>
      </c>
      <c r="AN75" s="1454" t="e">
        <f>'Evaluation-Bewertung'!AN75</f>
        <v>#N/A</v>
      </c>
      <c r="AO75" s="1454" t="e">
        <f>'Evaluation-Bewertung'!AO75</f>
        <v>#N/A</v>
      </c>
      <c r="AP75" s="1454" t="e">
        <f>'Evaluation-Bewertung'!AP75</f>
        <v>#N/A</v>
      </c>
      <c r="AQ75" s="1454" t="e">
        <f>'Evaluation-Bewertung'!AQ75</f>
        <v>#N/A</v>
      </c>
      <c r="AR75" s="1454" t="e">
        <f>'Evaluation-Bewertung'!AR75</f>
        <v>#N/A</v>
      </c>
      <c r="AS75" s="1454" t="e">
        <f>'Evaluation-Bewertung'!AS75</f>
        <v>#N/A</v>
      </c>
      <c r="AT75" s="1454" t="e">
        <f>'Evaluation-Bewertung'!AT75</f>
        <v>#N/A</v>
      </c>
      <c r="AU75" s="1454" t="e">
        <f>'Evaluation-Bewertung'!AU75</f>
        <v>#N/A</v>
      </c>
      <c r="AV75" s="1454" t="e">
        <f>'Evaluation-Bewertung'!AV75</f>
        <v>#N/A</v>
      </c>
      <c r="AW75" s="1454" t="e">
        <f>'Evaluation-Bewertung'!AW75</f>
        <v>#N/A</v>
      </c>
      <c r="AX75" s="1454" t="e">
        <f>'Evaluation-Bewertung'!AX75</f>
        <v>#N/A</v>
      </c>
      <c r="AY75" s="1587">
        <f>SUM(O8,AI14,AP22,W29,AM59,AD66)</f>
        <v>204</v>
      </c>
      <c r="AZ75" s="1587"/>
      <c r="BA75" s="741"/>
      <c r="BB75" s="1453" t="s">
        <v>257</v>
      </c>
      <c r="BC75" s="1453"/>
      <c r="BD75" s="1453"/>
      <c r="BE75" s="1453" t="str">
        <f>'Evaluation-Bewertung'!BE75</f>
        <v>Rating</v>
      </c>
      <c r="BF75" s="1453">
        <f>'Evaluation-Bewertung'!BF75</f>
        <v>0</v>
      </c>
      <c r="BG75" s="609"/>
      <c r="BH75" s="580"/>
      <c r="BI75" s="581"/>
      <c r="BJ75" s="582"/>
    </row>
    <row r="76" spans="1:62" ht="15.75">
      <c r="B76" s="48"/>
      <c r="C76" s="38"/>
      <c r="D76" s="601" t="str">
        <f>+AD166</f>
        <v>A</v>
      </c>
      <c r="E76" s="602" t="str">
        <f>'Evaluation-Bewertung'!E76</f>
        <v>Eu1…Eu7, &lt;80% rated "B"</v>
      </c>
      <c r="F76" s="603"/>
      <c r="G76" s="603"/>
      <c r="H76" s="603"/>
      <c r="I76" s="603"/>
      <c r="J76" s="603"/>
      <c r="K76" s="603"/>
      <c r="L76" s="603"/>
      <c r="M76" s="267"/>
      <c r="N76" s="267"/>
      <c r="O76" s="604"/>
      <c r="P76" s="604"/>
      <c r="Q76" s="604"/>
      <c r="R76" s="605"/>
      <c r="S76" s="38"/>
      <c r="T76" s="16"/>
      <c r="U76" s="16"/>
      <c r="V76" s="16"/>
      <c r="W76" s="16"/>
      <c r="X76" s="16"/>
      <c r="Y76" s="16"/>
      <c r="Z76" s="16"/>
      <c r="AA76" s="16"/>
      <c r="AB76" s="16"/>
      <c r="AC76" s="16"/>
      <c r="AD76" s="16"/>
      <c r="AE76" s="16"/>
      <c r="AF76" s="16"/>
      <c r="AG76" s="579"/>
      <c r="AH76" s="579"/>
      <c r="AI76" s="608"/>
      <c r="AJ76" s="608"/>
      <c r="AK76" s="608"/>
      <c r="AL76" s="1454" t="e">
        <f>'Evaluation-Bewertung'!AL76</f>
        <v>#N/A</v>
      </c>
      <c r="AM76" s="1454" t="e">
        <f>'Evaluation-Bewertung'!AM76</f>
        <v>#N/A</v>
      </c>
      <c r="AN76" s="1454" t="e">
        <f>'Evaluation-Bewertung'!AN76</f>
        <v>#N/A</v>
      </c>
      <c r="AO76" s="1454" t="e">
        <f>'Evaluation-Bewertung'!AO76</f>
        <v>#N/A</v>
      </c>
      <c r="AP76" s="1454" t="e">
        <f>'Evaluation-Bewertung'!AP76</f>
        <v>#N/A</v>
      </c>
      <c r="AQ76" s="1454" t="e">
        <f>'Evaluation-Bewertung'!AQ76</f>
        <v>#N/A</v>
      </c>
      <c r="AR76" s="1454" t="e">
        <f>'Evaluation-Bewertung'!AR76</f>
        <v>#N/A</v>
      </c>
      <c r="AS76" s="1454" t="e">
        <f>'Evaluation-Bewertung'!AS76</f>
        <v>#N/A</v>
      </c>
      <c r="AT76" s="1454" t="e">
        <f>'Evaluation-Bewertung'!AT76</f>
        <v>#N/A</v>
      </c>
      <c r="AU76" s="1454" t="e">
        <f>'Evaluation-Bewertung'!AU76</f>
        <v>#N/A</v>
      </c>
      <c r="AV76" s="1454" t="e">
        <f>'Evaluation-Bewertung'!AV76</f>
        <v>#N/A</v>
      </c>
      <c r="AW76" s="1454" t="e">
        <f>'Evaluation-Bewertung'!AW76</f>
        <v>#N/A</v>
      </c>
      <c r="AX76" s="1454" t="e">
        <f>'Evaluation-Bewertung'!AX76</f>
        <v>#N/A</v>
      </c>
      <c r="AY76" s="1587"/>
      <c r="AZ76" s="1587"/>
      <c r="BA76" s="741"/>
      <c r="BB76" s="1455">
        <f>IF(OR(AN71=0,ISERROR(AVERAGE(epm,epp,epr,ez,epg,ek))),$AI$35,ROUND(AY75/AY78,2))</f>
        <v>0.97</v>
      </c>
      <c r="BC76" s="1456"/>
      <c r="BD76" s="1457"/>
      <c r="BE76" s="1597" t="str">
        <f>+IF(BB76=$AI$35,$AI$35,+D79)</f>
        <v>A</v>
      </c>
      <c r="BF76" s="1598"/>
      <c r="BG76" s="609"/>
      <c r="BH76" s="38"/>
      <c r="BI76" s="581"/>
      <c r="BJ76" s="582"/>
    </row>
    <row r="77" spans="1:62" ht="30">
      <c r="B77" s="48"/>
      <c r="C77" s="38"/>
      <c r="D77" s="601" t="str">
        <f>+AD181</f>
        <v>A</v>
      </c>
      <c r="E77" s="602" t="str">
        <f>'Evaluation-Bewertung'!E77</f>
        <v>E1…E10, &lt;80% rated "B", &lt;70% rated "C"</v>
      </c>
      <c r="F77" s="603"/>
      <c r="G77" s="603"/>
      <c r="H77" s="603"/>
      <c r="I77" s="603"/>
      <c r="J77" s="603"/>
      <c r="K77" s="603"/>
      <c r="L77" s="603"/>
      <c r="M77" s="267"/>
      <c r="N77" s="267"/>
      <c r="O77" s="604"/>
      <c r="P77" s="604"/>
      <c r="Q77" s="604"/>
      <c r="R77" s="605"/>
      <c r="S77" s="38"/>
      <c r="T77" s="16"/>
      <c r="U77" s="16"/>
      <c r="V77" s="16"/>
      <c r="W77" s="16"/>
      <c r="X77" s="16"/>
      <c r="Y77" s="16"/>
      <c r="Z77" s="16"/>
      <c r="AA77" s="16"/>
      <c r="AB77" s="16"/>
      <c r="AC77" s="16"/>
      <c r="AD77" s="16"/>
      <c r="AE77" s="16"/>
      <c r="AF77" s="16"/>
      <c r="AG77" s="579"/>
      <c r="AH77" s="579"/>
      <c r="AI77" s="608"/>
      <c r="AJ77" s="608"/>
      <c r="AK77" s="608"/>
      <c r="AL77" s="490" t="s">
        <v>259</v>
      </c>
      <c r="AM77" s="490"/>
      <c r="AN77" s="490"/>
      <c r="AO77" s="490"/>
      <c r="AP77" s="490"/>
      <c r="AQ77" s="490"/>
      <c r="AR77" s="490"/>
      <c r="AS77" s="490"/>
      <c r="AT77" s="490"/>
      <c r="AU77" s="490"/>
      <c r="AV77" s="490"/>
      <c r="AW77" s="490"/>
      <c r="AX77" s="490"/>
      <c r="AY77" s="490"/>
      <c r="AZ77" s="490"/>
      <c r="BA77" s="490"/>
      <c r="BB77" s="1458"/>
      <c r="BC77" s="1459"/>
      <c r="BD77" s="1460"/>
      <c r="BE77" s="1599"/>
      <c r="BF77" s="1600"/>
      <c r="BG77" s="610"/>
      <c r="BH77" s="610"/>
      <c r="BI77" s="581"/>
      <c r="BJ77" s="582"/>
    </row>
    <row r="78" spans="1:62" ht="30.75" thickBot="1">
      <c r="B78" s="48"/>
      <c r="C78" s="38"/>
      <c r="D78" s="601" t="str">
        <f>++IF(K163=$AI$35,$AI$35,+IF(MIN(epm,ede,epe,elm,ek,epg)&lt;70%,"C",+IF(MIN(epm,ede,epe,elm,ek,epg)&lt;80%,"B","A")))</f>
        <v>A</v>
      </c>
      <c r="E78" s="602" t="str">
        <f>'Evaluation-Bewertung'!E78</f>
        <v>Sub ratings Ep2, Ep3, Ep4, Ep5, Ep6, Ep7 &lt;80% rate "B", &lt;70% rate "C"</v>
      </c>
      <c r="F78" s="603"/>
      <c r="G78" s="603"/>
      <c r="H78" s="603"/>
      <c r="I78" s="603"/>
      <c r="J78" s="603"/>
      <c r="K78" s="603"/>
      <c r="L78" s="603"/>
      <c r="M78" s="267"/>
      <c r="N78" s="267"/>
      <c r="O78" s="604"/>
      <c r="P78" s="604"/>
      <c r="Q78" s="604"/>
      <c r="R78" s="605"/>
      <c r="S78" s="38"/>
      <c r="T78" s="16"/>
      <c r="U78" s="16"/>
      <c r="V78" s="16"/>
      <c r="W78" s="16"/>
      <c r="X78" s="16"/>
      <c r="Y78" s="16"/>
      <c r="Z78" s="16"/>
      <c r="AA78" s="16"/>
      <c r="AB78" s="16"/>
      <c r="AC78" s="16"/>
      <c r="AD78" s="16"/>
      <c r="AE78" s="16"/>
      <c r="AF78" s="16"/>
      <c r="AG78" s="579"/>
      <c r="AH78" s="579"/>
      <c r="AI78" s="608"/>
      <c r="AJ78" s="608"/>
      <c r="AK78" s="608"/>
      <c r="AL78" s="1454" t="str">
        <f>'Evaluation-Bewertung'!AL78</f>
        <v>Total possible number of points for the relevant questions</v>
      </c>
      <c r="AM78" s="1454" t="e">
        <f>'Evaluation-Bewertung'!AM78</f>
        <v>#N/A</v>
      </c>
      <c r="AN78" s="1454" t="e">
        <f>'Evaluation-Bewertung'!AN78</f>
        <v>#N/A</v>
      </c>
      <c r="AO78" s="1454" t="e">
        <f>'Evaluation-Bewertung'!AO78</f>
        <v>#N/A</v>
      </c>
      <c r="AP78" s="1454" t="e">
        <f>'Evaluation-Bewertung'!AP78</f>
        <v>#N/A</v>
      </c>
      <c r="AQ78" s="1454" t="e">
        <f>'Evaluation-Bewertung'!AQ78</f>
        <v>#N/A</v>
      </c>
      <c r="AR78" s="1454" t="e">
        <f>'Evaluation-Bewertung'!AR78</f>
        <v>#N/A</v>
      </c>
      <c r="AS78" s="1454" t="e">
        <f>'Evaluation-Bewertung'!AS78</f>
        <v>#N/A</v>
      </c>
      <c r="AT78" s="1454" t="e">
        <f>'Evaluation-Bewertung'!AT78</f>
        <v>#N/A</v>
      </c>
      <c r="AU78" s="1454" t="e">
        <f>'Evaluation-Bewertung'!AU78</f>
        <v>#N/A</v>
      </c>
      <c r="AV78" s="1454" t="e">
        <f>'Evaluation-Bewertung'!AV78</f>
        <v>#N/A</v>
      </c>
      <c r="AW78" s="1454" t="e">
        <f>'Evaluation-Bewertung'!AW78</f>
        <v>#N/A</v>
      </c>
      <c r="AX78" s="1454" t="e">
        <f>'Evaluation-Bewertung'!AX78</f>
        <v>#N/A</v>
      </c>
      <c r="AY78" s="1587">
        <f>SUM(N8,AH14,AO22,V29,AL59,AC66)</f>
        <v>210</v>
      </c>
      <c r="AZ78" s="1587"/>
      <c r="BA78" s="741"/>
      <c r="BB78" s="1461"/>
      <c r="BC78" s="1462"/>
      <c r="BD78" s="1463"/>
      <c r="BE78" s="1601"/>
      <c r="BF78" s="1602"/>
      <c r="BG78" s="610"/>
      <c r="BH78" s="38"/>
      <c r="BI78" s="581"/>
      <c r="BJ78" s="582"/>
    </row>
    <row r="79" spans="1:62" ht="30.75" thickBot="1">
      <c r="B79" s="48"/>
      <c r="C79" s="38"/>
      <c r="D79" s="611" t="str">
        <f>IF(COUNTIF(D73:D78,"n.b.")=6,"n.b.",IF(COUNTIF(D73:D78,"C")&gt;=1,"C",IF(COUNTIF(D73:D78,"B")&gt;=1,"B","A")))</f>
        <v>A</v>
      </c>
      <c r="E79" s="612" t="str">
        <f>'Evaluation-Bewertung'!E79</f>
        <v>Overall compliance EG:</v>
      </c>
      <c r="F79" s="613"/>
      <c r="G79" s="613"/>
      <c r="H79" s="613"/>
      <c r="I79" s="613"/>
      <c r="J79" s="613"/>
      <c r="K79" s="613"/>
      <c r="L79" s="613"/>
      <c r="M79" s="614"/>
      <c r="N79" s="614"/>
      <c r="O79" s="615"/>
      <c r="P79" s="615"/>
      <c r="Q79" s="615"/>
      <c r="R79" s="616"/>
      <c r="S79" s="38"/>
      <c r="T79" s="16"/>
      <c r="U79" s="16"/>
      <c r="V79" s="16"/>
      <c r="W79" s="16"/>
      <c r="X79" s="16"/>
      <c r="Y79" s="16"/>
      <c r="Z79" s="16"/>
      <c r="AA79" s="16"/>
      <c r="AB79" s="16"/>
      <c r="AC79" s="16"/>
      <c r="AD79" s="16"/>
      <c r="AE79" s="16"/>
      <c r="AF79" s="16"/>
      <c r="AG79" s="579"/>
      <c r="AH79" s="579"/>
      <c r="AI79" s="608"/>
      <c r="AJ79" s="608"/>
      <c r="AK79" s="608"/>
      <c r="AL79" s="1454" t="e">
        <f>'Evaluation-Bewertung'!AL79</f>
        <v>#N/A</v>
      </c>
      <c r="AM79" s="1454" t="e">
        <f>'Evaluation-Bewertung'!AM79</f>
        <v>#N/A</v>
      </c>
      <c r="AN79" s="1454" t="e">
        <f>'Evaluation-Bewertung'!AN79</f>
        <v>#N/A</v>
      </c>
      <c r="AO79" s="1454" t="e">
        <f>'Evaluation-Bewertung'!AO79</f>
        <v>#N/A</v>
      </c>
      <c r="AP79" s="1454" t="e">
        <f>'Evaluation-Bewertung'!AP79</f>
        <v>#N/A</v>
      </c>
      <c r="AQ79" s="1454" t="e">
        <f>'Evaluation-Bewertung'!AQ79</f>
        <v>#N/A</v>
      </c>
      <c r="AR79" s="1454" t="e">
        <f>'Evaluation-Bewertung'!AR79</f>
        <v>#N/A</v>
      </c>
      <c r="AS79" s="1454" t="e">
        <f>'Evaluation-Bewertung'!AS79</f>
        <v>#N/A</v>
      </c>
      <c r="AT79" s="1454" t="e">
        <f>'Evaluation-Bewertung'!AT79</f>
        <v>#N/A</v>
      </c>
      <c r="AU79" s="1454" t="e">
        <f>'Evaluation-Bewertung'!AU79</f>
        <v>#N/A</v>
      </c>
      <c r="AV79" s="1454" t="e">
        <f>'Evaluation-Bewertung'!AV79</f>
        <v>#N/A</v>
      </c>
      <c r="AW79" s="1454" t="e">
        <f>'Evaluation-Bewertung'!AW79</f>
        <v>#N/A</v>
      </c>
      <c r="AX79" s="1454" t="e">
        <f>'Evaluation-Bewertung'!AX79</f>
        <v>#N/A</v>
      </c>
      <c r="AY79" s="1587"/>
      <c r="AZ79" s="1587"/>
      <c r="BA79" s="741"/>
      <c r="BB79" s="490"/>
      <c r="BC79" s="38"/>
      <c r="BD79" s="38"/>
      <c r="BE79" s="38"/>
      <c r="BF79" s="38"/>
      <c r="BG79" s="610"/>
      <c r="BH79" s="38"/>
      <c r="BI79" s="581"/>
      <c r="BJ79" s="582"/>
    </row>
    <row r="80" spans="1:62" ht="19.5" customHeight="1">
      <c r="B80" s="48"/>
      <c r="C80" s="580"/>
      <c r="D80" s="604"/>
      <c r="E80" s="604"/>
      <c r="F80" s="604"/>
      <c r="G80" s="604"/>
      <c r="H80" s="604"/>
      <c r="I80" s="604"/>
      <c r="J80" s="604"/>
      <c r="K80" s="604"/>
      <c r="L80" s="604"/>
      <c r="M80" s="604"/>
      <c r="N80" s="604"/>
      <c r="O80" s="604"/>
      <c r="P80" s="604"/>
      <c r="Q80" s="604"/>
      <c r="R80" s="604"/>
      <c r="S80" s="604"/>
      <c r="T80" s="580"/>
      <c r="U80" s="579"/>
      <c r="V80" s="579"/>
      <c r="W80" s="579"/>
      <c r="X80" s="579"/>
      <c r="Y80" s="579"/>
      <c r="Z80" s="579"/>
      <c r="AA80" s="579"/>
      <c r="AB80" s="579"/>
      <c r="AC80" s="579"/>
      <c r="AD80" s="579"/>
      <c r="AE80" s="579"/>
      <c r="AF80" s="579"/>
      <c r="AG80" s="579"/>
      <c r="AH80" s="579"/>
      <c r="AI80" s="608"/>
      <c r="AJ80" s="608"/>
      <c r="AK80" s="608"/>
      <c r="AL80" s="608"/>
      <c r="AM80" s="608"/>
      <c r="AN80" s="608"/>
      <c r="AO80" s="608"/>
      <c r="AP80" s="608"/>
      <c r="AQ80" s="608"/>
      <c r="AR80" s="608"/>
      <c r="AS80" s="608"/>
      <c r="AT80" s="608"/>
      <c r="AU80" s="608"/>
      <c r="AV80" s="608"/>
      <c r="AW80" s="608"/>
      <c r="AX80" s="608"/>
      <c r="AY80" s="608"/>
      <c r="AZ80" s="38"/>
      <c r="BA80" s="38"/>
      <c r="BB80" s="38"/>
      <c r="BC80" s="38"/>
      <c r="BD80" s="610"/>
      <c r="BE80" s="38"/>
      <c r="BF80" s="38"/>
      <c r="BG80" s="38"/>
      <c r="BH80" s="38"/>
      <c r="BI80" s="581"/>
      <c r="BJ80" s="582"/>
    </row>
    <row r="81" spans="2:62" ht="15" customHeight="1">
      <c r="B81" s="48"/>
      <c r="D81" s="604"/>
      <c r="E81" s="604"/>
      <c r="F81" s="604"/>
      <c r="G81" s="604"/>
      <c r="H81" s="604"/>
      <c r="I81" s="604"/>
      <c r="J81" s="604"/>
      <c r="K81" s="604"/>
      <c r="L81" s="604"/>
      <c r="M81" s="604"/>
      <c r="N81" s="604"/>
      <c r="O81" s="604"/>
      <c r="P81" s="604"/>
      <c r="Q81" s="604"/>
      <c r="R81" s="604"/>
      <c r="S81" s="604"/>
      <c r="T81" s="31"/>
      <c r="U81" s="579"/>
      <c r="V81" s="38"/>
      <c r="W81" s="579"/>
      <c r="X81" s="579"/>
      <c r="Y81" s="579"/>
      <c r="Z81" s="579"/>
      <c r="AA81" s="579"/>
      <c r="AB81" s="579"/>
      <c r="AC81" s="579"/>
      <c r="AD81" s="579"/>
      <c r="AE81" s="579"/>
      <c r="AF81" s="579"/>
      <c r="AG81" s="579"/>
      <c r="AH81" s="579"/>
      <c r="AI81" s="1474"/>
      <c r="AJ81" s="1474"/>
      <c r="AK81" s="1474"/>
      <c r="AL81" s="1474"/>
      <c r="AM81" s="1474"/>
      <c r="AN81" s="1474"/>
      <c r="AO81" s="1474"/>
      <c r="AP81" s="1474"/>
      <c r="AQ81" s="1596"/>
      <c r="AR81" s="491"/>
      <c r="AS81" s="491"/>
      <c r="AT81" s="964"/>
      <c r="AU81" s="38"/>
      <c r="AV81" s="38"/>
      <c r="AW81" s="38"/>
      <c r="AX81" s="617"/>
      <c r="AY81" s="617"/>
      <c r="AZ81" s="38"/>
      <c r="BA81" s="38"/>
      <c r="BB81" s="38"/>
      <c r="BC81" s="38"/>
      <c r="BD81" s="38"/>
      <c r="BE81" s="606"/>
      <c r="BF81" s="617"/>
      <c r="BG81" s="617"/>
      <c r="BH81" s="617"/>
      <c r="BI81" s="618"/>
      <c r="BJ81" s="34"/>
    </row>
    <row r="82" spans="2:62" ht="14.25" customHeight="1">
      <c r="B82" s="48"/>
      <c r="C82" s="33"/>
      <c r="D82" s="31"/>
      <c r="E82" s="31"/>
      <c r="F82" s="31"/>
      <c r="G82" s="31"/>
      <c r="H82" s="31"/>
      <c r="I82" s="31"/>
      <c r="J82" s="31"/>
      <c r="K82" s="31"/>
      <c r="L82" s="31"/>
      <c r="M82" s="31"/>
      <c r="N82" s="31"/>
      <c r="O82" s="174"/>
      <c r="P82" s="31"/>
      <c r="Q82" s="31"/>
      <c r="R82" s="31"/>
      <c r="S82" s="31"/>
      <c r="T82" s="31"/>
      <c r="U82" s="31"/>
      <c r="V82" s="965"/>
      <c r="W82" s="965"/>
      <c r="X82" s="965"/>
      <c r="Y82" s="606"/>
      <c r="Z82" s="212"/>
      <c r="AA82" s="212"/>
      <c r="AB82" s="31"/>
      <c r="AC82" s="31"/>
      <c r="AD82" s="31"/>
      <c r="AE82" s="619"/>
      <c r="AF82" s="966"/>
      <c r="AG82" s="967"/>
      <c r="AH82" s="966"/>
      <c r="AI82" s="213"/>
      <c r="AJ82" s="213"/>
      <c r="AK82" s="213"/>
      <c r="AL82" s="213"/>
      <c r="AM82" s="213"/>
      <c r="AN82" s="213"/>
      <c r="AO82" s="213"/>
      <c r="AP82" s="213"/>
      <c r="AQ82" s="966"/>
      <c r="AR82" s="212"/>
      <c r="AS82" s="212"/>
      <c r="AT82" s="965"/>
      <c r="AU82" s="38"/>
      <c r="AV82" s="38"/>
      <c r="AW82" s="38"/>
      <c r="AX82" s="617"/>
      <c r="AY82" s="617"/>
      <c r="AZ82" s="38"/>
      <c r="BA82" s="38"/>
      <c r="BB82" s="38"/>
      <c r="BC82" s="38"/>
      <c r="BD82" s="38"/>
      <c r="BE82" s="38"/>
      <c r="BF82" s="617"/>
      <c r="BG82" s="617"/>
      <c r="BH82" s="617"/>
      <c r="BI82" s="618"/>
      <c r="BJ82" s="34"/>
    </row>
    <row r="83" spans="2:62" ht="15" customHeight="1">
      <c r="B83" s="48"/>
      <c r="C83" s="620" t="str">
        <f>'Evaluation-Bewertung'!C83</f>
        <v>At least 2/3 of questions must be answered for each evaluated process element and sub element</v>
      </c>
      <c r="D83" s="580"/>
      <c r="E83" s="580"/>
      <c r="F83" s="580"/>
      <c r="G83" s="580"/>
      <c r="H83" s="580"/>
      <c r="I83" s="31"/>
      <c r="J83" s="580"/>
      <c r="K83" s="580"/>
      <c r="L83" s="580"/>
      <c r="M83" s="580"/>
      <c r="N83" s="578"/>
      <c r="O83" s="621"/>
      <c r="P83" s="622"/>
      <c r="Q83" s="578"/>
      <c r="R83" s="578"/>
      <c r="S83" s="267"/>
      <c r="T83" s="267"/>
      <c r="U83" s="578"/>
      <c r="V83" s="578"/>
      <c r="W83" s="38"/>
      <c r="X83" s="578"/>
      <c r="Y83" s="578"/>
      <c r="Z83" s="578"/>
      <c r="AA83" s="580"/>
      <c r="AB83" s="580"/>
      <c r="AC83" s="580"/>
      <c r="AD83" s="580"/>
      <c r="AE83" s="38"/>
      <c r="AF83" s="38"/>
      <c r="AG83" s="272" t="str">
        <f>'Evaluation-Bewertung'!AG83</f>
        <v xml:space="preserve">Down grading rules must be applied to the classification results (A, B. C). This must be checked by the auditor! </v>
      </c>
      <c r="AH83" s="38"/>
      <c r="AI83" s="38"/>
      <c r="AJ83" s="38"/>
      <c r="AK83" s="38"/>
      <c r="AL83" s="38"/>
      <c r="AQ83" s="38"/>
      <c r="AR83" s="38"/>
      <c r="AS83" s="38"/>
      <c r="AT83" s="38"/>
      <c r="AU83" s="38"/>
      <c r="AV83" s="38"/>
      <c r="AW83" s="38"/>
      <c r="AX83" s="617"/>
      <c r="AY83" s="617"/>
      <c r="AZ83" s="617"/>
      <c r="BA83" s="617"/>
      <c r="BB83" s="617"/>
      <c r="BC83" s="617"/>
      <c r="BD83" s="617"/>
      <c r="BE83" s="617"/>
      <c r="BF83" s="617"/>
      <c r="BG83" s="617"/>
      <c r="BH83" s="617"/>
      <c r="BI83" s="581"/>
      <c r="BJ83" s="582"/>
    </row>
    <row r="84" spans="2:62" ht="7.15" customHeight="1" thickBot="1">
      <c r="B84" s="101"/>
      <c r="C84" s="623"/>
      <c r="D84" s="624"/>
      <c r="E84" s="624"/>
      <c r="F84" s="624"/>
      <c r="G84" s="624"/>
      <c r="H84" s="624"/>
      <c r="I84" s="624"/>
      <c r="J84" s="624"/>
      <c r="K84" s="624"/>
      <c r="L84" s="624"/>
      <c r="M84" s="624"/>
      <c r="N84" s="624"/>
      <c r="O84" s="624"/>
      <c r="P84" s="624"/>
      <c r="Q84" s="624"/>
      <c r="R84" s="624"/>
      <c r="S84" s="624"/>
      <c r="T84" s="624"/>
      <c r="U84" s="624"/>
      <c r="V84" s="624"/>
      <c r="W84" s="624"/>
      <c r="X84" s="624"/>
      <c r="Y84" s="624"/>
      <c r="Z84" s="624"/>
      <c r="AA84" s="624"/>
      <c r="AB84" s="624"/>
      <c r="AC84" s="624"/>
      <c r="AD84" s="624"/>
      <c r="AE84" s="624"/>
      <c r="AF84" s="624"/>
      <c r="AG84" s="624"/>
      <c r="AH84" s="624"/>
      <c r="AI84" s="624"/>
      <c r="AJ84" s="624"/>
      <c r="AK84" s="624"/>
      <c r="AL84" s="624"/>
      <c r="AM84" s="624"/>
      <c r="AN84" s="624"/>
      <c r="AO84" s="624"/>
      <c r="AP84" s="624"/>
      <c r="AQ84" s="624"/>
      <c r="AR84" s="624"/>
      <c r="AS84" s="624"/>
      <c r="AT84" s="624"/>
      <c r="AU84" s="624"/>
      <c r="AV84" s="624"/>
      <c r="AW84" s="624"/>
      <c r="AX84" s="624"/>
      <c r="AY84" s="624"/>
      <c r="AZ84" s="624"/>
      <c r="BA84" s="624"/>
      <c r="BB84" s="624"/>
      <c r="BC84" s="624"/>
      <c r="BD84" s="624"/>
      <c r="BE84" s="624"/>
      <c r="BF84" s="624"/>
      <c r="BG84" s="624"/>
      <c r="BH84" s="624"/>
      <c r="BI84" s="625"/>
      <c r="BJ84" s="582"/>
    </row>
    <row r="85" spans="2:62" ht="10.5" customHeight="1">
      <c r="C85" s="214"/>
      <c r="D85" s="215"/>
      <c r="E85" s="215"/>
      <c r="F85" s="215"/>
      <c r="G85" s="215"/>
      <c r="H85" s="215"/>
      <c r="I85" s="215"/>
      <c r="J85" s="215"/>
      <c r="K85" s="215"/>
      <c r="L85" s="16"/>
      <c r="M85" s="16"/>
      <c r="N85" s="16"/>
      <c r="O85" s="16"/>
      <c r="P85" s="16"/>
      <c r="Q85" s="16"/>
      <c r="R85" s="16"/>
      <c r="S85" s="16"/>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row>
    <row r="86" spans="2:62" ht="21" customHeight="1">
      <c r="T86" s="290"/>
      <c r="U86" s="290"/>
      <c r="V86" s="290"/>
      <c r="W86" s="290"/>
      <c r="X86" s="290"/>
      <c r="Y86" s="290"/>
      <c r="Z86" s="290"/>
      <c r="AA86" s="290"/>
      <c r="AB86" s="290"/>
      <c r="AC86" s="290"/>
      <c r="AD86" s="290"/>
      <c r="AE86" s="290"/>
      <c r="AF86" s="290"/>
      <c r="AG86" s="290"/>
      <c r="AH86" s="290"/>
      <c r="AI86" s="290"/>
      <c r="AJ86" s="290"/>
      <c r="AK86" s="290"/>
      <c r="AL86" s="290"/>
      <c r="AM86" s="290"/>
      <c r="AN86" s="290"/>
      <c r="AO86" s="290"/>
      <c r="AP86" s="290"/>
      <c r="AQ86" s="290"/>
      <c r="AR86" s="290"/>
      <c r="AS86" s="290"/>
      <c r="AT86" s="290"/>
      <c r="AU86" s="290"/>
      <c r="AV86" s="290"/>
      <c r="AW86" s="1498"/>
      <c r="AX86" s="1498"/>
      <c r="AY86" s="1498"/>
      <c r="AZ86" s="1498"/>
      <c r="BA86" s="1498"/>
      <c r="BB86" s="1498"/>
      <c r="BC86" s="1498"/>
      <c r="BD86" s="1498"/>
      <c r="BE86" s="1498"/>
      <c r="BF86" s="1498"/>
      <c r="BG86" s="1498"/>
      <c r="BH86" s="1498"/>
      <c r="BI86" s="1498"/>
    </row>
    <row r="87" spans="2:62" ht="138" customHeight="1">
      <c r="D87" s="309" t="s">
        <v>76</v>
      </c>
      <c r="E87" s="310" t="s">
        <v>147</v>
      </c>
      <c r="F87" s="311"/>
      <c r="G87" s="274"/>
      <c r="H87" s="310" t="s">
        <v>153</v>
      </c>
      <c r="I87" s="312" t="s">
        <v>154</v>
      </c>
      <c r="J87" s="289"/>
      <c r="K87" s="289"/>
      <c r="L87" s="289"/>
      <c r="T87" s="290"/>
      <c r="U87" s="290"/>
      <c r="V87" s="290"/>
      <c r="W87" s="290"/>
      <c r="X87" s="290"/>
      <c r="Y87" s="290"/>
      <c r="Z87" s="290"/>
      <c r="AA87" s="290"/>
      <c r="AB87" s="290"/>
      <c r="AC87" s="290"/>
      <c r="AD87" s="290"/>
      <c r="AE87" s="290"/>
      <c r="AF87" s="289"/>
      <c r="AG87" s="289"/>
      <c r="AH87" s="289"/>
      <c r="AI87" s="289"/>
      <c r="AJ87" s="289"/>
      <c r="AK87" s="289"/>
      <c r="AL87" s="289"/>
      <c r="AM87" s="290"/>
      <c r="AN87" s="290"/>
      <c r="AO87" s="290"/>
      <c r="AP87" s="290"/>
      <c r="AQ87" s="290"/>
      <c r="AR87" s="290"/>
      <c r="AS87" s="290"/>
      <c r="AT87" s="290"/>
      <c r="AU87" s="290"/>
      <c r="AV87" s="290"/>
      <c r="AW87" s="1498"/>
      <c r="AX87" s="1498"/>
      <c r="AY87" s="1498"/>
      <c r="AZ87" s="1498"/>
      <c r="BA87" s="1498"/>
      <c r="BB87" s="1498"/>
      <c r="BC87" s="1498"/>
      <c r="BD87" s="1498"/>
      <c r="BE87" s="1498"/>
      <c r="BF87" s="1498"/>
      <c r="BG87" s="1498"/>
      <c r="BH87" s="1498"/>
      <c r="BI87" s="1498"/>
    </row>
    <row r="88" spans="2:62" ht="15.75">
      <c r="D88" s="313" t="s">
        <v>96</v>
      </c>
      <c r="E88" s="38"/>
      <c r="F88" s="38"/>
      <c r="G88" s="38"/>
      <c r="H88" s="38"/>
      <c r="I88" s="275"/>
      <c r="T88" s="290"/>
      <c r="U88" s="290"/>
      <c r="V88" s="290"/>
      <c r="W88" s="290"/>
      <c r="X88" s="290"/>
      <c r="Y88" s="290"/>
      <c r="Z88" s="290"/>
      <c r="AA88" s="290"/>
      <c r="AB88" s="290"/>
      <c r="AC88" s="290"/>
      <c r="AD88" s="290"/>
      <c r="AE88" s="290"/>
      <c r="AM88" s="290"/>
      <c r="AN88" s="290"/>
      <c r="AO88" s="290"/>
      <c r="AP88" s="290"/>
      <c r="AQ88" s="290"/>
      <c r="AR88" s="290"/>
      <c r="AS88" s="290"/>
      <c r="AT88" s="290"/>
      <c r="AU88" s="290"/>
      <c r="AV88" s="290"/>
      <c r="AW88" s="1589"/>
      <c r="AX88" s="1589"/>
      <c r="AY88" s="1589"/>
      <c r="AZ88" s="1589"/>
      <c r="BA88" s="1589"/>
      <c r="BB88" s="1589"/>
      <c r="BC88" s="1589"/>
      <c r="BD88" s="1589"/>
      <c r="BE88" s="1589"/>
      <c r="BF88" s="1589"/>
      <c r="BG88" s="1589"/>
      <c r="BH88" s="1589"/>
      <c r="BI88" s="1589"/>
    </row>
    <row r="89" spans="2:62" ht="15">
      <c r="D89" s="314" t="str">
        <f>+'Questions - Fragen'!$A13</f>
        <v>2.1</v>
      </c>
      <c r="E89" s="38"/>
      <c r="F89" s="38"/>
      <c r="G89" s="38"/>
      <c r="H89" s="38"/>
      <c r="I89" s="275"/>
      <c r="T89" s="290"/>
      <c r="U89" s="290"/>
      <c r="V89" s="290"/>
      <c r="W89" s="290"/>
      <c r="X89" s="290"/>
      <c r="Y89" s="290"/>
      <c r="Z89" s="290"/>
      <c r="AA89" s="290"/>
      <c r="AB89" s="290"/>
      <c r="AC89" s="290"/>
      <c r="AD89" s="290"/>
      <c r="AE89" s="290"/>
      <c r="AM89" s="290"/>
      <c r="AN89" s="290"/>
      <c r="AO89" s="290"/>
      <c r="AP89" s="290"/>
      <c r="AQ89" s="290"/>
      <c r="AR89" s="290"/>
      <c r="AS89" s="290"/>
      <c r="AT89" s="290"/>
      <c r="AU89" s="290"/>
      <c r="AV89" s="290"/>
      <c r="AW89" s="1589"/>
      <c r="AX89" s="1589"/>
      <c r="AY89" s="1589"/>
      <c r="AZ89" s="1589"/>
      <c r="BA89" s="1589"/>
      <c r="BB89" s="1589"/>
      <c r="BC89" s="1589"/>
      <c r="BD89" s="1589"/>
      <c r="BE89" s="1589"/>
      <c r="BF89" s="1589"/>
      <c r="BG89" s="1589"/>
      <c r="BH89" s="1589"/>
      <c r="BI89" s="1589"/>
    </row>
    <row r="90" spans="2:62" ht="15">
      <c r="D90" s="314" t="str">
        <f>+'Questions - Fragen'!$A14</f>
        <v>2.2</v>
      </c>
      <c r="E90" s="38"/>
      <c r="F90" s="38"/>
      <c r="G90" s="38"/>
      <c r="H90" s="38"/>
      <c r="I90" s="275"/>
      <c r="T90" s="290"/>
      <c r="U90" s="744"/>
      <c r="V90" s="744"/>
      <c r="W90" s="291"/>
      <c r="X90" s="744"/>
      <c r="Y90" s="744"/>
      <c r="Z90" s="744"/>
      <c r="AA90" s="744"/>
      <c r="AB90" s="744"/>
      <c r="AC90" s="744"/>
      <c r="AD90" s="744"/>
      <c r="AE90" s="744"/>
      <c r="AF90" s="744"/>
      <c r="AG90" s="744"/>
      <c r="AH90" s="744"/>
      <c r="AI90" s="744"/>
      <c r="AJ90" s="744"/>
      <c r="AK90" s="744"/>
      <c r="AL90" s="744"/>
      <c r="AM90" s="744"/>
      <c r="AN90" s="744"/>
      <c r="AO90" s="744"/>
      <c r="AP90" s="744"/>
      <c r="AQ90" s="744"/>
      <c r="AR90" s="744"/>
      <c r="AS90" s="744"/>
      <c r="AT90" s="744"/>
      <c r="AU90" s="744"/>
      <c r="AV90" s="744"/>
      <c r="AW90" s="1498"/>
      <c r="AX90" s="1498"/>
      <c r="AY90" s="1498"/>
      <c r="AZ90" s="1498"/>
      <c r="BA90" s="1498"/>
      <c r="BB90" s="1498"/>
      <c r="BC90" s="1498"/>
      <c r="BD90" s="1498"/>
      <c r="BE90" s="1498"/>
      <c r="BF90" s="1498"/>
      <c r="BG90" s="1498"/>
      <c r="BH90" s="1498"/>
      <c r="BI90" s="1498"/>
    </row>
    <row r="91" spans="2:62" ht="15">
      <c r="D91" s="314" t="str">
        <f>+'Questions - Fragen'!$A15</f>
        <v>2.3</v>
      </c>
      <c r="E91" s="38"/>
      <c r="F91" s="38"/>
      <c r="G91" s="38"/>
      <c r="H91" s="38"/>
      <c r="I91" s="275"/>
      <c r="T91" s="290"/>
      <c r="U91" s="744"/>
      <c r="V91" s="744"/>
      <c r="W91" s="744"/>
      <c r="X91" s="744"/>
      <c r="Y91" s="744"/>
      <c r="Z91" s="744"/>
      <c r="AA91" s="744"/>
      <c r="AB91" s="744"/>
      <c r="AC91" s="744"/>
      <c r="AD91" s="744"/>
      <c r="AE91" s="744"/>
      <c r="AF91" s="744"/>
      <c r="AG91" s="744"/>
      <c r="AH91" s="744"/>
      <c r="AI91" s="744"/>
      <c r="AJ91" s="744"/>
      <c r="AK91" s="744"/>
      <c r="AL91" s="744"/>
      <c r="AM91" s="744"/>
      <c r="AN91" s="744"/>
      <c r="AO91" s="744"/>
      <c r="AP91" s="744"/>
      <c r="AQ91" s="744"/>
      <c r="AR91" s="744"/>
      <c r="AS91" s="744"/>
      <c r="AT91" s="744"/>
      <c r="AU91" s="744"/>
      <c r="AV91" s="744"/>
      <c r="AW91" s="1498"/>
      <c r="AX91" s="1498"/>
      <c r="AY91" s="1498"/>
      <c r="AZ91" s="1498"/>
      <c r="BA91" s="1498"/>
      <c r="BB91" s="1498"/>
      <c r="BC91" s="1498"/>
      <c r="BD91" s="1498"/>
      <c r="BE91" s="1498"/>
      <c r="BF91" s="1498"/>
      <c r="BG91" s="1498"/>
      <c r="BH91" s="1498"/>
      <c r="BI91" s="1498"/>
    </row>
    <row r="92" spans="2:62" ht="15">
      <c r="D92" s="314" t="str">
        <f>+'Questions - Fragen'!$A16</f>
        <v>2.4</v>
      </c>
      <c r="E92" s="38"/>
      <c r="F92" s="38"/>
      <c r="G92" s="38"/>
      <c r="H92" s="38"/>
      <c r="I92" s="275"/>
      <c r="T92" s="290"/>
      <c r="U92" s="744"/>
      <c r="V92" s="744"/>
      <c r="W92" s="1479"/>
      <c r="X92" s="1480"/>
      <c r="Y92" s="1480"/>
      <c r="Z92" s="1480"/>
      <c r="AA92" s="1480"/>
      <c r="AB92" s="1480"/>
      <c r="AC92" s="1480"/>
      <c r="AD92" s="1480"/>
      <c r="AE92" s="1480"/>
      <c r="AF92" s="1480"/>
      <c r="AG92" s="1480"/>
      <c r="AH92" s="1480"/>
      <c r="AI92" s="1480"/>
      <c r="AJ92" s="1480"/>
      <c r="AK92" s="1480"/>
      <c r="AL92" s="1480"/>
      <c r="AM92" s="1480"/>
      <c r="AN92" s="1480"/>
      <c r="AO92" s="1480"/>
      <c r="AP92" s="1480"/>
      <c r="AQ92" s="1480"/>
      <c r="AR92" s="1480"/>
      <c r="AS92" s="1480"/>
      <c r="AT92" s="1480"/>
      <c r="AU92" s="1480"/>
      <c r="AV92" s="1480"/>
      <c r="AW92" s="1498"/>
      <c r="AX92" s="1498"/>
      <c r="AY92" s="1498"/>
      <c r="AZ92" s="1498"/>
      <c r="BA92" s="1498"/>
      <c r="BB92" s="1498"/>
      <c r="BC92" s="1498"/>
      <c r="BD92" s="1498"/>
      <c r="BE92" s="1498"/>
      <c r="BF92" s="1498"/>
      <c r="BG92" s="1498"/>
      <c r="BH92" s="1498"/>
      <c r="BI92" s="1498"/>
    </row>
    <row r="93" spans="2:62" ht="15">
      <c r="D93" s="314" t="str">
        <f>+'Questions - Fragen'!$A17</f>
        <v>2.5</v>
      </c>
      <c r="E93" s="38" t="str">
        <f>H8</f>
        <v>n.e.</v>
      </c>
      <c r="F93" s="38"/>
      <c r="G93" s="38"/>
      <c r="H93" s="38"/>
      <c r="I93" s="275"/>
      <c r="T93" s="290"/>
      <c r="U93" s="744"/>
      <c r="V93" s="744"/>
      <c r="W93" s="1480"/>
      <c r="X93" s="1480"/>
      <c r="Y93" s="1480"/>
      <c r="Z93" s="1480"/>
      <c r="AA93" s="1480"/>
      <c r="AB93" s="1480"/>
      <c r="AC93" s="1480"/>
      <c r="AD93" s="1480"/>
      <c r="AE93" s="1480"/>
      <c r="AF93" s="1480"/>
      <c r="AG93" s="1480"/>
      <c r="AH93" s="1480"/>
      <c r="AI93" s="1480"/>
      <c r="AJ93" s="1480"/>
      <c r="AK93" s="1480"/>
      <c r="AL93" s="1480"/>
      <c r="AM93" s="1480"/>
      <c r="AN93" s="1480"/>
      <c r="AO93" s="1480"/>
      <c r="AP93" s="1480"/>
      <c r="AQ93" s="1480"/>
      <c r="AR93" s="1480"/>
      <c r="AS93" s="1480"/>
      <c r="AT93" s="1480"/>
      <c r="AU93" s="1480"/>
      <c r="AV93" s="1480"/>
      <c r="AW93" s="1498"/>
      <c r="AX93" s="1498"/>
      <c r="AY93" s="1498"/>
      <c r="AZ93" s="1498"/>
      <c r="BA93" s="1498"/>
      <c r="BB93" s="1498"/>
      <c r="BC93" s="1498"/>
      <c r="BD93" s="1498"/>
      <c r="BE93" s="1498"/>
      <c r="BF93" s="1498"/>
      <c r="BG93" s="1498"/>
      <c r="BH93" s="1498"/>
      <c r="BI93" s="1498"/>
    </row>
    <row r="94" spans="2:62" ht="15">
      <c r="D94" s="314" t="str">
        <f>+'Questions - Fragen'!$A18</f>
        <v>2.6</v>
      </c>
      <c r="E94" s="38" t="str">
        <f>I8</f>
        <v>n.e.</v>
      </c>
      <c r="F94" s="38"/>
      <c r="G94" s="38"/>
      <c r="H94" s="38"/>
      <c r="I94" s="275"/>
      <c r="T94" s="290"/>
      <c r="U94" s="744"/>
      <c r="V94" s="744"/>
      <c r="W94" s="1476"/>
      <c r="X94" s="1477"/>
      <c r="Y94" s="1477"/>
      <c r="Z94" s="1477"/>
      <c r="AA94" s="1477"/>
      <c r="AB94" s="1477"/>
      <c r="AC94" s="1477"/>
      <c r="AD94" s="1477"/>
      <c r="AE94" s="1477"/>
      <c r="AF94" s="1477"/>
      <c r="AG94" s="1477"/>
      <c r="AH94" s="1477"/>
      <c r="AI94" s="1477"/>
      <c r="AJ94" s="1477"/>
      <c r="AK94" s="1477"/>
      <c r="AL94" s="1477"/>
      <c r="AM94" s="1477"/>
      <c r="AN94" s="1477"/>
      <c r="AO94" s="1477"/>
      <c r="AP94" s="1477"/>
      <c r="AQ94" s="1477"/>
      <c r="AR94" s="1477"/>
      <c r="AS94" s="1477"/>
      <c r="AT94" s="1477"/>
      <c r="AU94" s="1477"/>
      <c r="AV94" s="1477"/>
      <c r="AW94" s="1498"/>
      <c r="AX94" s="1498"/>
      <c r="AY94" s="1498"/>
      <c r="AZ94" s="1498"/>
      <c r="BA94" s="1498"/>
      <c r="BB94" s="1498"/>
      <c r="BC94" s="1498"/>
      <c r="BD94" s="1498"/>
      <c r="BE94" s="1498"/>
      <c r="BF94" s="1498"/>
      <c r="BG94" s="1498"/>
      <c r="BH94" s="1498"/>
      <c r="BI94" s="1498"/>
    </row>
    <row r="95" spans="2:62" ht="15">
      <c r="D95" s="314" t="str">
        <f>+'Questions - Fragen'!$A19</f>
        <v>2.7</v>
      </c>
      <c r="E95" s="38"/>
      <c r="F95" s="38"/>
      <c r="G95" s="38"/>
      <c r="H95" s="38"/>
      <c r="I95" s="275"/>
      <c r="T95" s="290"/>
      <c r="U95" s="744"/>
      <c r="V95" s="744"/>
      <c r="W95" s="1477"/>
      <c r="X95" s="1477"/>
      <c r="Y95" s="1477"/>
      <c r="Z95" s="1477"/>
      <c r="AA95" s="1477"/>
      <c r="AB95" s="1477"/>
      <c r="AC95" s="1477"/>
      <c r="AD95" s="1477"/>
      <c r="AE95" s="1477"/>
      <c r="AF95" s="1477"/>
      <c r="AG95" s="1477"/>
      <c r="AH95" s="1477"/>
      <c r="AI95" s="1477"/>
      <c r="AJ95" s="1477"/>
      <c r="AK95" s="1477"/>
      <c r="AL95" s="1477"/>
      <c r="AM95" s="1477"/>
      <c r="AN95" s="1477"/>
      <c r="AO95" s="1477"/>
      <c r="AP95" s="1477"/>
      <c r="AQ95" s="1477"/>
      <c r="AR95" s="1477"/>
      <c r="AS95" s="1477"/>
      <c r="AT95" s="1477"/>
      <c r="AU95" s="1477"/>
      <c r="AV95" s="1477"/>
      <c r="AW95" s="1498"/>
      <c r="AX95" s="1498"/>
      <c r="AY95" s="1498"/>
      <c r="AZ95" s="1498"/>
      <c r="BA95" s="1498"/>
      <c r="BB95" s="1498"/>
      <c r="BC95" s="1498"/>
      <c r="BD95" s="1498"/>
      <c r="BE95" s="1498"/>
      <c r="BF95" s="1498"/>
      <c r="BG95" s="1498"/>
      <c r="BH95" s="1498"/>
      <c r="BI95" s="1498"/>
    </row>
    <row r="96" spans="2:62" ht="15.75">
      <c r="D96" s="315" t="str">
        <f>+'Questions - Fragen'!$A20</f>
        <v>P3</v>
      </c>
      <c r="E96" s="38"/>
      <c r="F96" s="38"/>
      <c r="G96" s="272" t="s">
        <v>96</v>
      </c>
      <c r="H96" s="38" t="str">
        <f>+IF(COUNT(E89:E95)=0,"n.b.",+IF(MIN(E89:E95)=0,"C",+IF(MIN(E89:E95)=4,"B","A")))</f>
        <v>n.b.</v>
      </c>
      <c r="I96" s="275" t="str">
        <f>+A8</f>
        <v>n.e.</v>
      </c>
      <c r="T96" s="290"/>
      <c r="U96" s="744"/>
      <c r="V96" s="744"/>
      <c r="W96" s="1477"/>
      <c r="X96" s="1477"/>
      <c r="Y96" s="1477"/>
      <c r="Z96" s="1477"/>
      <c r="AA96" s="1477"/>
      <c r="AB96" s="1477"/>
      <c r="AC96" s="1477"/>
      <c r="AD96" s="1477"/>
      <c r="AE96" s="1477"/>
      <c r="AF96" s="1477"/>
      <c r="AG96" s="1477"/>
      <c r="AH96" s="1477"/>
      <c r="AI96" s="1477"/>
      <c r="AJ96" s="1477"/>
      <c r="AK96" s="1477"/>
      <c r="AL96" s="1477"/>
      <c r="AM96" s="1477"/>
      <c r="AN96" s="1477"/>
      <c r="AO96" s="1477"/>
      <c r="AP96" s="1477"/>
      <c r="AQ96" s="1477"/>
      <c r="AR96" s="1477"/>
      <c r="AS96" s="1477"/>
      <c r="AT96" s="1477"/>
      <c r="AU96" s="1477"/>
      <c r="AV96" s="1477"/>
      <c r="AW96" s="1482"/>
      <c r="AX96" s="1482"/>
      <c r="AY96" s="1482"/>
      <c r="AZ96" s="1482"/>
      <c r="BA96" s="1482"/>
      <c r="BB96" s="1482"/>
      <c r="BC96" s="1482"/>
      <c r="BD96" s="1482"/>
      <c r="BE96" s="1482"/>
      <c r="BF96" s="1482"/>
      <c r="BG96" s="1482"/>
      <c r="BH96" s="1482"/>
      <c r="BI96" s="1482"/>
    </row>
    <row r="97" spans="4:61" ht="15">
      <c r="D97" s="314" t="str">
        <f>+'Questions - Fragen'!$A22</f>
        <v>3.1</v>
      </c>
      <c r="E97" s="38"/>
      <c r="F97" s="38"/>
      <c r="G97" s="38"/>
      <c r="H97" s="38"/>
      <c r="I97" s="275"/>
      <c r="T97" s="290"/>
      <c r="U97" s="744"/>
      <c r="V97" s="744"/>
      <c r="W97" s="1476"/>
      <c r="X97" s="1477"/>
      <c r="Y97" s="1477"/>
      <c r="Z97" s="1477"/>
      <c r="AA97" s="1477"/>
      <c r="AB97" s="1477"/>
      <c r="AC97" s="1477"/>
      <c r="AD97" s="1477"/>
      <c r="AE97" s="1477"/>
      <c r="AF97" s="1477"/>
      <c r="AG97" s="1477"/>
      <c r="AH97" s="1477"/>
      <c r="AI97" s="1477"/>
      <c r="AJ97" s="1477"/>
      <c r="AK97" s="1477"/>
      <c r="AL97" s="1477"/>
      <c r="AM97" s="1477"/>
      <c r="AN97" s="1477"/>
      <c r="AO97" s="1477"/>
      <c r="AP97" s="1477"/>
      <c r="AQ97" s="1477"/>
      <c r="AR97" s="1477"/>
      <c r="AS97" s="1477"/>
      <c r="AT97" s="1477"/>
      <c r="AU97" s="1477"/>
      <c r="AV97" s="1477"/>
      <c r="AW97" s="1481"/>
      <c r="AX97" s="1482"/>
      <c r="AY97" s="1482"/>
      <c r="AZ97" s="1482"/>
      <c r="BA97" s="1482"/>
      <c r="BB97" s="1482"/>
      <c r="BC97" s="1482"/>
      <c r="BD97" s="1482"/>
      <c r="BE97" s="1482"/>
      <c r="BF97" s="1482"/>
      <c r="BG97" s="1482"/>
      <c r="BH97" s="1482"/>
      <c r="BI97" s="1482"/>
    </row>
    <row r="98" spans="4:61" ht="15">
      <c r="D98" s="314" t="str">
        <f>+'Questions - Fragen'!$A25</f>
        <v>3.2</v>
      </c>
      <c r="E98" s="38" t="str">
        <f>IF(COUNT(J98:K98)&gt;0,MIN(J98:K98),"n.b")</f>
        <v>n.b</v>
      </c>
      <c r="F98" s="38"/>
      <c r="G98" s="38"/>
      <c r="H98" s="38"/>
      <c r="I98" s="275"/>
      <c r="J98" s="167" t="str">
        <f>E14</f>
        <v>n.e.</v>
      </c>
      <c r="K98" s="167" t="str">
        <f>P14</f>
        <v>n.e.</v>
      </c>
      <c r="T98" s="290"/>
      <c r="U98" s="744"/>
      <c r="V98" s="744"/>
      <c r="W98" s="1477"/>
      <c r="X98" s="1477"/>
      <c r="Y98" s="1477"/>
      <c r="Z98" s="1477"/>
      <c r="AA98" s="1477"/>
      <c r="AB98" s="1477"/>
      <c r="AC98" s="1477"/>
      <c r="AD98" s="1477"/>
      <c r="AE98" s="1477"/>
      <c r="AF98" s="1477"/>
      <c r="AG98" s="1477"/>
      <c r="AH98" s="1477"/>
      <c r="AI98" s="1477"/>
      <c r="AJ98" s="1477"/>
      <c r="AK98" s="1477"/>
      <c r="AL98" s="1477"/>
      <c r="AM98" s="1477"/>
      <c r="AN98" s="1477"/>
      <c r="AO98" s="1477"/>
      <c r="AP98" s="1477"/>
      <c r="AQ98" s="1477"/>
      <c r="AR98" s="1477"/>
      <c r="AS98" s="1477"/>
      <c r="AT98" s="1477"/>
      <c r="AU98" s="1477"/>
      <c r="AV98" s="1477"/>
      <c r="AW98" s="1482"/>
      <c r="AX98" s="1482"/>
      <c r="AY98" s="1482"/>
      <c r="AZ98" s="1482"/>
      <c r="BA98" s="1482"/>
      <c r="BB98" s="1482"/>
      <c r="BC98" s="1482"/>
      <c r="BD98" s="1482"/>
      <c r="BE98" s="1482"/>
      <c r="BF98" s="1482"/>
      <c r="BG98" s="1482"/>
      <c r="BH98" s="1482"/>
      <c r="BI98" s="1482"/>
    </row>
    <row r="99" spans="4:61" ht="15">
      <c r="D99" s="314" t="str">
        <f>+'Questions - Fragen'!$A28</f>
        <v>3.3</v>
      </c>
      <c r="E99" s="38"/>
      <c r="F99" s="38"/>
      <c r="G99" s="38"/>
      <c r="H99" s="38"/>
      <c r="I99" s="275"/>
      <c r="J99" s="167"/>
      <c r="K99" s="167"/>
      <c r="T99" s="290"/>
      <c r="U99" s="744"/>
      <c r="V99" s="744"/>
      <c r="W99" s="1588"/>
      <c r="X99" s="1588"/>
      <c r="Y99" s="1588"/>
      <c r="Z99" s="1588"/>
      <c r="AA99" s="1588"/>
      <c r="AB99" s="1588"/>
      <c r="AC99" s="1588"/>
      <c r="AD99" s="1588"/>
      <c r="AE99" s="1588"/>
      <c r="AF99" s="1588"/>
      <c r="AG99" s="1588"/>
      <c r="AH99" s="1588"/>
      <c r="AI99" s="1588"/>
      <c r="AJ99" s="1588"/>
      <c r="AK99" s="1588"/>
      <c r="AL99" s="1588"/>
      <c r="AM99" s="1588"/>
      <c r="AN99" s="1588"/>
      <c r="AO99" s="1588"/>
      <c r="AP99" s="1588"/>
      <c r="AQ99" s="1588"/>
      <c r="AR99" s="1588"/>
      <c r="AS99" s="1588"/>
      <c r="AT99" s="1588"/>
      <c r="AU99" s="1588"/>
      <c r="AV99" s="1588"/>
      <c r="AW99" s="1481"/>
      <c r="AX99" s="1482"/>
      <c r="AY99" s="1482"/>
      <c r="AZ99" s="1482"/>
      <c r="BA99" s="1482"/>
      <c r="BB99" s="1482"/>
      <c r="BC99" s="1482"/>
      <c r="BD99" s="1482"/>
      <c r="BE99" s="1482"/>
      <c r="BF99" s="1482"/>
      <c r="BG99" s="1482"/>
      <c r="BH99" s="1482"/>
      <c r="BI99" s="1482"/>
    </row>
    <row r="100" spans="4:61" ht="15">
      <c r="D100" s="314" t="str">
        <f>+'Questions - Fragen'!$A31</f>
        <v>3.4</v>
      </c>
      <c r="E100" s="38"/>
      <c r="F100" s="38"/>
      <c r="G100" s="38"/>
      <c r="H100" s="38"/>
      <c r="I100" s="275"/>
      <c r="J100" s="167"/>
      <c r="K100" s="167"/>
      <c r="T100" s="290"/>
      <c r="U100" s="744"/>
      <c r="V100" s="744"/>
      <c r="W100" s="1588"/>
      <c r="X100" s="1588"/>
      <c r="Y100" s="1588"/>
      <c r="Z100" s="1588"/>
      <c r="AA100" s="1588"/>
      <c r="AB100" s="1588"/>
      <c r="AC100" s="1588"/>
      <c r="AD100" s="1588"/>
      <c r="AE100" s="1588"/>
      <c r="AF100" s="1588"/>
      <c r="AG100" s="1588"/>
      <c r="AH100" s="1588"/>
      <c r="AI100" s="1588"/>
      <c r="AJ100" s="1588"/>
      <c r="AK100" s="1588"/>
      <c r="AL100" s="1588"/>
      <c r="AM100" s="1588"/>
      <c r="AN100" s="1588"/>
      <c r="AO100" s="1588"/>
      <c r="AP100" s="1588"/>
      <c r="AQ100" s="1588"/>
      <c r="AR100" s="1588"/>
      <c r="AS100" s="1588"/>
      <c r="AT100" s="1588"/>
      <c r="AU100" s="1588"/>
      <c r="AV100" s="1588"/>
      <c r="AW100" s="1482"/>
      <c r="AX100" s="1482"/>
      <c r="AY100" s="1482"/>
      <c r="AZ100" s="1482"/>
      <c r="BA100" s="1482"/>
      <c r="BB100" s="1482"/>
      <c r="BC100" s="1482"/>
      <c r="BD100" s="1482"/>
      <c r="BE100" s="1482"/>
      <c r="BF100" s="1482"/>
      <c r="BG100" s="1482"/>
      <c r="BH100" s="1482"/>
      <c r="BI100" s="1482"/>
    </row>
    <row r="101" spans="4:61">
      <c r="D101" s="314" t="str">
        <f>+'Questions - Fragen'!$A34</f>
        <v>3.5</v>
      </c>
      <c r="E101" s="38"/>
      <c r="F101" s="38"/>
      <c r="G101" s="38"/>
      <c r="H101" s="38"/>
      <c r="I101" s="275"/>
      <c r="J101" s="167"/>
      <c r="K101" s="167"/>
      <c r="T101" s="260"/>
      <c r="U101" s="1497"/>
      <c r="V101" s="1497"/>
      <c r="W101" s="1497"/>
      <c r="X101" s="1497"/>
      <c r="Y101" s="1497"/>
      <c r="Z101" s="1497"/>
      <c r="AA101" s="1497"/>
      <c r="AB101" s="1497"/>
      <c r="AC101" s="1497"/>
      <c r="AD101" s="1497"/>
      <c r="AE101" s="1497"/>
      <c r="AF101" s="1497"/>
      <c r="AG101" s="1497"/>
      <c r="AH101" s="1497"/>
      <c r="AI101" s="1497"/>
      <c r="AJ101" s="1497"/>
      <c r="AK101" s="1497"/>
      <c r="AL101" s="1497"/>
      <c r="AM101" s="1497"/>
      <c r="AN101" s="1497"/>
      <c r="AO101" s="1497"/>
      <c r="AP101" s="1497"/>
      <c r="AQ101" s="1497"/>
      <c r="AR101" s="1497"/>
      <c r="AS101" s="1497"/>
      <c r="AT101" s="1497"/>
      <c r="AU101" s="1497"/>
      <c r="AV101" s="1497"/>
      <c r="AW101" s="1482"/>
      <c r="AX101" s="1482"/>
      <c r="AY101" s="1482"/>
      <c r="AZ101" s="1482"/>
      <c r="BA101" s="1482"/>
      <c r="BB101" s="1482"/>
      <c r="BC101" s="1482"/>
      <c r="BD101" s="1482"/>
      <c r="BE101" s="1482"/>
      <c r="BF101" s="1482"/>
      <c r="BG101" s="1482"/>
      <c r="BH101" s="1482"/>
      <c r="BI101" s="1482"/>
    </row>
    <row r="102" spans="4:61" ht="15">
      <c r="D102" s="315" t="str">
        <f>+'Questions - Fragen'!$A37</f>
        <v>P4</v>
      </c>
      <c r="E102" s="38"/>
      <c r="F102" s="38"/>
      <c r="G102" s="272" t="s">
        <v>97</v>
      </c>
      <c r="H102" s="38" t="str">
        <f>+IF(COUNT(E96:E101)=0,"n.b.",+IF(MIN(E96:E101)=0,"C",+IF(MIN(E96:E101)=4,"B","A")))</f>
        <v>n.b.</v>
      </c>
      <c r="I102" s="275" t="str">
        <f>+A14</f>
        <v>n.e.</v>
      </c>
      <c r="J102" s="167"/>
      <c r="K102" s="167"/>
      <c r="T102" s="260"/>
      <c r="U102" s="1497"/>
      <c r="V102" s="1497"/>
      <c r="W102" s="1497"/>
      <c r="X102" s="1497"/>
      <c r="Y102" s="1497"/>
      <c r="Z102" s="1497"/>
      <c r="AA102" s="1497"/>
      <c r="AB102" s="1497"/>
      <c r="AC102" s="1497"/>
      <c r="AD102" s="1497"/>
      <c r="AE102" s="1497"/>
      <c r="AF102" s="1497"/>
      <c r="AG102" s="1497"/>
      <c r="AH102" s="1497"/>
      <c r="AI102" s="1497"/>
      <c r="AJ102" s="1497"/>
      <c r="AK102" s="1497"/>
      <c r="AL102" s="1497"/>
      <c r="AM102" s="1497"/>
      <c r="AN102" s="1497"/>
      <c r="AO102" s="1497"/>
      <c r="AP102" s="1497"/>
      <c r="AQ102" s="1497"/>
      <c r="AR102" s="1497"/>
      <c r="AS102" s="1497"/>
      <c r="AT102" s="1497"/>
      <c r="AU102" s="1497"/>
      <c r="AV102" s="1497"/>
      <c r="AW102" s="1482"/>
      <c r="AX102" s="1482"/>
      <c r="AY102" s="1482"/>
      <c r="AZ102" s="1482"/>
      <c r="BA102" s="1482"/>
      <c r="BB102" s="1482"/>
      <c r="BC102" s="1482"/>
      <c r="BD102" s="1482"/>
      <c r="BE102" s="1482"/>
      <c r="BF102" s="1482"/>
      <c r="BG102" s="1482"/>
      <c r="BH102" s="1482"/>
      <c r="BI102" s="1482"/>
    </row>
    <row r="103" spans="4:61">
      <c r="D103" s="314" t="str">
        <f>+'Questions - Fragen'!$A39</f>
        <v>4.1</v>
      </c>
      <c r="E103" s="38" t="str">
        <f>IF(COUNT(J103:K103)&gt;0,MIN(J103:K103),"n.b")</f>
        <v>n.b</v>
      </c>
      <c r="F103" s="38"/>
      <c r="G103" s="38"/>
      <c r="H103" s="38"/>
      <c r="I103" s="275"/>
      <c r="J103" s="167" t="str">
        <f>D22</f>
        <v>n.e.</v>
      </c>
      <c r="K103" s="167" t="str">
        <f>Q22</f>
        <v>n.e.</v>
      </c>
      <c r="T103" s="260"/>
      <c r="U103" s="1497"/>
      <c r="V103" s="1497"/>
      <c r="W103" s="1497"/>
      <c r="X103" s="1497"/>
      <c r="Y103" s="1497"/>
      <c r="Z103" s="1497"/>
      <c r="AA103" s="1497"/>
      <c r="AB103" s="1497"/>
      <c r="AC103" s="1497"/>
      <c r="AD103" s="1497"/>
      <c r="AE103" s="1497"/>
      <c r="AF103" s="1497"/>
      <c r="AG103" s="1497"/>
      <c r="AH103" s="1497"/>
      <c r="AI103" s="1497"/>
      <c r="AJ103" s="1497"/>
      <c r="AK103" s="1497"/>
      <c r="AL103" s="1497"/>
      <c r="AM103" s="1497"/>
      <c r="AN103" s="1497"/>
      <c r="AO103" s="1497"/>
      <c r="AP103" s="1497"/>
      <c r="AQ103" s="1497"/>
      <c r="AR103" s="1497"/>
      <c r="AS103" s="1497"/>
      <c r="AT103" s="1497"/>
      <c r="AU103" s="1497"/>
      <c r="AV103" s="1497"/>
      <c r="AW103" s="1482"/>
      <c r="AX103" s="1482"/>
      <c r="AY103" s="1482"/>
      <c r="AZ103" s="1482"/>
      <c r="BA103" s="1482"/>
      <c r="BB103" s="1482"/>
      <c r="BC103" s="1482"/>
      <c r="BD103" s="1482"/>
      <c r="BE103" s="1482"/>
      <c r="BF103" s="1482"/>
      <c r="BG103" s="1482"/>
      <c r="BH103" s="1482"/>
      <c r="BI103" s="1482"/>
    </row>
    <row r="104" spans="4:61">
      <c r="D104" s="314" t="str">
        <f>+'Questions - Fragen'!$A42</f>
        <v>4.2</v>
      </c>
      <c r="E104" s="38"/>
      <c r="F104" s="38"/>
      <c r="G104" s="38"/>
      <c r="H104" s="38"/>
      <c r="I104" s="275"/>
      <c r="J104" s="167"/>
      <c r="K104" s="167"/>
      <c r="T104" s="260"/>
      <c r="U104" s="1497"/>
      <c r="V104" s="1497"/>
      <c r="W104" s="1497"/>
      <c r="X104" s="1497"/>
      <c r="Y104" s="1497"/>
      <c r="Z104" s="1497"/>
      <c r="AA104" s="1497"/>
      <c r="AB104" s="1497"/>
      <c r="AC104" s="1497"/>
      <c r="AD104" s="1497"/>
      <c r="AE104" s="1497"/>
      <c r="AF104" s="1497"/>
      <c r="AG104" s="1497"/>
      <c r="AH104" s="1497"/>
      <c r="AI104" s="1497"/>
      <c r="AJ104" s="1497"/>
      <c r="AK104" s="1497"/>
      <c r="AL104" s="1497"/>
      <c r="AM104" s="1497"/>
      <c r="AN104" s="1497"/>
      <c r="AO104" s="1497"/>
      <c r="AP104" s="1497"/>
      <c r="AQ104" s="1497"/>
      <c r="AR104" s="1497"/>
      <c r="AS104" s="1497"/>
      <c r="AT104" s="1497"/>
      <c r="AU104" s="1497"/>
      <c r="AV104" s="1497"/>
      <c r="AW104" s="1482"/>
      <c r="AX104" s="1482"/>
      <c r="AY104" s="1482"/>
      <c r="AZ104" s="1482"/>
      <c r="BA104" s="1482"/>
      <c r="BB104" s="1482"/>
      <c r="BC104" s="1482"/>
      <c r="BD104" s="1482"/>
      <c r="BE104" s="1482"/>
      <c r="BF104" s="1482"/>
      <c r="BG104" s="1482"/>
      <c r="BH104" s="1482"/>
      <c r="BI104" s="1482"/>
    </row>
    <row r="105" spans="4:61">
      <c r="D105" s="314" t="str">
        <f>+'Questions - Fragen'!$A45</f>
        <v>4.3</v>
      </c>
      <c r="E105" s="38"/>
      <c r="F105" s="38"/>
      <c r="G105" s="38"/>
      <c r="H105" s="38"/>
      <c r="I105" s="275"/>
      <c r="J105" s="167"/>
      <c r="K105" s="167"/>
      <c r="T105" s="260"/>
      <c r="U105" s="1497"/>
      <c r="V105" s="1497"/>
      <c r="W105" s="1497"/>
      <c r="X105" s="1497"/>
      <c r="Y105" s="1497"/>
      <c r="Z105" s="1497"/>
      <c r="AA105" s="1497"/>
      <c r="AB105" s="1497"/>
      <c r="AC105" s="1497"/>
      <c r="AD105" s="1497"/>
      <c r="AE105" s="1497"/>
      <c r="AF105" s="1497"/>
      <c r="AG105" s="1497"/>
      <c r="AH105" s="1497"/>
      <c r="AI105" s="1497"/>
      <c r="AJ105" s="1497"/>
      <c r="AK105" s="1497"/>
      <c r="AL105" s="1497"/>
      <c r="AM105" s="1497"/>
      <c r="AN105" s="1497"/>
      <c r="AO105" s="1497"/>
      <c r="AP105" s="1497"/>
      <c r="AQ105" s="1497"/>
      <c r="AR105" s="1497"/>
      <c r="AS105" s="1497"/>
      <c r="AT105" s="1497"/>
      <c r="AU105" s="1497"/>
      <c r="AV105" s="1497"/>
      <c r="AW105" s="1482"/>
      <c r="AX105" s="1482"/>
      <c r="AY105" s="1482"/>
      <c r="AZ105" s="1482"/>
      <c r="BA105" s="1482"/>
      <c r="BB105" s="1482"/>
      <c r="BC105" s="1482"/>
      <c r="BD105" s="1482"/>
      <c r="BE105" s="1482"/>
      <c r="BF105" s="1482"/>
      <c r="BG105" s="1482"/>
      <c r="BH105" s="1482"/>
      <c r="BI105" s="1482"/>
    </row>
    <row r="106" spans="4:61">
      <c r="D106" s="314" t="str">
        <f>+'Questions - Fragen'!$A48</f>
        <v>4.4</v>
      </c>
      <c r="E106" s="38" t="str">
        <f>IF(COUNT(J106:K106)&gt;0,MIN(J106:K106),"n.b")</f>
        <v>n.b</v>
      </c>
      <c r="F106" s="38"/>
      <c r="G106" s="38"/>
      <c r="H106" s="38"/>
      <c r="I106" s="275"/>
      <c r="J106" s="167" t="str">
        <f>G22</f>
        <v>n.e.</v>
      </c>
      <c r="K106" s="167" t="str">
        <f>T22</f>
        <v>n.e.</v>
      </c>
      <c r="T106" s="260"/>
      <c r="U106" s="1497"/>
      <c r="V106" s="1497"/>
      <c r="W106" s="1497"/>
      <c r="X106" s="1497"/>
      <c r="Y106" s="1497"/>
      <c r="Z106" s="1497"/>
      <c r="AA106" s="1497"/>
      <c r="AB106" s="1497"/>
      <c r="AC106" s="1497"/>
      <c r="AD106" s="1497"/>
      <c r="AE106" s="1497"/>
      <c r="AF106" s="1497"/>
      <c r="AG106" s="1497"/>
      <c r="AH106" s="1497"/>
      <c r="AI106" s="1497"/>
      <c r="AJ106" s="1497"/>
      <c r="AK106" s="1497"/>
      <c r="AL106" s="1497"/>
      <c r="AM106" s="1497"/>
      <c r="AN106" s="1497"/>
      <c r="AO106" s="1497"/>
      <c r="AP106" s="1497"/>
      <c r="AQ106" s="1497"/>
      <c r="AR106" s="1497"/>
      <c r="AS106" s="1497"/>
      <c r="AT106" s="1497"/>
      <c r="AU106" s="1497"/>
      <c r="AV106" s="1497"/>
      <c r="AW106" s="1482"/>
      <c r="AX106" s="1482"/>
      <c r="AY106" s="1482"/>
      <c r="AZ106" s="1482"/>
      <c r="BA106" s="1482"/>
      <c r="BB106" s="1482"/>
      <c r="BC106" s="1482"/>
      <c r="BD106" s="1482"/>
      <c r="BE106" s="1482"/>
      <c r="BF106" s="1482"/>
      <c r="BG106" s="1482"/>
      <c r="BH106" s="1482"/>
      <c r="BI106" s="1482"/>
    </row>
    <row r="107" spans="4:61">
      <c r="D107" s="314" t="str">
        <f>+'Questions - Fragen'!$A51</f>
        <v>4.5</v>
      </c>
      <c r="E107" s="38"/>
      <c r="F107" s="38"/>
      <c r="G107" s="38"/>
      <c r="H107" s="38"/>
      <c r="I107" s="275"/>
      <c r="J107" s="167"/>
      <c r="K107" s="167"/>
      <c r="T107" s="260"/>
      <c r="U107" s="1497"/>
      <c r="V107" s="1497"/>
      <c r="W107" s="1497"/>
      <c r="X107" s="1497"/>
      <c r="Y107" s="1497"/>
      <c r="Z107" s="1497"/>
      <c r="AA107" s="1497"/>
      <c r="AB107" s="1497"/>
      <c r="AC107" s="1497"/>
      <c r="AD107" s="1497"/>
      <c r="AE107" s="1497"/>
      <c r="AF107" s="1497"/>
      <c r="AG107" s="1497"/>
      <c r="AH107" s="1497"/>
      <c r="AI107" s="1497"/>
      <c r="AJ107" s="1497"/>
      <c r="AK107" s="1497"/>
      <c r="AL107" s="1497"/>
      <c r="AM107" s="1497"/>
      <c r="AN107" s="1497"/>
      <c r="AO107" s="1497"/>
      <c r="AP107" s="1497"/>
      <c r="AQ107" s="1497"/>
      <c r="AR107" s="1497"/>
      <c r="AS107" s="1497"/>
      <c r="AT107" s="1497"/>
      <c r="AU107" s="1497"/>
      <c r="AV107" s="1497"/>
      <c r="AW107" s="1482"/>
      <c r="AX107" s="1482"/>
      <c r="AY107" s="1482"/>
      <c r="AZ107" s="1482"/>
      <c r="BA107" s="1482"/>
      <c r="BB107" s="1482"/>
      <c r="BC107" s="1482"/>
      <c r="BD107" s="1482"/>
      <c r="BE107" s="1482"/>
      <c r="BF107" s="1482"/>
      <c r="BG107" s="1482"/>
      <c r="BH107" s="1482"/>
      <c r="BI107" s="1482"/>
    </row>
    <row r="108" spans="4:61">
      <c r="D108" s="314" t="str">
        <f>+'Questions - Fragen'!$A54</f>
        <v>4.6</v>
      </c>
      <c r="E108" s="38"/>
      <c r="F108" s="38"/>
      <c r="G108" s="38"/>
      <c r="H108" s="38"/>
      <c r="I108" s="275"/>
      <c r="J108" s="167"/>
      <c r="K108" s="167"/>
      <c r="T108" s="260"/>
      <c r="U108" s="1497"/>
      <c r="V108" s="1497"/>
      <c r="W108" s="1497"/>
      <c r="X108" s="1497"/>
      <c r="Y108" s="1497"/>
      <c r="Z108" s="1497"/>
      <c r="AA108" s="1497"/>
      <c r="AB108" s="1497"/>
      <c r="AC108" s="1497"/>
      <c r="AD108" s="1497"/>
      <c r="AE108" s="1497"/>
      <c r="AF108" s="1497"/>
      <c r="AG108" s="1497"/>
      <c r="AH108" s="1497"/>
      <c r="AI108" s="1497"/>
      <c r="AJ108" s="1497"/>
      <c r="AK108" s="1497"/>
      <c r="AL108" s="1497"/>
      <c r="AM108" s="1497"/>
      <c r="AN108" s="1497"/>
      <c r="AO108" s="1497"/>
      <c r="AP108" s="1497"/>
      <c r="AQ108" s="1497"/>
      <c r="AR108" s="1497"/>
      <c r="AS108" s="1497"/>
      <c r="AT108" s="1497"/>
      <c r="AU108" s="1497"/>
      <c r="AV108" s="1497"/>
      <c r="AW108" s="1482"/>
      <c r="AX108" s="1482"/>
      <c r="AY108" s="1482"/>
      <c r="AZ108" s="1482"/>
      <c r="BA108" s="1482"/>
      <c r="BB108" s="1482"/>
      <c r="BC108" s="1482"/>
      <c r="BD108" s="1482"/>
      <c r="BE108" s="1482"/>
      <c r="BF108" s="1482"/>
      <c r="BG108" s="1482"/>
      <c r="BH108" s="1482"/>
      <c r="BI108" s="1482"/>
    </row>
    <row r="109" spans="4:61" ht="15">
      <c r="D109" s="398" t="str">
        <f>+'Questions - Fragen'!$A56</f>
        <v>4.7</v>
      </c>
      <c r="E109" s="38"/>
      <c r="F109" s="38"/>
      <c r="G109" s="38"/>
      <c r="H109" s="38"/>
      <c r="I109" s="275"/>
      <c r="J109" s="167"/>
      <c r="K109" s="167"/>
      <c r="T109" s="260"/>
      <c r="U109" s="1022"/>
      <c r="V109" s="1022"/>
      <c r="W109" s="1022"/>
      <c r="X109" s="1022"/>
      <c r="Y109" s="1022"/>
      <c r="Z109" s="1022"/>
      <c r="AA109" s="1022"/>
      <c r="AB109" s="1022"/>
      <c r="AC109" s="1022"/>
      <c r="AD109" s="1022"/>
      <c r="AE109" s="1022"/>
      <c r="AF109" s="1022"/>
      <c r="AG109" s="1022"/>
      <c r="AH109" s="1022"/>
      <c r="AI109" s="1022"/>
      <c r="AJ109" s="1022"/>
      <c r="AK109" s="1022"/>
      <c r="AL109" s="1022"/>
      <c r="AM109" s="1022"/>
      <c r="AN109" s="1022"/>
      <c r="AO109" s="1022"/>
      <c r="AP109" s="1022"/>
      <c r="AQ109" s="1022"/>
      <c r="AR109" s="1022"/>
      <c r="AS109" s="1022"/>
      <c r="AT109" s="1022"/>
      <c r="AU109" s="1022"/>
      <c r="AV109" s="1022"/>
      <c r="AW109" s="1021"/>
      <c r="AX109" s="1021"/>
      <c r="AY109" s="1021"/>
      <c r="AZ109" s="1021"/>
      <c r="BA109" s="1021"/>
      <c r="BB109" s="1021"/>
      <c r="BC109" s="1021"/>
      <c r="BD109" s="1021"/>
      <c r="BE109" s="1021"/>
      <c r="BF109" s="1021"/>
      <c r="BG109" s="1021"/>
      <c r="BH109" s="1021"/>
      <c r="BI109" s="1021"/>
    </row>
    <row r="110" spans="4:61" ht="15">
      <c r="D110" s="314" t="str">
        <f>+'Questions - Fragen'!$A58</f>
        <v>4.8</v>
      </c>
      <c r="E110" s="38" t="str">
        <f>IF(COUNT(J110:K110)&gt;0,MIN(J110:K110),"n.b")</f>
        <v>n.b</v>
      </c>
      <c r="F110" s="38"/>
      <c r="G110" s="38"/>
      <c r="H110" s="38"/>
      <c r="I110" s="275"/>
      <c r="J110" s="167" t="str">
        <f>K22</f>
        <v>n.e.</v>
      </c>
      <c r="K110" s="167" t="str">
        <f>X22</f>
        <v>n.e.</v>
      </c>
      <c r="T110" s="260"/>
      <c r="U110" s="1497"/>
      <c r="V110" s="1497"/>
      <c r="W110" s="1497"/>
      <c r="X110" s="1497"/>
      <c r="Y110" s="1497"/>
      <c r="Z110" s="1497"/>
      <c r="AA110" s="1497"/>
      <c r="AB110" s="1497"/>
      <c r="AC110" s="1497"/>
      <c r="AD110" s="1497"/>
      <c r="AE110" s="1497"/>
      <c r="AF110" s="1497"/>
      <c r="AG110" s="1497"/>
      <c r="AH110" s="1497"/>
      <c r="AI110" s="1497"/>
      <c r="AJ110" s="1497"/>
      <c r="AK110" s="1497"/>
      <c r="AL110" s="1497"/>
      <c r="AM110" s="1497"/>
      <c r="AN110" s="1497"/>
      <c r="AO110" s="1497"/>
      <c r="AP110" s="1497"/>
      <c r="AQ110" s="1497"/>
      <c r="AR110" s="1497"/>
      <c r="AS110" s="1497"/>
      <c r="AT110" s="1497"/>
      <c r="AU110" s="1497"/>
      <c r="AV110" s="1497"/>
      <c r="AW110" s="1482"/>
      <c r="AX110" s="1482"/>
      <c r="AY110" s="1482"/>
      <c r="AZ110" s="1482"/>
      <c r="BA110" s="1482"/>
      <c r="BB110" s="1482"/>
      <c r="BC110" s="1482"/>
      <c r="BD110" s="1482"/>
      <c r="BE110" s="1482"/>
      <c r="BF110" s="1482"/>
      <c r="BG110" s="1482"/>
      <c r="BH110" s="1482"/>
      <c r="BI110" s="1482"/>
    </row>
    <row r="111" spans="4:61" ht="15">
      <c r="D111" s="315" t="str">
        <f>+'Questions - Fragen'!$A61</f>
        <v>P5</v>
      </c>
      <c r="E111" s="38"/>
      <c r="F111" s="38"/>
      <c r="G111" s="272" t="s">
        <v>98</v>
      </c>
      <c r="H111" s="38" t="str">
        <f>+IF(COUNT(E103:E110)=0,"n.b.",+IF(MIN(E103:E110)=0,"C",+IF(MIN(E103:E110)=4,"B","A")))</f>
        <v>n.b.</v>
      </c>
      <c r="I111" s="275" t="str">
        <f>+A22</f>
        <v>n.e.</v>
      </c>
    </row>
    <row r="112" spans="4:61">
      <c r="D112" s="314" t="str">
        <f>+'Questions - Fragen'!$A62</f>
        <v>5.1</v>
      </c>
      <c r="E112" s="38"/>
      <c r="F112" s="38"/>
      <c r="G112" s="38"/>
      <c r="H112" s="38"/>
      <c r="I112" s="275"/>
    </row>
    <row r="113" spans="4:20">
      <c r="D113" s="314" t="str">
        <f>+'Questions - Fragen'!$A63</f>
        <v>5.2</v>
      </c>
      <c r="E113" s="38"/>
      <c r="F113" s="38"/>
      <c r="G113" s="38"/>
      <c r="H113" s="38"/>
      <c r="I113" s="275"/>
    </row>
    <row r="114" spans="4:20">
      <c r="D114" s="314" t="str">
        <f>+'Questions - Fragen'!$A64</f>
        <v>5.3</v>
      </c>
      <c r="E114" s="38"/>
      <c r="F114" s="38"/>
      <c r="G114" s="38"/>
      <c r="H114" s="38"/>
      <c r="I114" s="275"/>
    </row>
    <row r="115" spans="4:20">
      <c r="D115" s="314" t="str">
        <f>+'Questions - Fragen'!$A65</f>
        <v>5.4</v>
      </c>
      <c r="E115" s="38" t="str">
        <f>O29</f>
        <v>n.e.</v>
      </c>
      <c r="F115" s="38"/>
      <c r="G115" s="38"/>
      <c r="H115" s="38"/>
      <c r="I115" s="275"/>
    </row>
    <row r="116" spans="4:20">
      <c r="D116" s="314" t="str">
        <f>+'Questions - Fragen'!$A66</f>
        <v>5.5</v>
      </c>
      <c r="E116" s="38" t="str">
        <f>P29</f>
        <v>n.e.</v>
      </c>
      <c r="F116" s="38"/>
      <c r="G116" s="38"/>
      <c r="H116" s="38"/>
      <c r="I116" s="275"/>
    </row>
    <row r="117" spans="4:20">
      <c r="D117" s="314" t="str">
        <f>+'Questions - Fragen'!$A67</f>
        <v>5.6</v>
      </c>
      <c r="E117" s="38"/>
      <c r="F117" s="38"/>
      <c r="G117" s="38"/>
      <c r="H117" s="38"/>
      <c r="I117" s="275"/>
    </row>
    <row r="118" spans="4:20">
      <c r="D118" s="314" t="str">
        <f>+'Questions - Fragen'!$A68</f>
        <v>5.7</v>
      </c>
      <c r="E118" s="38"/>
      <c r="F118" s="38"/>
      <c r="G118" s="272" t="s">
        <v>99</v>
      </c>
      <c r="H118" s="186" t="str">
        <f>+IF(COUNT(E112:E118)=0,"n.b.",+IF(MIN(E112:E118)=0,"C",+IF(MIN(E112:E118)=4,"B","A")))</f>
        <v>n.b.</v>
      </c>
      <c r="I118" s="275" t="str">
        <f>+A29</f>
        <v>n.e.</v>
      </c>
    </row>
    <row r="119" spans="4:20" ht="15">
      <c r="D119" s="315" t="str">
        <f>+'Questions - Fragen'!$A69</f>
        <v>P6</v>
      </c>
      <c r="E119" s="272" t="s">
        <v>162</v>
      </c>
      <c r="F119" s="38"/>
      <c r="G119" s="38"/>
      <c r="H119" s="38"/>
      <c r="I119" s="275"/>
      <c r="J119" s="32" t="str">
        <f>'Input Form - EingabeMaske'!C54</f>
        <v>X</v>
      </c>
      <c r="K119" s="32" t="str">
        <f>'Input Form - EingabeMaske'!C55</f>
        <v>X</v>
      </c>
      <c r="L119" s="32" t="str">
        <f>'Input Form - EingabeMaske'!C56</f>
        <v>X</v>
      </c>
      <c r="T119" s="32" t="s">
        <v>306</v>
      </c>
    </row>
    <row r="120" spans="4:20">
      <c r="D120" s="314" t="str">
        <f>+'Questions - Fragen'!$A70</f>
        <v>6.1</v>
      </c>
      <c r="E120" s="272" t="s">
        <v>162</v>
      </c>
      <c r="F120" s="38"/>
      <c r="G120" s="38"/>
      <c r="H120" s="38"/>
      <c r="I120" s="275"/>
      <c r="J120" s="32" t="s">
        <v>197</v>
      </c>
      <c r="K120" s="32" t="s">
        <v>198</v>
      </c>
      <c r="L120" s="32" t="s">
        <v>199</v>
      </c>
    </row>
    <row r="121" spans="4:20">
      <c r="D121" s="314" t="str">
        <f>+'Questions - Fragen'!$A71</f>
        <v>6.1.1</v>
      </c>
      <c r="E121" s="38" t="s">
        <v>210</v>
      </c>
      <c r="F121" s="38"/>
      <c r="G121" s="38"/>
      <c r="H121" s="38"/>
      <c r="I121" s="275"/>
      <c r="J121" s="177"/>
      <c r="K121" s="177"/>
      <c r="L121" s="177"/>
      <c r="M121" s="177"/>
      <c r="N121" s="177"/>
      <c r="O121" s="177"/>
      <c r="P121" s="177"/>
      <c r="Q121" s="177"/>
      <c r="R121" s="177"/>
      <c r="S121" s="177"/>
    </row>
    <row r="122" spans="4:20">
      <c r="D122" s="314" t="str">
        <f>+'Questions - Fragen'!$A82</f>
        <v>6.1.2</v>
      </c>
      <c r="E122" s="38" t="str">
        <f>+IF('Questions - Fragen'!B82&lt;&gt;"x","kein *",+IF(ISERROR(AVERAGE('Questions - Fragen'!D83:D85)),"n.b.",+MIN('Questions - Fragen'!D83:D85)))</f>
        <v>kein *</v>
      </c>
      <c r="F122" s="38"/>
      <c r="G122" s="38"/>
      <c r="H122" s="38"/>
      <c r="I122" s="275"/>
      <c r="J122" s="177"/>
      <c r="K122" s="177"/>
      <c r="L122" s="177"/>
      <c r="M122" s="177"/>
      <c r="N122" s="177"/>
      <c r="O122" s="177"/>
      <c r="P122" s="177"/>
      <c r="Q122" s="177"/>
      <c r="R122" s="177"/>
      <c r="S122" s="177"/>
    </row>
    <row r="123" spans="4:20">
      <c r="D123" s="314" t="str">
        <f>+'Questions - Fragen'!$A93</f>
        <v>6.1.3</v>
      </c>
      <c r="E123" s="38" t="str">
        <f>+IF('Questions - Fragen'!B93&lt;&gt;"x","kein *",+IF(ISERROR(AVERAGE('Questions - Fragen'!D94:D96)),"n.b.",+MIN('Questions - Fragen'!D94:D96)))</f>
        <v>kein *</v>
      </c>
      <c r="F123" s="38"/>
      <c r="G123" s="38"/>
      <c r="H123" s="38"/>
      <c r="I123" s="275"/>
      <c r="J123" s="177"/>
      <c r="K123" s="177"/>
      <c r="L123" s="177"/>
      <c r="M123" s="177"/>
      <c r="N123" s="177"/>
      <c r="O123" s="177"/>
      <c r="P123" s="177"/>
      <c r="Q123" s="177"/>
      <c r="R123" s="177"/>
      <c r="S123" s="177"/>
    </row>
    <row r="124" spans="4:20">
      <c r="D124" s="314" t="str">
        <f>+'Questions - Fragen'!$A104</f>
        <v>6.1.4</v>
      </c>
      <c r="E124" s="38" t="str">
        <f>+IF('Questions - Fragen'!B104&lt;&gt;"x","kein *",+IF(ISERROR(AVERAGE('Questions - Fragen'!D105:D107)),"n.b.",+MIN('Questions - Fragen'!D105:D107)))</f>
        <v>kein *</v>
      </c>
      <c r="F124" s="38"/>
      <c r="G124" s="38"/>
      <c r="H124" s="38"/>
      <c r="I124" s="275"/>
      <c r="J124" s="177"/>
      <c r="K124" s="177"/>
      <c r="L124" s="177"/>
      <c r="M124" s="177"/>
      <c r="N124" s="177"/>
      <c r="O124" s="177"/>
      <c r="P124" s="177"/>
      <c r="Q124" s="177"/>
      <c r="R124" s="177"/>
      <c r="S124" s="177"/>
    </row>
    <row r="125" spans="4:20">
      <c r="D125" s="314" t="str">
        <f>+'Questions - Fragen'!$A115</f>
        <v>6.1.5</v>
      </c>
      <c r="E125" s="38" t="str">
        <f>IF(COUNT(J125:S125)&gt;0,MIN(J125:S125),"n.b")</f>
        <v>n.b</v>
      </c>
      <c r="F125" s="38"/>
      <c r="G125" s="38"/>
      <c r="H125" s="38"/>
      <c r="I125" s="275"/>
      <c r="J125" s="177" t="str">
        <f>IF(OR(J$119=0,ISBLANK('Questions - Fragen'!$D$116)),"--",'Questions - Fragen'!$D$116)</f>
        <v>n.e.</v>
      </c>
      <c r="K125" s="177" t="str">
        <f>IF(OR(K$119=0,ISBLANK('Questions - Fragen'!$D$117)),"--",'Questions - Fragen'!$D$117)</f>
        <v>n.e.</v>
      </c>
      <c r="L125" s="177" t="str">
        <f>IF(OR(L$119=0,ISBLANK('Questions - Fragen'!$D$118)),"--",'Questions - Fragen'!$D$118)</f>
        <v>n.e.</v>
      </c>
      <c r="M125" s="177"/>
      <c r="N125" s="177"/>
      <c r="O125" s="177"/>
      <c r="P125" s="177"/>
      <c r="Q125" s="177"/>
      <c r="R125" s="177"/>
      <c r="S125" s="177"/>
    </row>
    <row r="126" spans="4:20">
      <c r="D126" s="314" t="str">
        <f>+'Questions - Fragen'!$A126</f>
        <v>6.2</v>
      </c>
      <c r="E126" s="272" t="s">
        <v>162</v>
      </c>
      <c r="F126" s="38"/>
      <c r="G126" s="38"/>
      <c r="H126" s="38"/>
      <c r="I126" s="275"/>
      <c r="J126" s="177"/>
      <c r="K126" s="177"/>
      <c r="L126" s="177"/>
      <c r="M126" s="177"/>
      <c r="N126" s="177"/>
      <c r="O126" s="177"/>
      <c r="P126" s="177"/>
      <c r="Q126" s="177"/>
      <c r="R126" s="177"/>
      <c r="S126" s="177"/>
    </row>
    <row r="127" spans="4:20">
      <c r="D127" s="314" t="str">
        <f>+'Questions - Fragen'!$A127</f>
        <v>6.2.1</v>
      </c>
      <c r="E127" s="38" t="s">
        <v>210</v>
      </c>
      <c r="F127" s="38"/>
      <c r="G127" s="38"/>
      <c r="H127" s="38"/>
      <c r="I127" s="275"/>
      <c r="J127" s="177"/>
      <c r="K127" s="177"/>
      <c r="L127" s="177"/>
      <c r="M127" s="177"/>
      <c r="N127" s="177"/>
      <c r="O127" s="177"/>
      <c r="P127" s="177"/>
      <c r="Q127" s="177"/>
      <c r="R127" s="177"/>
      <c r="S127" s="177"/>
    </row>
    <row r="128" spans="4:20">
      <c r="D128" s="314" t="str">
        <f>+'Questions - Fragen'!$A138</f>
        <v>6.2.2</v>
      </c>
      <c r="E128" s="38" t="s">
        <v>210</v>
      </c>
      <c r="F128" s="38"/>
      <c r="G128" s="38"/>
      <c r="H128" s="38"/>
      <c r="I128" s="275"/>
      <c r="J128" s="177"/>
      <c r="K128" s="177"/>
      <c r="L128" s="177"/>
      <c r="M128" s="177"/>
      <c r="N128" s="177"/>
      <c r="O128" s="177"/>
      <c r="P128" s="177"/>
      <c r="Q128" s="177"/>
      <c r="R128" s="177"/>
      <c r="S128" s="177"/>
    </row>
    <row r="129" spans="4:19">
      <c r="D129" s="314" t="str">
        <f>+'Questions - Fragen'!$A149</f>
        <v>6.2.3</v>
      </c>
      <c r="E129" s="38">
        <f>IF(COUNT(J129:S129)&gt;0,MIN(J129:S129),"n.b")</f>
        <v>10</v>
      </c>
      <c r="F129" s="38"/>
      <c r="G129" s="38"/>
      <c r="H129" s="38"/>
      <c r="I129" s="275"/>
      <c r="J129" s="177" t="str">
        <f>IF(OR(J$119=0,ISBLANK('Questions - Fragen'!$D$150)),"--",'Questions - Fragen'!$D$150)</f>
        <v>n.e.</v>
      </c>
      <c r="K129" s="177">
        <f>IF(OR(K$119=0,ISBLANK('Questions - Fragen'!$D$151)),"--",'Questions - Fragen'!$D$151)</f>
        <v>10</v>
      </c>
      <c r="L129" s="177" t="str">
        <f>IF(OR(L$119=0,ISBLANK('Questions - Fragen'!$D$152)),"--",'Questions - Fragen'!$D$152)</f>
        <v>n.e.</v>
      </c>
      <c r="M129" s="177"/>
      <c r="N129" s="177"/>
      <c r="O129" s="177"/>
      <c r="P129" s="177"/>
      <c r="Q129" s="177"/>
      <c r="R129" s="177"/>
      <c r="S129" s="177"/>
    </row>
    <row r="130" spans="4:19">
      <c r="D130" s="314" t="str">
        <f>+'Questions - Fragen'!$A160</f>
        <v>6.2.4</v>
      </c>
      <c r="E130" s="38">
        <f>IF(COUNT(J130:S130)&gt;0,MIN(J130:S130),"n.b")</f>
        <v>10</v>
      </c>
      <c r="F130" s="38"/>
      <c r="G130" s="38"/>
      <c r="H130" s="38"/>
      <c r="I130" s="275"/>
      <c r="J130" s="177">
        <f>IF(OR(J$119=0,ISBLANK('Questions - Fragen'!$D$161)),"--",'Questions - Fragen'!$D$161)</f>
        <v>10</v>
      </c>
      <c r="K130" s="177">
        <f>IF(OR(K$119=0,ISBLANK('Questions - Fragen'!$D$162)),"--",'Questions - Fragen'!$D$162)</f>
        <v>10</v>
      </c>
      <c r="L130" s="177">
        <f>IF(OR(L$119=0,ISBLANK('Questions - Fragen'!$D$163)),"--",'Questions - Fragen'!$D$163)</f>
        <v>10</v>
      </c>
      <c r="M130" s="177"/>
      <c r="N130" s="177"/>
      <c r="O130" s="177"/>
      <c r="P130" s="177"/>
      <c r="Q130" s="177"/>
      <c r="R130" s="177"/>
      <c r="S130" s="177"/>
    </row>
    <row r="131" spans="4:19">
      <c r="D131" s="314" t="str">
        <f>+'Questions - Fragen'!$A171</f>
        <v>6.2.5</v>
      </c>
      <c r="E131" s="38" t="str">
        <f>+IF('Questions - Fragen'!B171&lt;&gt;"x","kein *",+IF(ISERROR(AVERAGE('Questions - Fragen'!D172:D174)),"n.b.",+MIN('Questions - Fragen'!D172:D174)))</f>
        <v>kein *</v>
      </c>
      <c r="F131" s="38"/>
      <c r="G131" s="38"/>
      <c r="H131" s="38"/>
      <c r="I131" s="275"/>
      <c r="J131" s="177"/>
      <c r="K131" s="177"/>
      <c r="L131" s="177"/>
      <c r="M131" s="177"/>
      <c r="N131" s="177"/>
      <c r="O131" s="177"/>
      <c r="P131" s="177"/>
      <c r="Q131" s="177"/>
      <c r="R131" s="177"/>
      <c r="S131" s="177"/>
    </row>
    <row r="132" spans="4:19">
      <c r="D132" s="314" t="str">
        <f>+'Questions - Fragen'!$A182</f>
        <v>6.3</v>
      </c>
      <c r="E132" s="272" t="s">
        <v>162</v>
      </c>
      <c r="F132" s="38"/>
      <c r="G132" s="38"/>
      <c r="H132" s="38"/>
      <c r="I132" s="275"/>
      <c r="J132" s="177"/>
      <c r="K132" s="177"/>
      <c r="L132" s="177"/>
      <c r="M132" s="177"/>
      <c r="N132" s="177"/>
      <c r="O132" s="177"/>
      <c r="P132" s="177"/>
      <c r="Q132" s="177"/>
      <c r="R132" s="177"/>
      <c r="S132" s="177"/>
    </row>
    <row r="133" spans="4:19">
      <c r="D133" s="314" t="str">
        <f>+'Questions - Fragen'!$A183</f>
        <v>6.3.1</v>
      </c>
      <c r="E133" s="38">
        <f>IF(COUNT(J133:S133)&gt;0,MIN(J133:S133),"n.b")</f>
        <v>10</v>
      </c>
      <c r="F133" s="38"/>
      <c r="G133" s="38"/>
      <c r="H133" s="38"/>
      <c r="I133" s="275"/>
      <c r="J133" s="177">
        <f>IF(OR(J$119=0,ISBLANK('Questions - Fragen'!$D$184)),"--",'Questions - Fragen'!$D$184)</f>
        <v>10</v>
      </c>
      <c r="K133" s="177">
        <f>IF(OR(K$119=0,ISBLANK('Questions - Fragen'!$D$185)),"--",'Questions - Fragen'!$D$185)</f>
        <v>10</v>
      </c>
      <c r="L133" s="177" t="str">
        <f>IF(OR(L$119=0,ISBLANK('Questions - Fragen'!$D$186)),"--",'Questions - Fragen'!$D$186)</f>
        <v>n.e.</v>
      </c>
      <c r="M133" s="177"/>
      <c r="N133" s="177"/>
      <c r="O133" s="177"/>
      <c r="P133" s="177"/>
      <c r="Q133" s="177"/>
      <c r="R133" s="177"/>
      <c r="S133" s="177"/>
    </row>
    <row r="134" spans="4:19">
      <c r="D134" s="314" t="str">
        <f>+'Questions - Fragen'!$A194</f>
        <v>6.3.2</v>
      </c>
      <c r="E134" s="38" t="s">
        <v>210</v>
      </c>
      <c r="F134" s="38"/>
      <c r="G134" s="38"/>
      <c r="H134" s="38"/>
      <c r="I134" s="275"/>
      <c r="J134" s="177"/>
      <c r="K134" s="177"/>
      <c r="L134" s="177"/>
      <c r="M134" s="177"/>
      <c r="N134" s="177"/>
      <c r="O134" s="177"/>
      <c r="P134" s="177"/>
      <c r="Q134" s="177"/>
      <c r="R134" s="177"/>
      <c r="S134" s="177"/>
    </row>
    <row r="135" spans="4:19">
      <c r="D135" s="314" t="str">
        <f>+'Questions - Fragen'!$A205</f>
        <v>6.3.3</v>
      </c>
      <c r="E135" s="38" t="str">
        <f>+IF('Questions - Fragen'!B205&lt;&gt;"x","kein *",+IF(ISERROR(AVERAGE('Questions - Fragen'!D206:D208)),"n.b.",+MIN('Questions - Fragen'!D206:D208)))</f>
        <v>kein *</v>
      </c>
      <c r="F135" s="38"/>
      <c r="G135" s="38"/>
      <c r="H135" s="38"/>
      <c r="I135" s="275"/>
      <c r="J135" s="177"/>
      <c r="K135" s="177"/>
      <c r="L135" s="177"/>
      <c r="M135" s="177"/>
      <c r="N135" s="177"/>
      <c r="O135" s="177"/>
      <c r="P135" s="177"/>
      <c r="Q135" s="177"/>
      <c r="R135" s="177"/>
      <c r="S135" s="177"/>
    </row>
    <row r="136" spans="4:19">
      <c r="D136" s="314" t="str">
        <f>+'Questions - Fragen'!$A216</f>
        <v>6.4</v>
      </c>
      <c r="E136" s="272" t="s">
        <v>162</v>
      </c>
      <c r="F136" s="38"/>
      <c r="G136" s="38"/>
      <c r="H136" s="38"/>
      <c r="I136" s="275"/>
      <c r="J136" s="177"/>
      <c r="K136" s="177"/>
      <c r="L136" s="177"/>
      <c r="M136" s="177"/>
      <c r="N136" s="177"/>
      <c r="O136" s="177"/>
      <c r="P136" s="177"/>
      <c r="Q136" s="177"/>
      <c r="R136" s="177"/>
      <c r="S136" s="177"/>
    </row>
    <row r="137" spans="4:19">
      <c r="D137" s="314" t="str">
        <f>+'Questions - Fragen'!$A217</f>
        <v>6.4.1</v>
      </c>
      <c r="E137" s="38">
        <f>IF(COUNT(J137:S137)&gt;0,MIN(J137:S137),"n.b")</f>
        <v>10</v>
      </c>
      <c r="F137" s="38"/>
      <c r="G137" s="38"/>
      <c r="H137" s="38"/>
      <c r="I137" s="275"/>
      <c r="J137" s="177" t="str">
        <f>IF(OR(J$119=0,ISBLANK('Questions - Fragen'!$D$218)),"--",'Questions - Fragen'!$D$218)</f>
        <v>n.e.</v>
      </c>
      <c r="K137" s="177">
        <f>IF(OR(K$119=0,ISBLANK('Questions - Fragen'!$D$219)),"--",'Questions - Fragen'!$D$219)</f>
        <v>10</v>
      </c>
      <c r="L137" s="177" t="str">
        <f>IF(OR(L$119=0,ISBLANK('Questions - Fragen'!$D$220)),"--",'Questions - Fragen'!$D$220)</f>
        <v>n.e.</v>
      </c>
      <c r="M137" s="177"/>
      <c r="N137" s="177"/>
      <c r="O137" s="177"/>
      <c r="P137" s="177"/>
      <c r="Q137" s="177"/>
      <c r="R137" s="177"/>
      <c r="S137" s="177"/>
    </row>
    <row r="138" spans="4:19">
      <c r="D138" s="314" t="str">
        <f>+'Questions - Fragen'!$A228</f>
        <v>6.4.2</v>
      </c>
      <c r="E138" s="38" t="s">
        <v>210</v>
      </c>
      <c r="F138" s="38"/>
      <c r="G138" s="38"/>
      <c r="H138" s="38"/>
      <c r="I138" s="275"/>
      <c r="J138" s="177"/>
      <c r="K138" s="177"/>
      <c r="L138" s="177"/>
      <c r="M138" s="177"/>
      <c r="N138" s="177"/>
      <c r="O138" s="177"/>
      <c r="P138" s="177"/>
      <c r="Q138" s="177"/>
      <c r="R138" s="177"/>
      <c r="S138" s="177"/>
    </row>
    <row r="139" spans="4:19">
      <c r="D139" s="314" t="str">
        <f>+'Questions - Fragen'!$A239</f>
        <v>6.4.3</v>
      </c>
      <c r="E139" s="38">
        <f>IF(COUNT(J139:S139)&gt;0,MIN(J139:S139),"n.b")</f>
        <v>10</v>
      </c>
      <c r="F139" s="38"/>
      <c r="G139" s="38"/>
      <c r="H139" s="38"/>
      <c r="I139" s="275"/>
      <c r="J139" s="177">
        <f>IF(OR(J$119=0,ISBLANK('Questions - Fragen'!$D$240)),"--",'Questions - Fragen'!$D$240)</f>
        <v>10</v>
      </c>
      <c r="K139" s="177">
        <f>IF(OR(K$119=0,ISBLANK('Questions - Fragen'!$D$241)),"--",'Questions - Fragen'!$D$241)</f>
        <v>10</v>
      </c>
      <c r="L139" s="177" t="str">
        <f>IF(OR(L$119=0,ISBLANK('Questions - Fragen'!$D$242)),"--",'Questions - Fragen'!$D$242)</f>
        <v>n.e.</v>
      </c>
      <c r="M139" s="177"/>
      <c r="N139" s="177"/>
      <c r="O139" s="177"/>
      <c r="P139" s="177"/>
      <c r="Q139" s="177"/>
      <c r="R139" s="177"/>
      <c r="S139" s="177"/>
    </row>
    <row r="140" spans="4:19">
      <c r="D140" s="314" t="str">
        <f>+'Questions - Fragen'!$A250</f>
        <v>6.4.4</v>
      </c>
      <c r="E140" s="38" t="str">
        <f>+IF('Questions - Fragen'!B250&lt;&gt;"x","kein *",+IF(ISERROR(AVERAGE('Questions - Fragen'!D251:D253)),"n.b.",+MIN('Questions - Fragen'!D251:D253)))</f>
        <v>kein *</v>
      </c>
      <c r="F140" s="38"/>
      <c r="G140" s="38"/>
      <c r="H140" s="38"/>
      <c r="I140" s="275"/>
      <c r="J140" s="177"/>
      <c r="K140" s="177"/>
      <c r="L140" s="177"/>
      <c r="M140" s="177"/>
      <c r="N140" s="177"/>
      <c r="O140" s="177"/>
      <c r="P140" s="177"/>
      <c r="Q140" s="177"/>
      <c r="R140" s="177"/>
      <c r="S140" s="177"/>
    </row>
    <row r="141" spans="4:19">
      <c r="D141" s="398" t="str">
        <f>'Questions - Fragen'!A261</f>
        <v>6.4.5</v>
      </c>
      <c r="E141" s="38" t="s">
        <v>210</v>
      </c>
      <c r="F141" s="38"/>
      <c r="G141" s="38"/>
      <c r="H141" s="38"/>
      <c r="I141" s="275"/>
      <c r="J141" s="177"/>
      <c r="K141" s="177"/>
      <c r="L141" s="177"/>
      <c r="M141" s="177"/>
      <c r="N141" s="177"/>
      <c r="O141" s="177"/>
      <c r="P141" s="177"/>
      <c r="Q141" s="177"/>
      <c r="R141" s="177"/>
      <c r="S141" s="177"/>
    </row>
    <row r="142" spans="4:19">
      <c r="D142" s="314" t="str">
        <f>+'Questions - Fragen'!$A272</f>
        <v>6.5</v>
      </c>
      <c r="E142" s="272" t="s">
        <v>162</v>
      </c>
      <c r="F142" s="38"/>
      <c r="G142" s="38"/>
      <c r="H142" s="38"/>
      <c r="I142" s="275"/>
      <c r="J142" s="177"/>
      <c r="K142" s="177"/>
      <c r="L142" s="177"/>
      <c r="M142" s="177"/>
      <c r="N142" s="177"/>
      <c r="O142" s="177"/>
      <c r="P142" s="177"/>
      <c r="Q142" s="177"/>
      <c r="R142" s="177"/>
      <c r="S142" s="177"/>
    </row>
    <row r="143" spans="4:19">
      <c r="D143" s="314" t="str">
        <f>+'Questions - Fragen'!$A273</f>
        <v>6.5.1</v>
      </c>
      <c r="E143" s="38" t="str">
        <f>+IF('Questions - Fragen'!B273&lt;&gt;"x","kein *",+IF(ISERROR(AVERAGE('Questions - Fragen'!D274:D276)),"n.b.",+MIN('Questions - Fragen'!D274:D276)))</f>
        <v>kein *</v>
      </c>
      <c r="F143" s="38"/>
      <c r="G143" s="38"/>
      <c r="H143" s="38"/>
      <c r="I143" s="275"/>
      <c r="J143" s="177"/>
      <c r="K143" s="177"/>
      <c r="L143" s="177"/>
      <c r="M143" s="177"/>
      <c r="N143" s="177"/>
      <c r="O143" s="177"/>
      <c r="P143" s="177"/>
      <c r="Q143" s="177"/>
      <c r="R143" s="177"/>
      <c r="S143" s="177"/>
    </row>
    <row r="144" spans="4:19">
      <c r="D144" s="314" t="str">
        <f>+'Questions - Fragen'!$A284</f>
        <v>6.5.2</v>
      </c>
      <c r="E144" s="38" t="str">
        <f>+IF('Questions - Fragen'!B284&lt;&gt;"x","kein *",+IF(ISERROR(AVERAGE('Questions - Fragen'!D285:D287)),"n.b.",+MIN('Questions - Fragen'!D285:D287)))</f>
        <v>kein *</v>
      </c>
      <c r="F144" s="38"/>
      <c r="G144" s="38"/>
      <c r="H144" s="38"/>
      <c r="I144" s="275"/>
      <c r="J144" s="177"/>
      <c r="K144" s="177"/>
      <c r="L144" s="177"/>
      <c r="M144" s="177"/>
      <c r="N144" s="177"/>
      <c r="O144" s="177"/>
      <c r="P144" s="177"/>
      <c r="Q144" s="177"/>
      <c r="R144" s="177"/>
      <c r="S144" s="177"/>
    </row>
    <row r="145" spans="4:28">
      <c r="D145" s="314" t="str">
        <f>+'Questions - Fragen'!$A295</f>
        <v>6.5.3</v>
      </c>
      <c r="E145" s="38">
        <f>IF(COUNT(J145:S145)&gt;0,MIN(J145:S145),"n.b")</f>
        <v>10</v>
      </c>
      <c r="F145" s="38"/>
      <c r="G145" s="38"/>
      <c r="H145" s="38"/>
      <c r="I145" s="275"/>
      <c r="J145" s="177">
        <f>IF('Questions - Fragen'!$B295&lt;&gt;"x","kein *",IF(ISBLANK('Questions - Fragen'!D296),"--",'Questions - Fragen'!D296))</f>
        <v>10</v>
      </c>
      <c r="K145" s="177">
        <f>IF('Questions - Fragen'!$B295&lt;&gt;"x","kein *",IF(ISBLANK('Questions - Fragen'!D297),"--",'Questions - Fragen'!D297))</f>
        <v>10</v>
      </c>
      <c r="L145" s="177" t="str">
        <f>IF('Questions - Fragen'!$B295&lt;&gt;"x","kein *",IF(ISBLANK('Questions - Fragen'!D298),"--",'Questions - Fragen'!D298))</f>
        <v>n.e.</v>
      </c>
      <c r="M145" s="177"/>
      <c r="N145" s="177"/>
      <c r="O145" s="177"/>
      <c r="P145" s="177"/>
      <c r="Q145" s="177"/>
      <c r="R145" s="177"/>
      <c r="S145" s="177"/>
    </row>
    <row r="146" spans="4:28">
      <c r="D146" s="314" t="str">
        <f>+'Questions - Fragen'!$A306</f>
        <v>6.5.4</v>
      </c>
      <c r="E146" s="38" t="s">
        <v>210</v>
      </c>
      <c r="F146" s="38"/>
      <c r="G146" s="38"/>
      <c r="H146" s="38"/>
      <c r="I146" s="275"/>
      <c r="J146" s="177"/>
      <c r="K146" s="177"/>
      <c r="L146" s="177"/>
      <c r="M146" s="177"/>
      <c r="N146" s="177"/>
      <c r="O146" s="177"/>
      <c r="P146" s="177"/>
      <c r="Q146" s="177"/>
      <c r="R146" s="177"/>
      <c r="S146" s="177"/>
    </row>
    <row r="147" spans="4:28">
      <c r="D147" s="314" t="str">
        <f>+'Questions - Fragen'!$A317</f>
        <v>6.6</v>
      </c>
      <c r="E147" s="272" t="s">
        <v>162</v>
      </c>
      <c r="F147" s="38"/>
      <c r="G147" s="38"/>
      <c r="H147" s="38"/>
      <c r="I147" s="275"/>
      <c r="J147" s="177"/>
      <c r="K147" s="177"/>
      <c r="L147" s="177"/>
      <c r="M147" s="177"/>
      <c r="N147" s="177"/>
      <c r="O147" s="177"/>
      <c r="P147" s="177"/>
      <c r="Q147" s="177"/>
      <c r="R147" s="177"/>
      <c r="S147" s="177"/>
    </row>
    <row r="148" spans="4:28">
      <c r="D148" s="314" t="str">
        <f>+'Questions - Fragen'!$A318</f>
        <v>6.6.1</v>
      </c>
      <c r="E148" s="38" t="s">
        <v>210</v>
      </c>
      <c r="F148" s="38"/>
      <c r="G148" s="38"/>
      <c r="H148" s="38"/>
      <c r="I148" s="275"/>
      <c r="J148" s="177"/>
      <c r="K148" s="177"/>
      <c r="L148" s="177"/>
      <c r="M148" s="177"/>
      <c r="N148" s="177"/>
      <c r="O148" s="177"/>
      <c r="P148" s="177"/>
      <c r="Q148" s="177"/>
      <c r="R148" s="177"/>
      <c r="S148" s="177"/>
    </row>
    <row r="149" spans="4:28">
      <c r="D149" s="314" t="str">
        <f>+'Questions - Fragen'!$A329</f>
        <v>6.6.2</v>
      </c>
      <c r="E149" s="38" t="str">
        <f>+IF('Questions - Fragen'!B329&lt;&gt;"x","kein *",+IF(ISERROR(AVERAGE('Questions - Fragen'!D330:D332)),"n.b.",+MIN('Questions - Fragen'!D330:D332)))</f>
        <v>kein *</v>
      </c>
      <c r="F149" s="38"/>
      <c r="G149" s="38"/>
      <c r="H149" s="38"/>
      <c r="I149" s="275"/>
      <c r="J149" s="177"/>
      <c r="K149" s="177"/>
      <c r="L149" s="177"/>
      <c r="M149" s="177"/>
      <c r="N149" s="177"/>
      <c r="O149" s="177"/>
      <c r="P149" s="177"/>
      <c r="Q149" s="177"/>
      <c r="R149" s="177"/>
      <c r="S149" s="177"/>
    </row>
    <row r="150" spans="4:28">
      <c r="D150" s="314" t="str">
        <f>+'Questions - Fragen'!$A340</f>
        <v>6.6.3</v>
      </c>
      <c r="E150" s="38" t="str">
        <f>+IF('Questions - Fragen'!B340&lt;&gt;"x","kein *",+IF(ISERROR(AVERAGE('Questions - Fragen'!D341:D343)),"n.b.",+MIN('Questions - Fragen'!D341:D343)))</f>
        <v>kein *</v>
      </c>
      <c r="F150" s="38"/>
      <c r="G150" s="38"/>
      <c r="H150" s="38"/>
      <c r="I150" s="275"/>
      <c r="J150" s="177"/>
      <c r="K150" s="177"/>
      <c r="L150" s="177"/>
      <c r="M150" s="177"/>
      <c r="N150" s="177"/>
      <c r="O150" s="177"/>
      <c r="P150" s="177"/>
      <c r="Q150" s="177"/>
      <c r="R150" s="177"/>
      <c r="S150" s="177"/>
    </row>
    <row r="151" spans="4:28">
      <c r="D151" s="314" t="str">
        <f>+'Questions - Fragen'!$A351</f>
        <v>6.6.4</v>
      </c>
      <c r="E151" s="38">
        <f>IF(COUNT(J151:S151)&gt;0,MIN(J151:S151),"n.b")</f>
        <v>10</v>
      </c>
      <c r="F151" s="38"/>
      <c r="G151" s="38"/>
      <c r="H151" s="38"/>
      <c r="I151" s="275"/>
      <c r="J151" s="177">
        <f>IF(OR(J$119=0,ISBLANK('Questions - Fragen'!$D$352)),"--",'Questions - Fragen'!$D$352)</f>
        <v>10</v>
      </c>
      <c r="K151" s="177">
        <f>IF(OR(K$119=0,ISBLANK('Questions - Fragen'!$D$353)),"--",'Questions - Fragen'!$D$353)</f>
        <v>10</v>
      </c>
      <c r="L151" s="177" t="str">
        <f>IF(OR(L$119=0,ISBLANK('Questions - Fragen'!$D$354)),"--",'Questions - Fragen'!$D$354)</f>
        <v>n.e.</v>
      </c>
      <c r="M151" s="177"/>
      <c r="N151" s="177"/>
      <c r="O151" s="177"/>
      <c r="P151" s="177"/>
      <c r="Q151" s="177"/>
      <c r="R151" s="177"/>
      <c r="S151" s="177"/>
    </row>
    <row r="152" spans="4:28" ht="15">
      <c r="D152" s="315" t="str">
        <f>+'Questions - Fragen'!$A362</f>
        <v>P7</v>
      </c>
      <c r="E152" s="272" t="s">
        <v>162</v>
      </c>
      <c r="F152" s="38"/>
      <c r="G152" s="272" t="s">
        <v>100</v>
      </c>
      <c r="H152" s="726" t="str">
        <f>IF(COUNT(E120:E151)=0,"n.b.",IF(MIN(E120:E151)=0,"C",IF(MIN(E120:E151)=4,"B","A")))</f>
        <v>A</v>
      </c>
      <c r="I152" s="727" t="str">
        <f>+A56</f>
        <v>A</v>
      </c>
      <c r="J152" s="726" t="str">
        <f>+IF(COUNTIFS('Questions - Fragen'!$A$72:$A$354,J120,'Questions - Fragen'!$D$72:$D$354,"n.b.")=26,"n.b.",+IF(MIN(J121:J151)=0,"C",+IF(MIN(J121:J151)=4,"B","A")))</f>
        <v>A</v>
      </c>
      <c r="K152" s="726" t="str">
        <f>+IF(COUNTIFS('Questions - Fragen'!$A$72:$A$354,K120,'Questions - Fragen'!$D$72:$D$354,"n.b.")=26,"n.b.",+IF(MIN(K121:K151)=0,"C",+IF(MIN(K121:K151)=4,"B","A")))</f>
        <v>A</v>
      </c>
      <c r="L152" s="726" t="str">
        <f>+IF(COUNTIFS('Questions - Fragen'!$A$72:$A$354,L120,'Questions - Fragen'!$D$72:$D$354,"n.b.")=26,"n.b.",+IF(MIN(L121:L151)=0,"C",+IF(MIN(L121:L151)=4,"B","A")))</f>
        <v>A</v>
      </c>
    </row>
    <row r="153" spans="4:28">
      <c r="D153" s="314" t="str">
        <f>+'Questions - Fragen'!$A363</f>
        <v>7.1</v>
      </c>
      <c r="E153" s="38"/>
      <c r="F153" s="38"/>
      <c r="G153" s="38"/>
      <c r="H153" s="38"/>
      <c r="I153" s="275"/>
      <c r="J153" s="32">
        <v>1</v>
      </c>
      <c r="K153" s="32">
        <v>2</v>
      </c>
      <c r="L153" s="32">
        <v>3</v>
      </c>
    </row>
    <row r="154" spans="4:28">
      <c r="D154" s="314" t="str">
        <f>+'Questions - Fragen'!$A364</f>
        <v>7.2</v>
      </c>
      <c r="E154" s="38"/>
      <c r="F154" s="38"/>
      <c r="G154" s="38"/>
      <c r="H154" s="38"/>
      <c r="I154" s="275"/>
    </row>
    <row r="155" spans="4:28">
      <c r="D155" s="314" t="str">
        <f>+'Questions - Fragen'!$A365</f>
        <v>7.3</v>
      </c>
      <c r="E155" s="38" t="str">
        <f>W66</f>
        <v>n.e.</v>
      </c>
      <c r="F155" s="38"/>
      <c r="G155" s="38"/>
      <c r="H155" s="38"/>
      <c r="I155" s="275"/>
    </row>
    <row r="156" spans="4:28">
      <c r="D156" s="314" t="str">
        <f>+'Questions - Fragen'!$A366</f>
        <v>7.4</v>
      </c>
      <c r="E156" s="38" t="str">
        <f>X66</f>
        <v>n.e.</v>
      </c>
      <c r="F156" s="38"/>
      <c r="G156" s="38"/>
      <c r="H156" s="38"/>
      <c r="I156" s="275"/>
    </row>
    <row r="157" spans="4:28">
      <c r="D157" s="314" t="str">
        <f>+'Questions - Fragen'!$A367</f>
        <v>7.5</v>
      </c>
      <c r="E157" s="38"/>
      <c r="F157" s="38"/>
      <c r="G157" s="38"/>
      <c r="H157" s="38"/>
      <c r="I157" s="275"/>
    </row>
    <row r="158" spans="4:28">
      <c r="D158" s="316"/>
      <c r="E158" s="276"/>
      <c r="F158" s="276"/>
      <c r="G158" s="317" t="s">
        <v>101</v>
      </c>
      <c r="H158" s="325" t="str">
        <f>IF(COUNT(E153:E157)=0,"n.b.",+IF(MIN(E153:E157)=0,"C",+IF(MIN(E153:E157)=4,"B","A")))</f>
        <v>n.b.</v>
      </c>
      <c r="I158" s="248" t="str">
        <f>+A66</f>
        <v>n.e.</v>
      </c>
    </row>
    <row r="159" spans="4:28" ht="15" thickBot="1">
      <c r="D159" s="304" t="s">
        <v>148</v>
      </c>
      <c r="E159" s="305">
        <f>+COUNT((E89:E157))</f>
        <v>7</v>
      </c>
      <c r="F159" s="305">
        <f>+COUNTIF(E89:E157,0)</f>
        <v>0</v>
      </c>
      <c r="G159" s="305">
        <f>+IF(COUNT(E89:E157)=0,"n.b.",+MIN(E89:E157))</f>
        <v>10</v>
      </c>
      <c r="H159" s="305"/>
      <c r="I159" s="306"/>
      <c r="Z159" s="177" t="s">
        <v>165</v>
      </c>
      <c r="AA159" s="177" t="s">
        <v>307</v>
      </c>
      <c r="AB159" s="195">
        <f>+G62</f>
        <v>1</v>
      </c>
    </row>
    <row r="160" spans="4:28" ht="15" thickBot="1">
      <c r="D160" s="307" t="s">
        <v>149</v>
      </c>
      <c r="E160" s="303" t="str">
        <f>+IF(E159=0,"n.b.",(+IF(F159&gt;=1,"C",(+IF(F160&gt;=1,"B","A")))))</f>
        <v>A</v>
      </c>
      <c r="F160" s="302">
        <f>+COUNTIF(E89:E157,4)</f>
        <v>0</v>
      </c>
      <c r="G160" s="302" t="str">
        <f>+IF(G159="n.b.","n.b.",+IF(G159=0,"C",+IF(G159=4,"B","A")))</f>
        <v>A</v>
      </c>
      <c r="H160" s="302"/>
      <c r="I160" s="308"/>
      <c r="Z160" s="177" t="s">
        <v>166</v>
      </c>
      <c r="AA160" s="177" t="s">
        <v>308</v>
      </c>
      <c r="AB160" s="195" t="str">
        <f>+M62</f>
        <v>n.e.</v>
      </c>
    </row>
    <row r="161" spans="2:31" ht="18">
      <c r="D161" s="236"/>
      <c r="G161" s="282"/>
      <c r="H161" s="260"/>
      <c r="I161" s="260"/>
      <c r="J161" s="283"/>
      <c r="K161" s="281"/>
      <c r="L161" s="268"/>
      <c r="M161" s="318" t="s">
        <v>183</v>
      </c>
      <c r="N161" s="268"/>
      <c r="O161" s="268"/>
      <c r="P161" s="268"/>
      <c r="Q161" s="268"/>
      <c r="R161" s="268"/>
      <c r="S161" s="268"/>
      <c r="T161" s="268"/>
      <c r="U161" s="268"/>
      <c r="V161" s="269"/>
      <c r="X161" s="177"/>
      <c r="Z161" s="177" t="s">
        <v>167</v>
      </c>
      <c r="AA161" s="177" t="s">
        <v>309</v>
      </c>
      <c r="AB161" s="195">
        <f>+Q62</f>
        <v>1</v>
      </c>
    </row>
    <row r="162" spans="2:31">
      <c r="D162" s="236"/>
      <c r="G162" s="284"/>
      <c r="H162" s="260"/>
      <c r="I162" s="260"/>
      <c r="J162" s="283"/>
      <c r="K162" s="48"/>
      <c r="L162" s="38"/>
      <c r="M162" s="38"/>
      <c r="N162" s="38"/>
      <c r="O162" s="38"/>
      <c r="P162" s="38"/>
      <c r="Q162" s="38"/>
      <c r="R162" s="38"/>
      <c r="S162" s="38"/>
      <c r="T162" s="38"/>
      <c r="U162" s="38"/>
      <c r="V162" s="54"/>
      <c r="Z162" s="177" t="s">
        <v>168</v>
      </c>
      <c r="AA162" s="177" t="s">
        <v>310</v>
      </c>
      <c r="AB162" s="195">
        <f>+W62</f>
        <v>0.9</v>
      </c>
    </row>
    <row r="163" spans="2:31">
      <c r="D163" s="236"/>
      <c r="G163" s="260"/>
      <c r="H163" s="260"/>
      <c r="I163" s="260"/>
      <c r="J163" s="283"/>
      <c r="K163" s="278">
        <f>BB76</f>
        <v>0.97</v>
      </c>
      <c r="L163" s="277" t="str">
        <f>+IF(K163="n.b.","n.b.",+IF(K163&lt;80%,"C",+IF(K163&lt;90%,"B","A")))</f>
        <v>A</v>
      </c>
      <c r="M163" s="319" t="s">
        <v>181</v>
      </c>
      <c r="N163" s="319"/>
      <c r="O163" s="319"/>
      <c r="P163" s="319"/>
      <c r="Q163" s="319"/>
      <c r="R163" s="319"/>
      <c r="S163" s="319"/>
      <c r="T163" s="319"/>
      <c r="U163" s="260"/>
      <c r="V163" s="283"/>
      <c r="Z163" s="177" t="s">
        <v>169</v>
      </c>
      <c r="AA163" s="177" t="s">
        <v>311</v>
      </c>
      <c r="AB163" s="195">
        <f>+AB62</f>
        <v>1</v>
      </c>
    </row>
    <row r="164" spans="2:31">
      <c r="B164" s="16"/>
      <c r="C164" s="16"/>
      <c r="D164" s="16"/>
      <c r="E164" s="16"/>
      <c r="F164" s="16"/>
      <c r="G164" s="16"/>
      <c r="H164" s="260"/>
      <c r="I164" s="285"/>
      <c r="J164" s="286"/>
      <c r="K164" s="279"/>
      <c r="L164" s="270" t="str">
        <f>+E160</f>
        <v>A</v>
      </c>
      <c r="M164" s="319" t="s">
        <v>182</v>
      </c>
      <c r="N164" s="319"/>
      <c r="O164" s="319"/>
      <c r="P164" s="319"/>
      <c r="Q164" s="319"/>
      <c r="R164" s="319"/>
      <c r="S164" s="319"/>
      <c r="T164" s="319"/>
      <c r="U164" s="260"/>
      <c r="V164" s="283"/>
      <c r="Z164" s="177" t="s">
        <v>170</v>
      </c>
      <c r="AA164" s="177" t="s">
        <v>312</v>
      </c>
      <c r="AB164" s="195">
        <f>+AG62</f>
        <v>0.95</v>
      </c>
    </row>
    <row r="165" spans="2:31">
      <c r="B165" s="16"/>
      <c r="C165" s="16"/>
      <c r="D165" s="16"/>
      <c r="E165" s="16"/>
      <c r="F165" s="16"/>
      <c r="G165" s="16"/>
      <c r="H165" s="287"/>
      <c r="I165" s="260"/>
      <c r="J165" s="283"/>
      <c r="K165" s="279"/>
      <c r="L165" s="270" t="str">
        <f>IF(COUNT((A8:A66)=0),"n.b.",+IF(COUNTIF((A8:A66),"C")&gt;=1,"C",+IF(+COUNTIF((A8:A66),"B")&gt;=1,"B","A")))</f>
        <v>A</v>
      </c>
      <c r="M165" s="319" t="s">
        <v>185</v>
      </c>
      <c r="N165" s="319"/>
      <c r="O165" s="319"/>
      <c r="P165" s="319"/>
      <c r="Q165" s="319"/>
      <c r="R165" s="319"/>
      <c r="S165" s="319"/>
      <c r="T165" s="319"/>
      <c r="U165" s="260"/>
      <c r="V165" s="283"/>
      <c r="Z165" s="177" t="s">
        <v>171</v>
      </c>
      <c r="AA165" s="177" t="s">
        <v>313</v>
      </c>
      <c r="AB165" s="195">
        <f>+BD62</f>
        <v>0.98</v>
      </c>
    </row>
    <row r="166" spans="2:31">
      <c r="B166" s="16"/>
      <c r="C166" s="16"/>
      <c r="D166" s="16"/>
      <c r="E166" s="16"/>
      <c r="F166" s="16"/>
      <c r="G166" s="16"/>
      <c r="H166" s="260"/>
      <c r="I166" s="260"/>
      <c r="J166" s="283"/>
      <c r="K166" s="279"/>
      <c r="L166" s="270" t="str">
        <f>+AD166</f>
        <v>A</v>
      </c>
      <c r="M166" s="319" t="s">
        <v>431</v>
      </c>
      <c r="N166" s="319"/>
      <c r="O166" s="319"/>
      <c r="P166" s="319"/>
      <c r="Q166" s="319"/>
      <c r="R166" s="319"/>
      <c r="S166" s="319"/>
      <c r="T166" s="319"/>
      <c r="U166" s="260"/>
      <c r="V166" s="283"/>
      <c r="AA166" s="177"/>
      <c r="AB166" s="32">
        <f>+COUNTIF(AB159:AB165,"n.b.")</f>
        <v>0</v>
      </c>
      <c r="AD166" s="327" t="str">
        <f>+IF(AB166=7,$AI$35,+IF(MIN(G62,M62,Q62,W62,AB62,AG62,BD62)&lt;80%,"B","A"))</f>
        <v>A</v>
      </c>
      <c r="AE166" s="32">
        <f>+COUNTIF((AB159:AB165),"=&lt;80")</f>
        <v>0</v>
      </c>
    </row>
    <row r="167" spans="2:31">
      <c r="B167" s="16"/>
      <c r="C167" s="16"/>
      <c r="D167" s="16"/>
      <c r="E167" s="16"/>
      <c r="F167" s="16"/>
      <c r="G167" s="16"/>
      <c r="H167" s="260"/>
      <c r="I167" s="260"/>
      <c r="J167" s="283"/>
      <c r="K167" s="279"/>
      <c r="L167" s="270" t="str">
        <f>+AD181</f>
        <v>A</v>
      </c>
      <c r="M167" s="319" t="s">
        <v>150</v>
      </c>
      <c r="N167" s="319"/>
      <c r="O167" s="319"/>
      <c r="P167" s="319"/>
      <c r="Q167" s="319"/>
      <c r="R167" s="319"/>
      <c r="S167" s="319"/>
      <c r="T167" s="319"/>
      <c r="U167" s="260"/>
      <c r="V167" s="283"/>
      <c r="AA167" s="177"/>
    </row>
    <row r="168" spans="2:31" ht="15" thickBot="1">
      <c r="B168" s="16"/>
      <c r="C168" s="16"/>
      <c r="D168" s="16"/>
      <c r="E168" s="16"/>
      <c r="F168" s="16"/>
      <c r="G168" s="16"/>
      <c r="H168" s="260"/>
      <c r="I168" s="260"/>
      <c r="J168" s="283"/>
      <c r="K168" s="48"/>
      <c r="L168" s="270" t="str">
        <f>++IF(K163="n.b.","n.b.",+IF(MIN(epm,ede,epe,elm,ek,epg)&lt;70%,"C",+IF(MIN(epm,ede,epe,elm,ek,epg)&lt;80%,"B","kA")))</f>
        <v>kA</v>
      </c>
      <c r="M168" s="320" t="s">
        <v>194</v>
      </c>
      <c r="N168" s="319"/>
      <c r="O168" s="319"/>
      <c r="P168" s="319"/>
      <c r="Q168" s="319"/>
      <c r="R168" s="319"/>
      <c r="S168" s="319"/>
      <c r="T168" s="319"/>
      <c r="U168" s="260"/>
      <c r="V168" s="283"/>
      <c r="AA168" s="177"/>
    </row>
    <row r="169" spans="2:31" ht="15" thickBot="1">
      <c r="B169" s="16"/>
      <c r="C169" s="16"/>
      <c r="D169" s="16"/>
      <c r="E169" s="16"/>
      <c r="F169" s="16"/>
      <c r="G169" s="16"/>
      <c r="H169" s="260"/>
      <c r="I169" s="260"/>
      <c r="J169" s="283"/>
      <c r="K169" s="279"/>
      <c r="L169" s="288" t="str">
        <f>IF(COUNTIF(L163:L168,"n.b.")=6,"n.b.",IF(COUNTIF(L163:L168,"C")&gt;=1,"C",IF(COUNTIF(L163:L168,"B")&gt;=1,"B","A")))</f>
        <v>A</v>
      </c>
      <c r="M169" s="321" t="s">
        <v>151</v>
      </c>
      <c r="N169" s="321"/>
      <c r="O169" s="322"/>
      <c r="P169" s="319"/>
      <c r="Q169" s="319"/>
      <c r="R169" s="319"/>
      <c r="S169" s="319"/>
      <c r="T169" s="319"/>
      <c r="U169" s="260"/>
      <c r="V169" s="283"/>
    </row>
    <row r="170" spans="2:31">
      <c r="B170" s="16"/>
      <c r="C170" s="16"/>
      <c r="D170" s="16"/>
      <c r="E170" s="16"/>
      <c r="F170" s="16"/>
      <c r="G170" s="16"/>
      <c r="H170" s="260"/>
      <c r="I170" s="260"/>
      <c r="J170" s="283"/>
      <c r="K170" s="279"/>
      <c r="L170" s="271"/>
      <c r="M170" s="319"/>
      <c r="N170" s="319"/>
      <c r="O170" s="319"/>
      <c r="P170" s="319"/>
      <c r="Q170" s="319"/>
      <c r="R170" s="319"/>
      <c r="S170" s="319"/>
      <c r="T170" s="319"/>
      <c r="U170" s="260"/>
      <c r="V170" s="283"/>
      <c r="Z170" s="177" t="s">
        <v>189</v>
      </c>
    </row>
    <row r="171" spans="2:31">
      <c r="B171" s="16"/>
      <c r="C171" s="16"/>
      <c r="D171" s="16"/>
      <c r="E171" s="16"/>
      <c r="F171" s="16"/>
      <c r="G171" s="16"/>
      <c r="H171" s="260"/>
      <c r="I171" s="260"/>
      <c r="J171" s="283"/>
      <c r="K171" s="279"/>
      <c r="L171" s="271"/>
      <c r="M171" s="319"/>
      <c r="N171" s="319"/>
      <c r="O171" s="319"/>
      <c r="P171" s="319"/>
      <c r="Q171" s="319"/>
      <c r="R171" s="319"/>
      <c r="S171" s="319"/>
      <c r="T171" s="319"/>
      <c r="U171" s="260"/>
      <c r="V171" s="283"/>
      <c r="Y171" s="237"/>
      <c r="Z171" s="177" t="s">
        <v>12</v>
      </c>
      <c r="AA171" s="177" t="s">
        <v>172</v>
      </c>
      <c r="AB171" s="195">
        <f>+AS36</f>
        <v>0.97</v>
      </c>
    </row>
    <row r="172" spans="2:31">
      <c r="B172" s="16"/>
      <c r="C172" s="16"/>
      <c r="D172" s="16"/>
      <c r="E172" s="16"/>
      <c r="F172" s="16"/>
      <c r="G172" s="16"/>
      <c r="H172" s="260"/>
      <c r="I172" s="260"/>
      <c r="J172" s="283"/>
      <c r="K172" s="278" t="str">
        <f>+IF(ISERROR(+AVERAGE(epm,ede,epe)),"n.b.",+ROUND((+AVERAGE(epm,ede,epe)),2))</f>
        <v>n.b.</v>
      </c>
      <c r="L172" s="277" t="str">
        <f>+IF(K172="n.b.","n.b.",(+IF(K172&lt;80%,"C",+IF(K172&lt;90%,"B","A"))))</f>
        <v>n.b.</v>
      </c>
      <c r="M172" s="319" t="s">
        <v>155</v>
      </c>
      <c r="N172" s="319"/>
      <c r="O172" s="319"/>
      <c r="P172" s="319"/>
      <c r="Q172" s="319"/>
      <c r="R172" s="319"/>
      <c r="S172" s="319"/>
      <c r="T172" s="319"/>
      <c r="U172" s="260"/>
      <c r="V172" s="283"/>
      <c r="Y172" s="237"/>
      <c r="Z172" s="177" t="s">
        <v>13</v>
      </c>
      <c r="AA172" s="177" t="s">
        <v>173</v>
      </c>
      <c r="AB172" s="195" t="str">
        <f>+AS38</f>
        <v>xx</v>
      </c>
    </row>
    <row r="173" spans="2:31">
      <c r="B173" s="16"/>
      <c r="C173" s="16"/>
      <c r="D173" s="16"/>
      <c r="E173" s="16"/>
      <c r="F173" s="16"/>
      <c r="G173" s="16"/>
      <c r="H173" s="260"/>
      <c r="I173" s="260"/>
      <c r="J173" s="283"/>
      <c r="K173" s="279"/>
      <c r="L173" s="270" t="str">
        <f>+IF(COUNTIF(H96:H111,"n.b.")=3,"n.b.",+IF(COUNTIF((H96:H111),"C")&gt;=1,"C",+IF(+COUNTIF((H96:H111),"B")&gt;=1,"B","A")))</f>
        <v>n.b.</v>
      </c>
      <c r="M173" s="319" t="s">
        <v>184</v>
      </c>
      <c r="N173" s="319"/>
      <c r="O173" s="319"/>
      <c r="P173" s="319"/>
      <c r="Q173" s="319"/>
      <c r="R173" s="319"/>
      <c r="S173" s="319"/>
      <c r="T173" s="319"/>
      <c r="U173" s="260"/>
      <c r="V173" s="283"/>
      <c r="Y173" s="237"/>
      <c r="Z173" s="177" t="s">
        <v>14</v>
      </c>
      <c r="AA173" s="177" t="s">
        <v>174</v>
      </c>
      <c r="AB173" s="195" t="str">
        <f>+AS40</f>
        <v>xx</v>
      </c>
    </row>
    <row r="174" spans="2:31">
      <c r="B174" s="16"/>
      <c r="C174" s="16"/>
      <c r="D174" s="16"/>
      <c r="E174" s="16"/>
      <c r="F174" s="16"/>
      <c r="G174" s="16"/>
      <c r="H174" s="260"/>
      <c r="I174" s="260"/>
      <c r="J174" s="283"/>
      <c r="K174" s="48"/>
      <c r="L174" s="270" t="str">
        <f>++IF(K172="n.b.","n.b.",+IF(MIN(epm,ede,epe)&lt;70%,"C",+IF(MIN(epm,ede,epe)&lt;80%,"B","kA")))</f>
        <v>n.b.</v>
      </c>
      <c r="M174" s="320" t="s">
        <v>187</v>
      </c>
      <c r="N174" s="319"/>
      <c r="O174" s="319"/>
      <c r="P174" s="260"/>
      <c r="Q174" s="319"/>
      <c r="R174" s="319"/>
      <c r="S174" s="319"/>
      <c r="T174" s="319"/>
      <c r="U174" s="260"/>
      <c r="V174" s="283"/>
      <c r="Y174" s="237"/>
      <c r="Z174" s="177"/>
      <c r="AA174" s="177"/>
      <c r="AB174" s="195"/>
    </row>
    <row r="175" spans="2:31" ht="15" thickBot="1">
      <c r="B175" s="16"/>
      <c r="C175" s="16"/>
      <c r="D175" s="16"/>
      <c r="E175" s="16"/>
      <c r="F175" s="16"/>
      <c r="G175" s="16"/>
      <c r="H175" s="260"/>
      <c r="I175" s="260"/>
      <c r="J175" s="283"/>
      <c r="K175" s="48"/>
      <c r="L175" s="270" t="str">
        <f>IF(COUNT((A8:A22)=0),"n.b.",+IF(+COUNTIF((A8:A22),"C")&gt;=1,"C",+IF(+COUNTIF((A8:A22),"B")&gt;=1,"B","A")))</f>
        <v>A</v>
      </c>
      <c r="M175" s="320" t="s">
        <v>180</v>
      </c>
      <c r="N175" s="319"/>
      <c r="O175" s="319"/>
      <c r="P175" s="260"/>
      <c r="Q175" s="319"/>
      <c r="R175" s="319"/>
      <c r="S175" s="319"/>
      <c r="T175" s="319"/>
      <c r="U175" s="260"/>
      <c r="V175" s="283"/>
      <c r="Y175" s="237"/>
      <c r="Z175" s="177"/>
      <c r="AA175" s="177"/>
      <c r="AB175" s="195"/>
    </row>
    <row r="176" spans="2:31" ht="15" thickBot="1">
      <c r="B176" s="16"/>
      <c r="C176" s="16"/>
      <c r="D176" s="16"/>
      <c r="E176" s="16"/>
      <c r="F176" s="16"/>
      <c r="G176" s="16"/>
      <c r="H176" s="260"/>
      <c r="I176" s="260"/>
      <c r="J176" s="283"/>
      <c r="K176" s="279"/>
      <c r="L176" s="288" t="str">
        <f>+IF(L172="n.b.","n.b.",+IF(COUNTIF(L172:L175,"C")&gt;=1,"C",+IF(COUNTIF(L172:L175,"B")&gt;=1,"B","A")))</f>
        <v>n.b.</v>
      </c>
      <c r="M176" s="321" t="s">
        <v>156</v>
      </c>
      <c r="N176" s="322"/>
      <c r="O176" s="319"/>
      <c r="P176" s="319"/>
      <c r="Q176" s="319"/>
      <c r="R176" s="319"/>
      <c r="S176" s="319"/>
      <c r="T176" s="319"/>
      <c r="U176" s="260"/>
      <c r="V176" s="283"/>
      <c r="Y176" s="237"/>
      <c r="Z176" s="177"/>
      <c r="AA176" s="177"/>
      <c r="AB176" s="195"/>
    </row>
    <row r="177" spans="2:30">
      <c r="B177" s="16"/>
      <c r="C177" s="16"/>
      <c r="D177" s="16"/>
      <c r="E177" s="16"/>
      <c r="F177" s="16"/>
      <c r="G177" s="16"/>
      <c r="H177" s="260"/>
      <c r="I177" s="260"/>
      <c r="J177" s="283"/>
      <c r="K177" s="279"/>
      <c r="L177" s="271"/>
      <c r="M177" s="319"/>
      <c r="N177" s="319"/>
      <c r="O177" s="319"/>
      <c r="P177" s="319"/>
      <c r="Q177" s="319"/>
      <c r="R177" s="319"/>
      <c r="S177" s="319"/>
      <c r="T177" s="319"/>
      <c r="U177" s="260"/>
      <c r="V177" s="283"/>
      <c r="Y177" s="237"/>
      <c r="Z177" s="177"/>
      <c r="AA177" s="177"/>
      <c r="AB177" s="195"/>
    </row>
    <row r="178" spans="2:30">
      <c r="B178" s="16"/>
      <c r="C178" s="16"/>
      <c r="D178" s="16"/>
      <c r="E178" s="16"/>
      <c r="F178" s="16"/>
      <c r="G178" s="16"/>
      <c r="H178" s="260"/>
      <c r="I178" s="260"/>
      <c r="J178" s="283"/>
      <c r="K178" s="278">
        <f>++IF(ISERROR(AVERAGE(ez,epg,ek)),"n.b.",+ROUND((+AVERAGE(ez,epg,ek)),2))</f>
        <v>0.97</v>
      </c>
      <c r="L178" s="277" t="str">
        <f>+IF(K178="n.b.","n.b.",+IF(K178&lt;80%,"C",+IF(K178&lt;90%,"B","A")))</f>
        <v>A</v>
      </c>
      <c r="M178" s="319" t="s">
        <v>157</v>
      </c>
      <c r="N178" s="319"/>
      <c r="O178" s="319"/>
      <c r="P178" s="319"/>
      <c r="Q178" s="319"/>
      <c r="R178" s="319"/>
      <c r="S178" s="319"/>
      <c r="T178" s="319"/>
      <c r="U178" s="260"/>
      <c r="V178" s="283"/>
      <c r="Y178" s="237"/>
      <c r="Z178" s="177"/>
      <c r="AA178" s="177"/>
      <c r="AB178" s="195"/>
    </row>
    <row r="179" spans="2:30">
      <c r="B179" s="16"/>
      <c r="C179" s="16"/>
      <c r="D179" s="16"/>
      <c r="E179" s="16"/>
      <c r="F179" s="16"/>
      <c r="G179" s="16"/>
      <c r="H179" s="260"/>
      <c r="I179" s="260"/>
      <c r="J179" s="283"/>
      <c r="K179" s="279"/>
      <c r="L179" s="270" t="str">
        <f>+IF(K178="n.b.","n.b.",+IF(MIN(elm,epg,ek,AS36:AS40,G62,M62,Q62,W62,AB62,AG62,BD62)&lt;70%,"C",IF(MIN(elm,epg,ek,AS36:AS40,G62,M62,Q62,W62,AB62,AG62,BD62)&lt;80%,"B","A")))</f>
        <v>A</v>
      </c>
      <c r="M179" s="319" t="s">
        <v>195</v>
      </c>
      <c r="N179" s="319"/>
      <c r="O179" s="319"/>
      <c r="P179" s="319"/>
      <c r="Q179" s="319"/>
      <c r="R179" s="319"/>
      <c r="S179" s="319"/>
      <c r="T179" s="319"/>
      <c r="U179" s="260"/>
      <c r="V179" s="283"/>
      <c r="Y179" s="195"/>
      <c r="Z179" s="177"/>
      <c r="AA179" s="177"/>
      <c r="AB179" s="195"/>
    </row>
    <row r="180" spans="2:30">
      <c r="B180" s="16"/>
      <c r="C180" s="16"/>
      <c r="D180" s="16"/>
      <c r="E180" s="16"/>
      <c r="F180" s="16"/>
      <c r="G180" s="16"/>
      <c r="H180" s="260"/>
      <c r="I180" s="260"/>
      <c r="J180" s="283"/>
      <c r="K180" s="48"/>
      <c r="L180" s="270" t="str">
        <f>IF(COUNT((A29:A66)=0),"n.b.",+IF(+COUNTIF((A29:A66),"C")&gt;=1,"C",+IF(+COUNTIF((A29:A66),"B")&gt;=1,"B","A")))</f>
        <v>A</v>
      </c>
      <c r="M180" s="320" t="s">
        <v>179</v>
      </c>
      <c r="N180" s="319"/>
      <c r="O180" s="319"/>
      <c r="P180" s="319"/>
      <c r="Q180" s="319"/>
      <c r="R180" s="319"/>
      <c r="S180" s="319"/>
      <c r="T180" s="319"/>
      <c r="U180" s="260"/>
      <c r="V180" s="283"/>
      <c r="Y180" s="195"/>
      <c r="Z180" s="177"/>
      <c r="AA180" s="177"/>
      <c r="AB180" s="195"/>
    </row>
    <row r="181" spans="2:30" ht="15" thickBot="1">
      <c r="B181" s="16"/>
      <c r="C181" s="16"/>
      <c r="D181" s="16"/>
      <c r="E181" s="16"/>
      <c r="F181" s="16"/>
      <c r="G181" s="16"/>
      <c r="H181" s="260"/>
      <c r="I181" s="260"/>
      <c r="J181" s="283"/>
      <c r="K181" s="279"/>
      <c r="L181" s="270" t="str">
        <f>+IF(K178="n.b.","n.b.",+IF(COUNTIF((H118:H158),"C")&gt;=1,"C",+IF(+COUNTIF((H118:H158),"B")&gt;=1,"B","A")))</f>
        <v>A</v>
      </c>
      <c r="M181" s="319" t="s">
        <v>178</v>
      </c>
      <c r="N181" s="319"/>
      <c r="O181" s="319"/>
      <c r="P181" s="319"/>
      <c r="Q181" s="319"/>
      <c r="R181" s="319"/>
      <c r="S181" s="319"/>
      <c r="T181" s="319"/>
      <c r="U181" s="260"/>
      <c r="V181" s="283"/>
      <c r="AB181" s="32">
        <f>+COUNTIF(AB171:AB180,"n.b.")</f>
        <v>0</v>
      </c>
      <c r="AD181" s="327" t="str">
        <f>+IF(AB181=3,"n.b.",+IF(MIN(AB171:AB173)&lt;70%,"C",+IF(MIN(AB171:AB173)&lt;80%,"B","A")))</f>
        <v>A</v>
      </c>
    </row>
    <row r="182" spans="2:30" ht="15" thickBot="1">
      <c r="B182" s="16"/>
      <c r="C182" s="16"/>
      <c r="D182" s="16"/>
      <c r="E182" s="16"/>
      <c r="F182" s="16"/>
      <c r="G182" s="16"/>
      <c r="H182" s="260"/>
      <c r="I182" s="260"/>
      <c r="J182" s="283"/>
      <c r="K182" s="280"/>
      <c r="L182" s="288" t="str">
        <f>++IF(K178="n.b.","n.b.",+IF(ISERROR(K178),"n.b.",+IF(COUNTIF(L178:L181,"C")&gt;=1,"C",+IF(COUNTIF(L178:L181,"B")&gt;=1,"B","A"))))</f>
        <v>A</v>
      </c>
      <c r="M182" s="321" t="s">
        <v>186</v>
      </c>
      <c r="N182" s="322"/>
      <c r="O182" s="323"/>
      <c r="P182" s="323"/>
      <c r="Q182" s="323"/>
      <c r="R182" s="323"/>
      <c r="S182" s="323"/>
      <c r="T182" s="323"/>
      <c r="U182" s="328"/>
      <c r="V182" s="324"/>
    </row>
    <row r="183" spans="2:30">
      <c r="B183" s="16"/>
      <c r="C183" s="16"/>
      <c r="D183" s="16"/>
      <c r="E183" s="16"/>
      <c r="F183" s="16"/>
      <c r="G183" s="16"/>
      <c r="K183" s="192"/>
      <c r="L183" s="192"/>
      <c r="M183" s="192"/>
      <c r="N183" s="192"/>
      <c r="O183" s="192"/>
      <c r="P183" s="192"/>
      <c r="Q183" s="192"/>
      <c r="R183" s="192"/>
      <c r="S183" s="192"/>
      <c r="T183" s="192"/>
    </row>
    <row r="185" spans="2:30">
      <c r="K185" s="293" t="s">
        <v>176</v>
      </c>
      <c r="L185" s="294"/>
      <c r="M185" s="294"/>
      <c r="N185" s="294"/>
      <c r="O185" s="294"/>
      <c r="P185" s="295"/>
    </row>
    <row r="186" spans="2:30">
      <c r="K186" s="296" t="s">
        <v>175</v>
      </c>
      <c r="L186" s="297"/>
      <c r="M186" s="297"/>
      <c r="N186" s="297"/>
      <c r="O186" s="297"/>
      <c r="P186" s="298"/>
      <c r="R186" s="192"/>
      <c r="S186" s="177" t="s">
        <v>158</v>
      </c>
      <c r="T186" s="192"/>
    </row>
    <row r="187" spans="2:30">
      <c r="G187" s="38"/>
      <c r="H187" s="38"/>
      <c r="I187" s="38"/>
      <c r="J187" s="38"/>
      <c r="K187" s="299" t="s">
        <v>177</v>
      </c>
      <c r="L187" s="300"/>
      <c r="M187" s="300"/>
      <c r="N187" s="300"/>
      <c r="O187" s="300"/>
      <c r="P187" s="301"/>
      <c r="S187" s="32">
        <v>1</v>
      </c>
      <c r="T187" s="32">
        <v>2</v>
      </c>
      <c r="U187" s="32">
        <v>3</v>
      </c>
    </row>
    <row r="188" spans="2:30">
      <c r="G188" s="38"/>
      <c r="H188" s="38"/>
      <c r="I188" s="38"/>
      <c r="J188" s="38"/>
      <c r="K188" s="38"/>
      <c r="L188" s="38"/>
      <c r="M188" s="272"/>
      <c r="N188" s="38"/>
      <c r="O188" s="38"/>
      <c r="P188" s="177" t="s">
        <v>159</v>
      </c>
      <c r="S188" s="32" t="str">
        <f t="shared" ref="S188:U188" si="10">+J152</f>
        <v>A</v>
      </c>
      <c r="T188" s="32" t="str">
        <f t="shared" si="10"/>
        <v>A</v>
      </c>
      <c r="U188" s="32" t="str">
        <f t="shared" si="10"/>
        <v>A</v>
      </c>
    </row>
    <row r="189" spans="2:30">
      <c r="G189" s="38"/>
      <c r="H189" s="38"/>
      <c r="I189" s="38"/>
      <c r="J189" s="38"/>
      <c r="K189" s="38"/>
      <c r="L189" s="38"/>
      <c r="M189" s="38"/>
      <c r="N189" s="38"/>
      <c r="O189" s="38"/>
      <c r="P189" s="177"/>
      <c r="R189" s="177" t="s">
        <v>24</v>
      </c>
      <c r="S189" s="32" t="str">
        <f>+IF(ISERROR(AVERAGE(D36:H36)),"n.b.",(+IF(AVERAGE(D36:H36)&lt;70%,"C",+IF(AVERAGE(D36:H36)&lt;80%,"B","A"))))</f>
        <v>A</v>
      </c>
      <c r="T189" s="32" t="str">
        <f>+IF(ISERROR(AVERAGE(D38:H38)),"n.b.",(+IF(AVERAGE(D38:H38)&lt;70%,"C",+IF(AVERAGE(D38:H38)&lt;80%,"B","A"))))</f>
        <v>n.b.</v>
      </c>
      <c r="U189" s="32" t="str">
        <f>+IF(ISERROR(AVERAGE(D40:H40)),"n.b.",(+IF(AVERAGE(D40:H40)&lt;70%,"C",+IF(AVERAGE(D40:H40)&lt;80%,"B","A"))))</f>
        <v>n.b.</v>
      </c>
    </row>
    <row r="190" spans="2:30">
      <c r="G190" s="38"/>
      <c r="H190" s="38"/>
      <c r="I190" s="38"/>
      <c r="J190" s="38"/>
      <c r="K190" s="38"/>
      <c r="L190" s="38"/>
      <c r="M190" s="38"/>
      <c r="N190" s="38"/>
      <c r="O190" s="38"/>
      <c r="P190" s="177"/>
      <c r="R190" s="177" t="s">
        <v>25</v>
      </c>
      <c r="S190" s="32" t="str">
        <f>+IF(ISERROR(AVERAGE(J36:O36)),"n.b.",(+IF(AVERAGE(J36:O36)&lt;70%,"C",+IF(AVERAGE(J36:O36)&lt;80%,"B","A"))))</f>
        <v>A</v>
      </c>
      <c r="T190" s="32" t="str">
        <f>+IF(ISERROR(AVERAGE(J38:O38)),"n.b.",(+IF(AVERAGE(J38:O38)&lt;70%,"C",+IF(AVERAGE(J38:O38)&lt;80%,"B","A"))))</f>
        <v>n.b.</v>
      </c>
      <c r="U190" s="32" t="str">
        <f>+IF(ISERROR(AVERAGE(J40:O40)),"n.b.",(+IF(AVERAGE(J40:O40)&lt;70%,"C",+IF(AVERAGE(J40:O40)&lt;80%,"B","A"))))</f>
        <v>n.b.</v>
      </c>
    </row>
    <row r="191" spans="2:30">
      <c r="R191" s="177" t="s">
        <v>26</v>
      </c>
      <c r="S191" s="32" t="str">
        <f>+IF(ISERROR(AVERAGE(P36:R36)),"n.b.",(+IF(AVERAGE(P36:R36)&lt;70%,"C",+IF(AVERAGE(P36:R36)&lt;80%,"B","A"))))</f>
        <v>A</v>
      </c>
      <c r="T191" s="32" t="str">
        <f>+IF(ISERROR(AVERAGE(P38:R38)),"n.b.",(+IF(AVERAGE(P38:R38)&lt;70%,"C",+IF(AVERAGE(P38:R38)&lt;80%,"B","A"))))</f>
        <v>n.b.</v>
      </c>
      <c r="U191" s="32" t="str">
        <f>+IF(ISERROR(AVERAGE(P40:R40)),"n.b.",(+IF(AVERAGE(P40:R40)&lt;70%,"C",+IF(AVERAGE(P40:R40)&lt;80%,"B","A"))))</f>
        <v>n.b.</v>
      </c>
    </row>
    <row r="192" spans="2:30">
      <c r="R192" s="177" t="s">
        <v>27</v>
      </c>
      <c r="S192" s="32" t="str">
        <f>+IF(ISERROR(AVERAGE($T36:$V36)),"n.b.",(+IF(AVERAGE($T36:$V36)&lt;70%,"C",+IF(AVERAGE($T36:$V36)&lt;80%,"B","A"))))</f>
        <v>A</v>
      </c>
      <c r="T192" s="32" t="str">
        <f>+IF(ISERROR(AVERAGE($T38:$V38)),"n.b.",(+IF(AVERAGE($T38:$V38)&lt;70%,"C",+IF(AVERAGE($T38:$V38)&lt;80%,"B","A"))))</f>
        <v>n.b.</v>
      </c>
      <c r="U192" s="32" t="str">
        <f>+IF(ISERROR(AVERAGE($T40:$V40)),"n.b.",(+IF(AVERAGE($T40:$V40)&lt;70%,"C",+IF(AVERAGE($T40:$V40)&lt;80%,"B","A"))))</f>
        <v>n.b.</v>
      </c>
    </row>
    <row r="193" spans="1:62">
      <c r="R193" s="177" t="s">
        <v>102</v>
      </c>
      <c r="S193" s="32" t="str">
        <f>+IF(ISERROR(AVERAGE($Z36:$AC36)),"n.b.",(+IF(AVERAGE($Z36:$AC36)&lt;70%,"C",+IF(AVERAGE($Z36:$AC36)&lt;80%,"B","A"))))</f>
        <v>A</v>
      </c>
      <c r="T193" s="32" t="str">
        <f>+IF(ISERROR(AVERAGE($Z38:$AC38)),"n.b.",(+IF(AVERAGE($Z38:$AC38)&lt;70%,"C",+IF(AVERAGE($Z38:$AC38)&lt;80%,"B","A"))))</f>
        <v>n.b.</v>
      </c>
      <c r="U193" s="32" t="str">
        <f>+IF(ISERROR(AVERAGE($Z40:$AC40)),"n.b.",(+IF(AVERAGE($Z40:$AC40)&lt;70%,"C",+IF(AVERAGE($Z40:$AC40)&lt;80%,"B","A"))))</f>
        <v>n.b.</v>
      </c>
    </row>
    <row r="194" spans="1:62">
      <c r="R194" s="177" t="s">
        <v>103</v>
      </c>
      <c r="S194" s="32" t="str">
        <f>+IF(ISERROR(AVERAGE($AE36:$AH36)),"n.b.",(+IF(AVERAGE($AE36:$AH36)&lt;70%,"C",+IF(AVERAGE($AE36:$AH36)&lt;80%,"B","A"))))</f>
        <v>A</v>
      </c>
      <c r="T194" s="32" t="str">
        <f>+IF(ISERROR(AVERAGE($AE38:$AH38)),"n.b.",(+IF(AVERAGE($AE38:$AH38)&lt;70%,"C",+IF(AVERAGE($AE38:$AH38)&lt;80%,"B","A"))))</f>
        <v>n.b.</v>
      </c>
      <c r="U194" s="32" t="str">
        <f>+IF(ISERROR(AVERAGE($AE40:$AH40)),"n.b.",(+IF(AVERAGE($AE40:$AH40)&lt;70%,"C",+IF(AVERAGE($AE40:$AH40)&lt;80%,"B","A"))))</f>
        <v>n.b.</v>
      </c>
    </row>
    <row r="195" spans="1:62">
      <c r="R195" s="177" t="s">
        <v>143</v>
      </c>
      <c r="S195" s="32" t="str">
        <f>+IF(ISERROR(AVERAGE($AX36:$BE36)),"n.b.",(+IF(AVERAGE($AX36:$BE36)&lt;70%,"C",+IF(AVERAGE($AX36:$BE36)&lt;80%,"B","A"))))</f>
        <v>A</v>
      </c>
      <c r="T195" s="32" t="str">
        <f>+IF(ISERROR(AVERAGE($AX38:$BE38)),"n.b.",(+IF(AVERAGE($AX38:$BE38)&lt;70%,"C",+IF(AVERAGE($AX38:$BE38)&lt;80%,"B","A"))))</f>
        <v>n.b.</v>
      </c>
      <c r="U195" s="32" t="str">
        <f>+IF(ISERROR(AVERAGE($AX40:$BE40)),"n.b.",(+IF(AVERAGE($AX40:$BE40)&lt;70%,"C",+IF(AVERAGE($AX40:$BE40)&lt;80%,"B","A"))))</f>
        <v>n.b.</v>
      </c>
    </row>
    <row r="196" spans="1:62">
      <c r="R196" s="177"/>
    </row>
    <row r="197" spans="1:62">
      <c r="K197" s="237"/>
      <c r="Q197" s="177"/>
      <c r="R197" s="177"/>
      <c r="S197" s="177"/>
      <c r="T197" s="177"/>
      <c r="U197" s="177"/>
      <c r="V197" s="177"/>
      <c r="W197" s="177"/>
      <c r="X197" s="177"/>
      <c r="Y197" s="177"/>
      <c r="Z197" s="177"/>
    </row>
    <row r="198" spans="1:62">
      <c r="K198" s="237"/>
      <c r="L198" s="192"/>
      <c r="M198" s="177"/>
    </row>
    <row r="199" spans="1:62">
      <c r="B199" s="48"/>
      <c r="C199" s="33"/>
      <c r="D199" s="31"/>
      <c r="E199" s="31"/>
      <c r="F199" s="31"/>
      <c r="G199" s="31"/>
      <c r="H199" s="31"/>
      <c r="I199" s="31"/>
      <c r="J199" s="31"/>
      <c r="K199" s="31"/>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16"/>
      <c r="BF199" s="16"/>
      <c r="BG199" s="16"/>
      <c r="BH199" s="16"/>
      <c r="BI199" s="49"/>
      <c r="BJ199" s="34"/>
    </row>
    <row r="200" spans="1:62">
      <c r="A200" s="254"/>
      <c r="B200" s="48"/>
      <c r="C200" s="262"/>
      <c r="D200" s="258"/>
      <c r="E200" s="258"/>
      <c r="F200" s="258"/>
      <c r="G200" s="258"/>
      <c r="H200" s="258"/>
      <c r="I200" s="258"/>
      <c r="J200" s="258"/>
      <c r="K200" s="258"/>
      <c r="L200" s="258"/>
      <c r="M200" s="258"/>
      <c r="N200" s="258"/>
      <c r="O200" s="258"/>
      <c r="P200" s="258"/>
      <c r="Q200" s="258"/>
      <c r="R200" s="258"/>
      <c r="S200" s="258"/>
      <c r="T200" s="258"/>
      <c r="U200" s="258"/>
      <c r="V200" s="258"/>
      <c r="W200" s="258"/>
      <c r="X200" s="258"/>
      <c r="Y200" s="258"/>
      <c r="Z200" s="258"/>
      <c r="AA200" s="258"/>
      <c r="AB200" s="258"/>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6"/>
      <c r="BF200" s="16"/>
      <c r="BG200" s="16"/>
      <c r="BH200" s="16"/>
      <c r="BI200" s="51"/>
      <c r="BJ200" s="16"/>
    </row>
    <row r="201" spans="1:62">
      <c r="B201" s="48"/>
      <c r="C201" s="258"/>
      <c r="D201" s="258"/>
      <c r="E201" s="258"/>
      <c r="F201" s="258"/>
      <c r="G201" s="258"/>
      <c r="H201" s="258"/>
      <c r="I201" s="258"/>
      <c r="J201" s="258"/>
      <c r="K201" s="258"/>
      <c r="L201" s="258"/>
      <c r="M201" s="258"/>
      <c r="N201" s="258"/>
      <c r="O201" s="258"/>
      <c r="P201" s="258"/>
      <c r="Q201" s="258"/>
      <c r="R201" s="258"/>
      <c r="S201" s="258"/>
      <c r="T201" s="258"/>
      <c r="U201" s="258"/>
      <c r="V201" s="258"/>
      <c r="W201" s="258"/>
      <c r="X201" s="258"/>
      <c r="Y201" s="258"/>
      <c r="Z201" s="258"/>
      <c r="AA201" s="258"/>
      <c r="AB201" s="258"/>
      <c r="AC201" s="15"/>
      <c r="AD201" s="15"/>
      <c r="AE201" s="15"/>
      <c r="AF201" s="15"/>
      <c r="AG201" s="15"/>
      <c r="AH201" s="15"/>
      <c r="AI201" s="15"/>
      <c r="AJ201" s="15"/>
      <c r="AK201" s="15"/>
      <c r="AL201" s="15"/>
      <c r="AM201" s="15"/>
      <c r="AN201" s="15"/>
      <c r="AO201" s="15"/>
      <c r="AP201" s="15"/>
      <c r="AQ201" s="15"/>
      <c r="AR201" s="15"/>
      <c r="AS201" s="15"/>
      <c r="AT201" s="15"/>
      <c r="AU201" s="15"/>
      <c r="AV201" s="15"/>
      <c r="BE201" s="16"/>
      <c r="BF201" s="16"/>
      <c r="BG201" s="16"/>
      <c r="BH201" s="16"/>
      <c r="BI201" s="51"/>
      <c r="BJ201" s="16"/>
    </row>
    <row r="202" spans="1:62" s="493" customFormat="1" ht="15.75">
      <c r="A202" s="242" t="s">
        <v>152</v>
      </c>
      <c r="B202" s="48"/>
      <c r="C202" s="263"/>
      <c r="D202" s="1517"/>
      <c r="E202" s="1517"/>
      <c r="F202" s="1517"/>
      <c r="G202" s="1517"/>
      <c r="H202" s="1517"/>
      <c r="I202" s="1473"/>
      <c r="J202" s="1473"/>
      <c r="K202" s="1473"/>
      <c r="L202" s="1473"/>
      <c r="M202" s="1473"/>
      <c r="N202" s="1473"/>
      <c r="O202" s="1473"/>
      <c r="P202" s="1473"/>
      <c r="Q202" s="1473"/>
      <c r="R202" s="1473"/>
      <c r="S202" s="1473"/>
      <c r="T202" s="1473"/>
      <c r="U202" s="1473"/>
      <c r="V202" s="1473"/>
      <c r="W202" s="1473"/>
      <c r="X202" s="1473"/>
      <c r="Y202" s="264"/>
      <c r="Z202" s="264"/>
      <c r="AA202" s="264"/>
      <c r="AB202" s="742"/>
      <c r="AC202" s="205"/>
      <c r="AD202" s="205"/>
      <c r="AE202" s="1524"/>
      <c r="AF202" s="1524"/>
      <c r="AG202" s="1524"/>
      <c r="AH202" s="1524"/>
      <c r="AI202" s="1524"/>
      <c r="AJ202" s="1524"/>
      <c r="AK202" s="1524"/>
      <c r="AL202" s="1524"/>
      <c r="AM202" s="1524"/>
      <c r="AN202" s="1524"/>
      <c r="AO202" s="1524"/>
      <c r="AP202" s="1524"/>
      <c r="AQ202" s="1524"/>
      <c r="AR202" s="1524"/>
      <c r="AS202" s="1524"/>
      <c r="AT202" s="1524"/>
      <c r="AU202" s="206"/>
      <c r="AV202" s="206"/>
      <c r="AW202" s="1580"/>
      <c r="AX202" s="1580"/>
      <c r="AY202" s="1580"/>
      <c r="AZ202" s="1580"/>
      <c r="BA202" s="1580"/>
      <c r="BB202" s="1580"/>
      <c r="BC202" s="1580"/>
      <c r="BD202" s="229"/>
      <c r="BE202" s="16"/>
      <c r="BF202" s="16"/>
      <c r="BG202" s="16"/>
      <c r="BH202" s="16"/>
      <c r="BI202" s="45"/>
      <c r="BJ202" s="44"/>
    </row>
    <row r="203" spans="1:62" ht="21" customHeight="1">
      <c r="A203" s="243" t="str">
        <f>IF(COUNTIF(G62,"n.b.")+COUNTIF(M62,"n.b.")+COUNTIF(M62,"n.b.")+COUNTIF(Q62,"n.b.")+COUNTIF(W62,"n.b.")+COUNTIF(AB62,"n.b.")+COUNTIF(AG62,"n.b.")+COUNTIF(BD62,"n.b.")=7,"n.b.",IF(MIN(G62,M62,Q62,W62,AB62,AG62,BD62)&lt;70%,"C",IF(MIN(G62,M62,Q62,W62,AB62,AG62,BD62)&lt;80%,"B","A")))</f>
        <v>A</v>
      </c>
      <c r="B203" s="48"/>
      <c r="C203" s="258"/>
      <c r="D203" s="1517"/>
      <c r="E203" s="1517"/>
      <c r="F203" s="1517"/>
      <c r="G203" s="1517"/>
      <c r="H203" s="1517"/>
      <c r="I203" s="1496"/>
      <c r="J203" s="1496"/>
      <c r="K203" s="1496"/>
      <c r="L203" s="1496"/>
      <c r="M203" s="1496"/>
      <c r="N203" s="1496"/>
      <c r="O203" s="1496"/>
      <c r="P203" s="1496"/>
      <c r="Q203" s="1496"/>
      <c r="R203" s="1496"/>
      <c r="S203" s="1496"/>
      <c r="T203" s="1496"/>
      <c r="U203" s="1496"/>
      <c r="V203" s="1496"/>
      <c r="W203" s="1496"/>
      <c r="X203" s="1496"/>
      <c r="Y203" s="265"/>
      <c r="Z203" s="265"/>
      <c r="AA203" s="265"/>
      <c r="AB203" s="743"/>
      <c r="AC203" s="207"/>
      <c r="AD203" s="207"/>
      <c r="AE203" s="1524"/>
      <c r="AF203" s="1524"/>
      <c r="AG203" s="1524"/>
      <c r="AH203" s="1524"/>
      <c r="AI203" s="1524"/>
      <c r="AJ203" s="1524"/>
      <c r="AK203" s="1524"/>
      <c r="AL203" s="1524"/>
      <c r="AM203" s="1524"/>
      <c r="AN203" s="1524"/>
      <c r="AO203" s="1524"/>
      <c r="AP203" s="1524"/>
      <c r="AQ203" s="1524"/>
      <c r="AR203" s="1524"/>
      <c r="AS203" s="1524"/>
      <c r="AT203" s="1524"/>
      <c r="AW203" s="1580"/>
      <c r="AX203" s="1580"/>
      <c r="AY203" s="1580"/>
      <c r="AZ203" s="1580"/>
      <c r="BA203" s="1580"/>
      <c r="BB203" s="1580"/>
      <c r="BC203" s="1580"/>
      <c r="BD203" s="229"/>
      <c r="BE203" s="16"/>
      <c r="BF203" s="16"/>
      <c r="BG203" s="16"/>
      <c r="BH203" s="16"/>
      <c r="BI203" s="51"/>
      <c r="BJ203" s="16"/>
    </row>
    <row r="204" spans="1:62" ht="5.0999999999999996" customHeight="1">
      <c r="B204" s="48"/>
      <c r="C204" s="258"/>
      <c r="D204" s="258"/>
      <c r="E204" s="258"/>
      <c r="F204" s="258"/>
      <c r="G204" s="258"/>
      <c r="H204" s="258"/>
      <c r="I204" s="258"/>
      <c r="J204" s="258"/>
      <c r="K204" s="258"/>
      <c r="L204" s="258"/>
      <c r="M204" s="258"/>
      <c r="N204" s="258"/>
      <c r="O204" s="258"/>
      <c r="P204" s="258"/>
      <c r="Q204" s="258"/>
      <c r="R204" s="258"/>
      <c r="S204" s="258"/>
      <c r="T204" s="258"/>
      <c r="U204" s="258"/>
      <c r="V204" s="258"/>
      <c r="W204" s="258"/>
      <c r="X204" s="258"/>
      <c r="Y204" s="258"/>
      <c r="Z204" s="258"/>
      <c r="AA204" s="258"/>
      <c r="AB204" s="258"/>
      <c r="AC204" s="15"/>
      <c r="AD204" s="15"/>
      <c r="AE204" s="1524"/>
      <c r="AF204" s="1524"/>
      <c r="AG204" s="1524"/>
      <c r="AH204" s="1524"/>
      <c r="AI204" s="1524"/>
      <c r="AJ204" s="1524"/>
      <c r="AK204" s="1524"/>
      <c r="AL204" s="1524"/>
      <c r="AM204" s="1524"/>
      <c r="AN204" s="1524"/>
      <c r="AO204" s="1524"/>
      <c r="AP204" s="1524"/>
      <c r="AQ204" s="1524"/>
      <c r="AR204" s="1524"/>
      <c r="AS204" s="1524"/>
      <c r="AT204" s="1524"/>
      <c r="AU204" s="199"/>
      <c r="AV204" s="199"/>
      <c r="AW204" s="1580"/>
      <c r="AX204" s="1580"/>
      <c r="AY204" s="1580"/>
      <c r="AZ204" s="1580"/>
      <c r="BA204" s="1580"/>
      <c r="BB204" s="1580"/>
      <c r="BC204" s="1580"/>
      <c r="BD204" s="229"/>
      <c r="BE204" s="16"/>
      <c r="BF204" s="16"/>
      <c r="BG204" s="16"/>
      <c r="BH204" s="16"/>
      <c r="BI204" s="51"/>
      <c r="BJ204" s="16"/>
    </row>
    <row r="205" spans="1:62" ht="13.5" customHeight="1">
      <c r="B205" s="48"/>
      <c r="C205" s="258"/>
      <c r="D205" s="266"/>
      <c r="E205" s="258"/>
      <c r="F205" s="258"/>
      <c r="G205" s="258"/>
      <c r="H205" s="258"/>
      <c r="I205" s="258"/>
      <c r="J205" s="1478"/>
      <c r="K205" s="1478"/>
      <c r="L205" s="258"/>
      <c r="M205" s="258"/>
      <c r="N205" s="1478"/>
      <c r="O205" s="1478"/>
      <c r="P205" s="258"/>
      <c r="Q205" s="258"/>
      <c r="R205" s="1478"/>
      <c r="S205" s="1478"/>
      <c r="T205" s="258"/>
      <c r="U205" s="258"/>
      <c r="V205" s="1478"/>
      <c r="W205" s="1478"/>
      <c r="X205" s="257"/>
      <c r="Y205" s="1478"/>
      <c r="Z205" s="1478"/>
      <c r="AA205" s="257"/>
      <c r="AB205" s="257"/>
      <c r="AC205" s="209"/>
      <c r="AD205" s="209"/>
      <c r="AE205" s="257"/>
      <c r="AF205" s="258"/>
      <c r="AG205" s="259"/>
      <c r="AH205" s="260"/>
      <c r="AI205" s="260"/>
      <c r="AJ205" s="260"/>
      <c r="AK205" s="260"/>
      <c r="AL205" s="260"/>
      <c r="AM205" s="259"/>
      <c r="AN205" s="259"/>
      <c r="AO205" s="259"/>
      <c r="AP205" s="259"/>
      <c r="AQ205" s="259"/>
      <c r="AR205" s="261"/>
      <c r="AS205" s="261"/>
      <c r="AT205" s="259"/>
      <c r="AU205" s="199"/>
      <c r="AV205" s="199"/>
      <c r="AW205" s="199"/>
      <c r="AX205" s="199"/>
      <c r="AY205" s="199"/>
      <c r="AZ205" s="199"/>
      <c r="BA205" s="199"/>
      <c r="BB205" s="199"/>
      <c r="BC205" s="199"/>
      <c r="BD205" s="199"/>
      <c r="BE205" s="256"/>
      <c r="BF205" s="199"/>
      <c r="BG205" s="199"/>
      <c r="BH205" s="199"/>
      <c r="BI205" s="51"/>
      <c r="BJ205" s="16"/>
    </row>
    <row r="206" spans="1:62" ht="21" customHeight="1">
      <c r="A206" s="242" t="s">
        <v>146</v>
      </c>
      <c r="B206" s="48"/>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78"/>
      <c r="AF206" s="1579"/>
      <c r="AG206" s="1579"/>
      <c r="AH206" s="1579"/>
      <c r="AI206" s="1578"/>
      <c r="AJ206" s="1578"/>
      <c r="AK206" s="1578"/>
      <c r="AL206" s="1578"/>
      <c r="AM206" s="1578"/>
      <c r="AN206" s="1578"/>
      <c r="AO206" s="1578"/>
      <c r="AP206" s="1578"/>
      <c r="AQ206" s="1578"/>
      <c r="AR206" s="16"/>
      <c r="AS206" s="16"/>
      <c r="AT206" s="16"/>
      <c r="AU206" s="16"/>
      <c r="AV206" s="16"/>
      <c r="AW206" s="16"/>
      <c r="AX206" s="16"/>
      <c r="AY206" s="16"/>
      <c r="AZ206" s="16"/>
      <c r="BA206" s="16"/>
      <c r="BB206" s="16"/>
      <c r="BC206" s="16"/>
      <c r="BD206" s="16"/>
      <c r="BE206" s="16"/>
      <c r="BF206" s="16"/>
      <c r="BG206" s="16"/>
      <c r="BH206" s="16"/>
      <c r="BI206" s="16"/>
      <c r="BJ206" s="16"/>
    </row>
    <row r="207" spans="1:62" ht="15.2" customHeight="1" thickBot="1">
      <c r="A207" s="243" t="str">
        <f>IF(MIN(AT36:AT40)&lt;70%,"C",IF(MIN(AT36:AT40)&lt;80%,"B","A"))</f>
        <v>C</v>
      </c>
      <c r="B207" s="48"/>
      <c r="D207" s="15"/>
      <c r="E207" s="15"/>
      <c r="F207" s="15"/>
      <c r="G207" s="15"/>
      <c r="H207" s="15"/>
      <c r="I207" s="15"/>
      <c r="J207" s="15"/>
      <c r="K207" s="15"/>
      <c r="L207" s="15"/>
      <c r="M207" s="15"/>
      <c r="N207" s="15"/>
      <c r="O207" s="15"/>
      <c r="P207" s="15"/>
      <c r="Q207" s="15"/>
      <c r="R207" s="15"/>
      <c r="S207" s="15"/>
      <c r="T207" s="15"/>
      <c r="U207" s="15"/>
      <c r="V207" s="498"/>
      <c r="W207" s="15"/>
      <c r="X207" s="15"/>
      <c r="Y207" s="498" t="s">
        <v>49</v>
      </c>
      <c r="Z207" s="15"/>
      <c r="AB207" s="222" t="s">
        <v>65</v>
      </c>
      <c r="AC207" s="15"/>
      <c r="AD207" s="15"/>
      <c r="AE207" s="1579"/>
      <c r="AF207" s="1579"/>
      <c r="AG207" s="1579"/>
      <c r="AH207" s="1579"/>
      <c r="AI207" s="1579"/>
      <c r="AJ207" s="1579"/>
      <c r="AK207" s="1579"/>
      <c r="AL207" s="1579"/>
      <c r="AM207" s="1579"/>
      <c r="AN207" s="1579"/>
      <c r="AO207" s="1579"/>
      <c r="AP207" s="1579"/>
      <c r="AQ207" s="1579"/>
      <c r="AR207" s="16"/>
      <c r="AS207" s="16"/>
      <c r="AT207" s="16"/>
      <c r="AU207" s="16"/>
      <c r="AV207" s="16"/>
      <c r="AW207" s="16"/>
      <c r="AX207" s="16"/>
      <c r="AY207" s="16"/>
      <c r="AZ207" s="16"/>
      <c r="BA207" s="16"/>
      <c r="BB207" s="16"/>
      <c r="BC207" s="16"/>
      <c r="BD207" s="16"/>
      <c r="BE207" s="16"/>
      <c r="BF207" s="16"/>
      <c r="BG207" s="16"/>
      <c r="BH207" s="16"/>
      <c r="BI207" s="16"/>
      <c r="BJ207" s="16"/>
    </row>
    <row r="208" spans="1:62" ht="15" customHeight="1">
      <c r="B208" s="48"/>
      <c r="C208" s="15"/>
      <c r="D208" s="15"/>
      <c r="E208" s="15"/>
      <c r="F208" s="15"/>
      <c r="G208" s="15"/>
      <c r="H208" s="15"/>
      <c r="I208" s="15"/>
      <c r="J208" s="15"/>
      <c r="K208" s="15"/>
      <c r="L208" s="15"/>
      <c r="M208" s="15"/>
      <c r="N208" s="15"/>
      <c r="O208" s="15"/>
      <c r="P208" s="15"/>
      <c r="Q208" s="15"/>
      <c r="R208" s="15"/>
      <c r="S208" s="15"/>
      <c r="T208" s="15"/>
      <c r="U208" s="15"/>
      <c r="V208" s="1483" t="s">
        <v>72</v>
      </c>
      <c r="W208" s="1484"/>
      <c r="X208" s="1485"/>
      <c r="Y208" s="1489" t="str">
        <f>IF(ISERROR(AVERAGE(epm,epp,epr)),"n.b.",ROUND(AVERAGE(D8:J8,D14:H14,O14:S14,D22:K22,Q22:X22)/10,2))</f>
        <v>n.b.</v>
      </c>
      <c r="Z208" s="1490"/>
      <c r="AA208" s="1491"/>
      <c r="AB208" s="1581" t="str">
        <f>+L176</f>
        <v>n.b.</v>
      </c>
      <c r="AC208" s="1582"/>
      <c r="AD208" s="15"/>
      <c r="AE208" s="1576"/>
      <c r="AF208" s="1577"/>
      <c r="AG208" s="1577"/>
      <c r="AH208" s="1577"/>
      <c r="AI208" s="1474"/>
      <c r="AJ208" s="1474"/>
      <c r="AK208" s="1474"/>
      <c r="AL208" s="1474"/>
      <c r="AM208" s="1474"/>
      <c r="AN208" s="1474"/>
      <c r="AO208" s="1474"/>
      <c r="AP208" s="1474"/>
      <c r="AQ208" s="1475"/>
      <c r="AR208" s="16"/>
      <c r="AS208" s="16"/>
      <c r="AT208" s="16"/>
      <c r="AU208" s="16"/>
      <c r="AV208" s="16"/>
      <c r="AW208" s="16"/>
      <c r="AX208" s="16"/>
      <c r="AY208" s="16"/>
      <c r="AZ208" s="16"/>
      <c r="BA208" s="16"/>
      <c r="BB208" s="16"/>
      <c r="BC208" s="16"/>
      <c r="BD208" s="16"/>
      <c r="BE208" s="16"/>
      <c r="BF208" s="16"/>
      <c r="BG208" s="16"/>
      <c r="BH208" s="16"/>
      <c r="BI208" s="16"/>
      <c r="BJ208" s="16"/>
    </row>
    <row r="209" spans="2:62" ht="19.5" customHeight="1" thickBot="1">
      <c r="B209" s="48"/>
      <c r="C209" s="15"/>
      <c r="D209" s="15"/>
      <c r="E209" s="15"/>
      <c r="F209" s="73"/>
      <c r="G209" s="15"/>
      <c r="I209" s="15"/>
      <c r="J209" s="230"/>
      <c r="K209" s="204"/>
      <c r="L209" s="15"/>
      <c r="M209" s="15"/>
      <c r="N209" s="15"/>
      <c r="O209" s="15"/>
      <c r="P209" s="15"/>
      <c r="Q209" s="15"/>
      <c r="R209" s="15"/>
      <c r="S209" s="15"/>
      <c r="T209" s="15"/>
      <c r="U209" s="15"/>
      <c r="V209" s="1486"/>
      <c r="W209" s="1487"/>
      <c r="X209" s="1488"/>
      <c r="Y209" s="1492"/>
      <c r="Z209" s="1493"/>
      <c r="AA209" s="1494"/>
      <c r="AB209" s="1583"/>
      <c r="AC209" s="1584"/>
      <c r="AD209" s="15"/>
      <c r="AE209" s="1576"/>
      <c r="AF209" s="1577"/>
      <c r="AG209" s="1577"/>
      <c r="AH209" s="1577"/>
      <c r="AI209" s="1474"/>
      <c r="AJ209" s="1474"/>
      <c r="AK209" s="1474"/>
      <c r="AL209" s="1474"/>
      <c r="AM209" s="1474"/>
      <c r="AN209" s="1474"/>
      <c r="AO209" s="1474"/>
      <c r="AP209" s="1474"/>
      <c r="AQ209" s="1475"/>
      <c r="AR209" s="16"/>
      <c r="AS209" s="16"/>
      <c r="AT209" s="16"/>
      <c r="AU209" s="16"/>
      <c r="AV209" s="16"/>
      <c r="AW209" s="16"/>
      <c r="AX209" s="16"/>
      <c r="AY209" s="16"/>
      <c r="AZ209" s="16"/>
      <c r="BA209" s="16"/>
      <c r="BB209" s="16"/>
      <c r="BC209" s="16"/>
      <c r="BD209" s="16"/>
      <c r="BE209" s="16"/>
      <c r="BF209" s="16"/>
      <c r="BG209" s="16"/>
      <c r="BH209" s="16"/>
      <c r="BI209" s="16"/>
      <c r="BJ209" s="16"/>
    </row>
    <row r="210" spans="2:62" ht="15" customHeight="1" thickBot="1">
      <c r="B210" s="48"/>
      <c r="C210" s="15"/>
      <c r="D210" s="15"/>
      <c r="E210" s="15"/>
      <c r="F210" s="15"/>
      <c r="G210" s="15"/>
      <c r="H210" s="15"/>
      <c r="I210" s="15"/>
      <c r="J210" s="15"/>
      <c r="K210" s="204"/>
      <c r="L210" s="15"/>
      <c r="M210" s="15"/>
      <c r="N210" s="15"/>
      <c r="O210" s="15"/>
      <c r="P210" s="15"/>
      <c r="Q210" s="15"/>
      <c r="R210" s="15"/>
      <c r="S210" s="15"/>
      <c r="T210" s="15"/>
      <c r="U210" s="15"/>
      <c r="V210" s="15"/>
      <c r="W210" s="15"/>
      <c r="X210" s="15"/>
      <c r="Y210" s="256"/>
      <c r="Z210" s="15"/>
      <c r="AA210" s="15"/>
      <c r="AB210" s="15"/>
      <c r="AC210" s="15"/>
      <c r="AD210" s="15"/>
      <c r="AE210" s="1576"/>
      <c r="AF210" s="1577"/>
      <c r="AG210" s="1577"/>
      <c r="AH210" s="1577"/>
      <c r="AI210" s="1474"/>
      <c r="AJ210" s="1474"/>
      <c r="AK210" s="1474"/>
      <c r="AL210" s="1474"/>
      <c r="AM210" s="1474"/>
      <c r="AN210" s="1474"/>
      <c r="AO210" s="1474"/>
      <c r="AP210" s="1474"/>
      <c r="AQ210" s="1475"/>
      <c r="AR210" s="16"/>
      <c r="AS210" s="16"/>
      <c r="AT210" s="16"/>
      <c r="AU210" s="16"/>
      <c r="AV210" s="16"/>
      <c r="AW210" s="16"/>
      <c r="AX210" s="16"/>
      <c r="AY210" s="16"/>
      <c r="AZ210" s="16"/>
      <c r="BA210" s="16"/>
      <c r="BB210" s="16"/>
      <c r="BC210" s="16"/>
      <c r="BD210" s="16"/>
      <c r="BE210" s="16"/>
      <c r="BF210" s="16"/>
      <c r="BG210" s="16"/>
      <c r="BH210" s="16"/>
      <c r="BI210" s="16"/>
      <c r="BJ210" s="16"/>
    </row>
    <row r="211" spans="2:62" ht="19.5" customHeight="1">
      <c r="B211" s="48"/>
      <c r="C211" s="15"/>
      <c r="D211" s="15"/>
      <c r="E211" s="15"/>
      <c r="F211" s="73"/>
      <c r="G211" s="15"/>
      <c r="H211" s="15"/>
      <c r="I211" s="15"/>
      <c r="J211" s="230"/>
      <c r="K211" s="204"/>
      <c r="L211" s="15"/>
      <c r="M211" s="15"/>
      <c r="N211" s="15"/>
      <c r="O211" s="15"/>
      <c r="P211" s="15"/>
      <c r="Q211" s="15"/>
      <c r="R211" s="15"/>
      <c r="S211" s="15"/>
      <c r="T211" s="15"/>
      <c r="U211" s="15"/>
      <c r="V211" s="1483" t="s">
        <v>73</v>
      </c>
      <c r="W211" s="1484"/>
      <c r="X211" s="1485"/>
      <c r="Y211" s="1489">
        <f>IF(ISERROR(AVERAGE(ez,epg,ek)),"n.b.",ROUND(AVERAGE(L29:R29,D36:AH40,U66:Y66)/10,2))</f>
        <v>0.97</v>
      </c>
      <c r="Z211" s="1490"/>
      <c r="AA211" s="1491"/>
      <c r="AB211" s="1581" t="str">
        <f>+L182</f>
        <v>A</v>
      </c>
      <c r="AC211" s="1582"/>
      <c r="AD211" s="15"/>
      <c r="AE211" s="1576"/>
      <c r="AF211" s="1577"/>
      <c r="AG211" s="1577"/>
      <c r="AH211" s="1577"/>
      <c r="AI211" s="1474"/>
      <c r="AJ211" s="1474"/>
      <c r="AK211" s="1474"/>
      <c r="AL211" s="1474"/>
      <c r="AM211" s="1474"/>
      <c r="AN211" s="1474"/>
      <c r="AO211" s="1474"/>
      <c r="AP211" s="1474"/>
      <c r="AQ211" s="1475"/>
      <c r="AR211" s="16"/>
      <c r="AS211" s="16"/>
      <c r="AT211" s="16"/>
      <c r="AU211" s="16"/>
      <c r="AV211" s="16"/>
      <c r="AW211" s="16"/>
      <c r="AX211" s="16"/>
      <c r="AY211" s="16"/>
      <c r="AZ211" s="16"/>
      <c r="BA211" s="16"/>
      <c r="BB211" s="16"/>
      <c r="BC211" s="16"/>
      <c r="BD211" s="16"/>
      <c r="BE211" s="16"/>
      <c r="BF211" s="16"/>
      <c r="BG211" s="16"/>
      <c r="BH211" s="16"/>
      <c r="BI211" s="16"/>
      <c r="BJ211" s="16"/>
    </row>
    <row r="212" spans="2:62" ht="15" customHeight="1" thickBot="1">
      <c r="B212" s="48"/>
      <c r="C212" s="33"/>
      <c r="D212" s="31"/>
      <c r="E212" s="31"/>
      <c r="F212" s="31"/>
      <c r="G212" s="31"/>
      <c r="H212" s="31"/>
      <c r="I212" s="31"/>
      <c r="J212" s="31"/>
      <c r="K212" s="31"/>
      <c r="L212" s="31"/>
      <c r="M212" s="31"/>
      <c r="N212" s="31"/>
      <c r="O212" s="36"/>
      <c r="P212" s="31"/>
      <c r="Q212" s="31"/>
      <c r="R212" s="31"/>
      <c r="S212" s="31"/>
      <c r="T212" s="31"/>
      <c r="U212" s="31"/>
      <c r="V212" s="1486"/>
      <c r="W212" s="1487"/>
      <c r="X212" s="1488"/>
      <c r="Y212" s="1492"/>
      <c r="Z212" s="1493"/>
      <c r="AA212" s="1494"/>
      <c r="AB212" s="1583"/>
      <c r="AC212" s="1584"/>
      <c r="AD212" s="31"/>
      <c r="AE212" s="1495"/>
      <c r="AF212" s="1475"/>
      <c r="AG212" s="1475"/>
      <c r="AH212" s="1475"/>
      <c r="AI212" s="1474"/>
      <c r="AJ212" s="1474"/>
      <c r="AK212" s="1474"/>
      <c r="AL212" s="1474"/>
      <c r="AM212" s="1474"/>
      <c r="AN212" s="1474"/>
      <c r="AO212" s="1474"/>
      <c r="AP212" s="1474"/>
      <c r="AQ212" s="1475"/>
      <c r="AR212" s="16"/>
      <c r="AS212" s="16"/>
      <c r="AT212" s="16"/>
      <c r="AU212" s="16"/>
      <c r="AV212" s="16"/>
      <c r="AW212" s="16"/>
      <c r="AX212" s="16"/>
      <c r="AY212" s="16"/>
      <c r="AZ212" s="16"/>
      <c r="BA212" s="16"/>
      <c r="BB212" s="16"/>
      <c r="BC212" s="16"/>
      <c r="BD212" s="16"/>
      <c r="BE212" s="16"/>
      <c r="BF212" s="16"/>
      <c r="BG212" s="16"/>
      <c r="BH212" s="16"/>
      <c r="BI212" s="16"/>
      <c r="BJ212" s="34"/>
    </row>
    <row r="213" spans="2:62" ht="7.5" customHeight="1">
      <c r="B213" s="48"/>
      <c r="C213" s="33"/>
      <c r="D213" s="31"/>
      <c r="E213" s="31"/>
      <c r="F213" s="31"/>
      <c r="G213" s="31"/>
      <c r="H213" s="31"/>
      <c r="I213" s="31"/>
      <c r="J213" s="31"/>
      <c r="K213" s="31"/>
      <c r="L213" s="31"/>
      <c r="M213" s="31"/>
      <c r="N213" s="31"/>
      <c r="O213" s="36"/>
      <c r="P213" s="31"/>
      <c r="Q213" s="31"/>
      <c r="R213" s="31"/>
      <c r="S213" s="31"/>
      <c r="T213" s="31"/>
      <c r="U213" s="31"/>
      <c r="V213" s="968"/>
      <c r="W213" s="968"/>
      <c r="X213" s="968"/>
      <c r="Y213" s="256"/>
      <c r="Z213" s="212"/>
      <c r="AA213" s="212"/>
      <c r="AB213" s="31"/>
      <c r="AC213" s="31"/>
      <c r="AD213" s="31"/>
      <c r="AE213" s="208"/>
      <c r="AF213" s="969"/>
      <c r="AG213" s="969"/>
      <c r="AH213" s="969"/>
      <c r="AI213" s="213"/>
      <c r="AJ213" s="213"/>
      <c r="AK213" s="213"/>
      <c r="AL213" s="213"/>
      <c r="AM213" s="213"/>
      <c r="AN213" s="213"/>
      <c r="AO213" s="213"/>
      <c r="AP213" s="213"/>
      <c r="AQ213" s="969"/>
      <c r="AR213" s="212"/>
      <c r="AS213" s="212"/>
      <c r="AT213" s="968"/>
      <c r="AX213" s="210"/>
      <c r="AY213" s="210"/>
      <c r="BF213" s="210"/>
      <c r="BG213" s="210"/>
      <c r="BH213" s="210"/>
      <c r="BI213" s="211"/>
      <c r="BJ213" s="34"/>
    </row>
    <row r="214" spans="2:62" ht="15" customHeight="1">
      <c r="B214" s="48"/>
      <c r="C214" s="644" t="s">
        <v>262</v>
      </c>
      <c r="D214" s="15"/>
      <c r="E214" s="15"/>
      <c r="F214" s="15"/>
      <c r="G214" s="15"/>
      <c r="H214" s="15"/>
      <c r="I214" s="31"/>
      <c r="J214" s="15"/>
      <c r="K214" s="15"/>
      <c r="L214" s="15"/>
      <c r="M214" s="15"/>
      <c r="N214" s="258"/>
      <c r="O214" s="330"/>
      <c r="P214" s="329"/>
      <c r="Q214" s="258"/>
      <c r="R214" s="258"/>
      <c r="S214" s="267"/>
      <c r="T214" s="267"/>
      <c r="U214" s="258"/>
      <c r="V214" s="258"/>
      <c r="W214" s="258"/>
      <c r="X214" s="258"/>
      <c r="Y214" s="258"/>
      <c r="Z214" s="258"/>
      <c r="AA214" s="15"/>
      <c r="AB214" s="15"/>
      <c r="AC214" s="15"/>
      <c r="AD214" s="15"/>
      <c r="AH214" s="177" t="s">
        <v>196</v>
      </c>
      <c r="AX214" s="210"/>
      <c r="AY214" s="210"/>
      <c r="AZ214" s="210"/>
      <c r="BA214" s="210"/>
      <c r="BB214" s="210"/>
      <c r="BC214" s="210"/>
      <c r="BD214" s="210"/>
      <c r="BE214" s="210"/>
      <c r="BF214" s="210"/>
      <c r="BG214" s="210"/>
      <c r="BH214" s="210"/>
      <c r="BI214" s="51"/>
      <c r="BJ214" s="16"/>
    </row>
    <row r="215" spans="2:62" ht="7.15" customHeight="1" thickBot="1">
      <c r="B215" s="101"/>
      <c r="C215" s="102"/>
      <c r="D215" s="103"/>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4"/>
      <c r="BJ215" s="16"/>
    </row>
    <row r="216" spans="2:62">
      <c r="K216" s="237"/>
      <c r="L216" s="192"/>
      <c r="M216" s="177"/>
    </row>
    <row r="217" spans="2:62">
      <c r="M217" s="177"/>
    </row>
    <row r="218" spans="2:62">
      <c r="M218" s="177"/>
    </row>
    <row r="221" spans="2:62">
      <c r="AA221" s="177"/>
    </row>
    <row r="222" spans="2:62">
      <c r="AA222" s="177"/>
    </row>
    <row r="223" spans="2:62">
      <c r="AA223" s="177"/>
    </row>
    <row r="224" spans="2:62">
      <c r="AA224" s="177"/>
    </row>
    <row r="225" spans="11:27">
      <c r="AA225" s="177"/>
    </row>
    <row r="226" spans="11:27">
      <c r="K226" s="237"/>
      <c r="L226" s="192"/>
      <c r="M226" s="177"/>
      <c r="Q226" s="177"/>
      <c r="R226" s="177"/>
      <c r="S226" s="177"/>
      <c r="T226" s="177"/>
      <c r="U226" s="177"/>
      <c r="V226" s="177"/>
      <c r="W226" s="177"/>
      <c r="X226" s="177"/>
      <c r="Y226" s="177"/>
      <c r="Z226" s="177"/>
      <c r="AA226" s="177"/>
    </row>
    <row r="227" spans="11:27">
      <c r="L227" s="192"/>
      <c r="M227" s="177"/>
      <c r="AA227" s="177"/>
    </row>
    <row r="228" spans="11:27">
      <c r="M228" s="177"/>
      <c r="AA228" s="177"/>
    </row>
    <row r="229" spans="11:27">
      <c r="AA229" s="177"/>
    </row>
    <row r="230" spans="11:27">
      <c r="AA230" s="177"/>
    </row>
    <row r="238" spans="11:27">
      <c r="K238" s="237"/>
      <c r="L238" s="192"/>
      <c r="M238" s="177"/>
      <c r="Q238" s="177"/>
      <c r="R238" s="177"/>
      <c r="S238" s="177"/>
      <c r="T238" s="177"/>
      <c r="U238" s="177"/>
      <c r="V238" s="177"/>
      <c r="W238" s="177"/>
      <c r="X238" s="177"/>
      <c r="Y238" s="177"/>
      <c r="Z238" s="177"/>
    </row>
    <row r="239" spans="11:27">
      <c r="L239" s="192"/>
      <c r="M239" s="177"/>
    </row>
    <row r="240" spans="11:27">
      <c r="M240" s="177"/>
    </row>
    <row r="241" spans="11:26">
      <c r="M241" s="177"/>
    </row>
    <row r="250" spans="11:26">
      <c r="K250" s="237"/>
      <c r="L250" s="192"/>
      <c r="M250" s="177"/>
      <c r="Q250" s="177"/>
      <c r="R250" s="177"/>
      <c r="S250" s="177"/>
      <c r="T250" s="177"/>
      <c r="U250" s="177"/>
      <c r="V250" s="177"/>
      <c r="W250" s="177"/>
      <c r="X250" s="177"/>
      <c r="Y250" s="177"/>
      <c r="Z250" s="177"/>
    </row>
    <row r="251" spans="11:26">
      <c r="L251" s="192"/>
      <c r="M251" s="177"/>
    </row>
    <row r="252" spans="11:26">
      <c r="M252" s="177"/>
    </row>
  </sheetData>
  <sheetProtection formatColumns="0" formatRows="0" selectLockedCells="1" selectUnlockedCells="1"/>
  <mergeCells count="112">
    <mergeCell ref="B1:H2"/>
    <mergeCell ref="I1:BC2"/>
    <mergeCell ref="BF1:BI1"/>
    <mergeCell ref="AQ8:AR8"/>
    <mergeCell ref="AS8:AT8"/>
    <mergeCell ref="AQ14:AR14"/>
    <mergeCell ref="AS14:AT14"/>
    <mergeCell ref="AQ29:AR29"/>
    <mergeCell ref="AS29:AT29"/>
    <mergeCell ref="J33:O33"/>
    <mergeCell ref="P33:R33"/>
    <mergeCell ref="T33:X33"/>
    <mergeCell ref="Z33:AC33"/>
    <mergeCell ref="AE33:AH33"/>
    <mergeCell ref="AQ33:AT33"/>
    <mergeCell ref="L16:M16"/>
    <mergeCell ref="W16:X16"/>
    <mergeCell ref="AQ22:AR22"/>
    <mergeCell ref="AS22:AT22"/>
    <mergeCell ref="O24:P24"/>
    <mergeCell ref="AB24:AC24"/>
    <mergeCell ref="G62:H62"/>
    <mergeCell ref="M62:N62"/>
    <mergeCell ref="Q62:R62"/>
    <mergeCell ref="W62:X62"/>
    <mergeCell ref="AB62:AC62"/>
    <mergeCell ref="AG62:AH62"/>
    <mergeCell ref="BD62:BE62"/>
    <mergeCell ref="AS66:AT66"/>
    <mergeCell ref="AS36:AT36"/>
    <mergeCell ref="AS38:AT38"/>
    <mergeCell ref="AS40:AT40"/>
    <mergeCell ref="AS42:AT42"/>
    <mergeCell ref="AS44:AT44"/>
    <mergeCell ref="AS46:AT46"/>
    <mergeCell ref="AS48:AT48"/>
    <mergeCell ref="AS50:AT50"/>
    <mergeCell ref="AS52:AT52"/>
    <mergeCell ref="AS54:AT54"/>
    <mergeCell ref="AS59:AT59"/>
    <mergeCell ref="M71:P71"/>
    <mergeCell ref="D72:H72"/>
    <mergeCell ref="I72:L72"/>
    <mergeCell ref="M72:P72"/>
    <mergeCell ref="BB75:BD75"/>
    <mergeCell ref="BE75:BF75"/>
    <mergeCell ref="BB76:BD78"/>
    <mergeCell ref="BE76:BF78"/>
    <mergeCell ref="AL75:AX76"/>
    <mergeCell ref="AY75:AZ76"/>
    <mergeCell ref="AL78:AX79"/>
    <mergeCell ref="AY78:AZ79"/>
    <mergeCell ref="AN71:AT71"/>
    <mergeCell ref="AW94:BI95"/>
    <mergeCell ref="W96:AV96"/>
    <mergeCell ref="AW96:BI96"/>
    <mergeCell ref="W97:AV98"/>
    <mergeCell ref="AW97:BI98"/>
    <mergeCell ref="AI81:AQ81"/>
    <mergeCell ref="AW86:BI87"/>
    <mergeCell ref="AW88:BI89"/>
    <mergeCell ref="AW90:BI91"/>
    <mergeCell ref="W92:AV93"/>
    <mergeCell ref="AW92:BI93"/>
    <mergeCell ref="W94:AV95"/>
    <mergeCell ref="AW105:BI106"/>
    <mergeCell ref="U107:AV108"/>
    <mergeCell ref="AW107:BI108"/>
    <mergeCell ref="U110:AV110"/>
    <mergeCell ref="AW110:BI110"/>
    <mergeCell ref="W99:AV100"/>
    <mergeCell ref="AW99:BI100"/>
    <mergeCell ref="U101:AV102"/>
    <mergeCell ref="AW101:BI102"/>
    <mergeCell ref="U103:AV104"/>
    <mergeCell ref="AW103:BI104"/>
    <mergeCell ref="U105:AV106"/>
    <mergeCell ref="J205:K205"/>
    <mergeCell ref="N205:O205"/>
    <mergeCell ref="R205:S205"/>
    <mergeCell ref="V205:W205"/>
    <mergeCell ref="Y205:Z205"/>
    <mergeCell ref="AE206:AH207"/>
    <mergeCell ref="AW202:BC204"/>
    <mergeCell ref="D203:H203"/>
    <mergeCell ref="I203:L203"/>
    <mergeCell ref="M203:P203"/>
    <mergeCell ref="Q203:T203"/>
    <mergeCell ref="U203:X203"/>
    <mergeCell ref="D202:H202"/>
    <mergeCell ref="I202:L202"/>
    <mergeCell ref="M202:P202"/>
    <mergeCell ref="Q202:T202"/>
    <mergeCell ref="U202:X202"/>
    <mergeCell ref="AE202:AT204"/>
    <mergeCell ref="V211:X212"/>
    <mergeCell ref="Y211:AA212"/>
    <mergeCell ref="AB211:AC212"/>
    <mergeCell ref="AE211:AH211"/>
    <mergeCell ref="AI211:AQ211"/>
    <mergeCell ref="AE212:AH212"/>
    <mergeCell ref="AI212:AQ212"/>
    <mergeCell ref="AI206:AQ207"/>
    <mergeCell ref="V208:X209"/>
    <mergeCell ref="Y208:AA209"/>
    <mergeCell ref="AB208:AC209"/>
    <mergeCell ref="AE208:AH208"/>
    <mergeCell ref="AI208:AQ208"/>
    <mergeCell ref="AE209:AH209"/>
    <mergeCell ref="AI209:AQ209"/>
    <mergeCell ref="AE210:AH210"/>
    <mergeCell ref="AI210:AQ210"/>
  </mergeCells>
  <conditionalFormatting sqref="L178:L182 L172:L176 L163:L169">
    <cfRule type="cellIs" dxfId="38" priority="4" stopIfTrue="1" operator="equal">
      <formula>"A"</formula>
    </cfRule>
    <cfRule type="cellIs" dxfId="37" priority="5" stopIfTrue="1" operator="equal">
      <formula>"B"</formula>
    </cfRule>
    <cfRule type="cellIs" dxfId="36" priority="6" stopIfTrue="1" operator="equal">
      <formula>"C"</formula>
    </cfRule>
  </conditionalFormatting>
  <conditionalFormatting sqref="D73:D79">
    <cfRule type="cellIs" dxfId="35" priority="1" stopIfTrue="1" operator="equal">
      <formula>"A"</formula>
    </cfRule>
    <cfRule type="cellIs" dxfId="34" priority="2" stopIfTrue="1" operator="equal">
      <formula>"B"</formula>
    </cfRule>
    <cfRule type="cellIs" dxfId="33"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Header>&amp;L&amp;"Arial,Fett"&amp;12Produkt-/Prozess-Audit&amp;R&amp;G</oddHeader>
    <oddFooter>&amp;RSeite &amp;P von &amp;N</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Gru2">
    <tabColor indexed="17"/>
    <pageSetUpPr fitToPage="1"/>
  </sheetPr>
  <dimension ref="A1:BJ238"/>
  <sheetViews>
    <sheetView showGridLines="0" topLeftCell="B1" zoomScale="80" zoomScaleNormal="80" zoomScaleSheetLayoutView="100" workbookViewId="0">
      <selection activeCell="Q40" sqref="Q40"/>
    </sheetView>
  </sheetViews>
  <sheetFormatPr defaultColWidth="11.42578125" defaultRowHeight="14.25"/>
  <cols>
    <col min="1" max="1" width="10.140625" style="241" hidden="1" customWidth="1"/>
    <col min="2" max="2" width="10" style="32" customWidth="1"/>
    <col min="3" max="3" width="3.42578125" style="32" customWidth="1"/>
    <col min="4" max="27" width="5.7109375" style="32" customWidth="1"/>
    <col min="28" max="28" width="8.28515625" style="32" customWidth="1"/>
    <col min="29" max="41" width="5.7109375" style="32" customWidth="1"/>
    <col min="42" max="42" width="7.140625" style="32" customWidth="1"/>
    <col min="43" max="43" width="3" style="32" customWidth="1"/>
    <col min="44" max="44" width="4.5703125" style="32" customWidth="1"/>
    <col min="45" max="45" width="3.140625" style="32" customWidth="1"/>
    <col min="46" max="46" width="10.42578125" style="32" customWidth="1"/>
    <col min="47" max="47" width="5.5703125" style="32" customWidth="1"/>
    <col min="48" max="49" width="4.7109375" style="32" customWidth="1"/>
    <col min="50" max="57" width="5.42578125" style="32" customWidth="1"/>
    <col min="58" max="60" width="7.140625" style="32" customWidth="1"/>
    <col min="61" max="61" width="4.140625" style="32" customWidth="1"/>
    <col min="62" max="62" width="3" style="32" customWidth="1"/>
    <col min="63" max="16384" width="11.42578125" style="32"/>
  </cols>
  <sheetData>
    <row r="1" spans="1:62" ht="19.5" customHeight="1">
      <c r="B1" s="1503"/>
      <c r="C1" s="1504"/>
      <c r="D1" s="1504"/>
      <c r="E1" s="1504"/>
      <c r="F1" s="1504"/>
      <c r="G1" s="1504"/>
      <c r="H1" s="1505"/>
      <c r="I1" s="1509" t="str">
        <f>'Evaluation-Bewertung'!I1</f>
        <v>Process Audit VDA 6.3 evaluation matrix including total score for product groups</v>
      </c>
      <c r="J1" s="1603"/>
      <c r="K1" s="1603"/>
      <c r="L1" s="1603"/>
      <c r="M1" s="1603"/>
      <c r="N1" s="1603"/>
      <c r="O1" s="1603"/>
      <c r="P1" s="1603"/>
      <c r="Q1" s="1603"/>
      <c r="R1" s="1603"/>
      <c r="S1" s="1603"/>
      <c r="T1" s="1603"/>
      <c r="U1" s="1603"/>
      <c r="V1" s="1603"/>
      <c r="W1" s="1603"/>
      <c r="X1" s="1603"/>
      <c r="Y1" s="1603"/>
      <c r="Z1" s="1603"/>
      <c r="AA1" s="1603"/>
      <c r="AB1" s="1603"/>
      <c r="AC1" s="1603"/>
      <c r="AD1" s="1603"/>
      <c r="AE1" s="1603"/>
      <c r="AF1" s="1603"/>
      <c r="AG1" s="1603"/>
      <c r="AH1" s="1603"/>
      <c r="AI1" s="1603"/>
      <c r="AJ1" s="1603"/>
      <c r="AK1" s="1603"/>
      <c r="AL1" s="1603"/>
      <c r="AM1" s="1603"/>
      <c r="AN1" s="1603"/>
      <c r="AO1" s="1603"/>
      <c r="AP1" s="1603"/>
      <c r="AQ1" s="1603"/>
      <c r="AR1" s="1603"/>
      <c r="AS1" s="1603"/>
      <c r="AT1" s="1603"/>
      <c r="AU1" s="1603"/>
      <c r="AV1" s="1603"/>
      <c r="AW1" s="1603"/>
      <c r="AX1" s="1603"/>
      <c r="AY1" s="1603"/>
      <c r="AZ1" s="1603"/>
      <c r="BA1" s="1603"/>
      <c r="BB1" s="1603"/>
      <c r="BC1" s="1604"/>
      <c r="BD1" s="389" t="str">
        <f>'Evaluation-Bewertung'!BD1</f>
        <v>Order No.:</v>
      </c>
      <c r="BE1" s="164"/>
      <c r="BF1" s="1574" t="str">
        <f>IF('Input Form - EingabeMaske'!C9="","",'Input Form - EingabeMaske'!C9)</f>
        <v/>
      </c>
      <c r="BG1" s="1574"/>
      <c r="BH1" s="1574"/>
      <c r="BI1" s="1575"/>
      <c r="BJ1" s="28"/>
    </row>
    <row r="2" spans="1:62" ht="11.25" customHeight="1" thickBot="1">
      <c r="B2" s="1506"/>
      <c r="C2" s="1507"/>
      <c r="D2" s="1507"/>
      <c r="E2" s="1507"/>
      <c r="F2" s="1507"/>
      <c r="G2" s="1507"/>
      <c r="H2" s="1508"/>
      <c r="I2" s="1605"/>
      <c r="J2" s="1606"/>
      <c r="K2" s="1606"/>
      <c r="L2" s="1606"/>
      <c r="M2" s="1606"/>
      <c r="N2" s="1606"/>
      <c r="O2" s="1606"/>
      <c r="P2" s="1606"/>
      <c r="Q2" s="1606"/>
      <c r="R2" s="1606"/>
      <c r="S2" s="1606"/>
      <c r="T2" s="1606"/>
      <c r="U2" s="1606"/>
      <c r="V2" s="1606"/>
      <c r="W2" s="1606"/>
      <c r="X2" s="1606"/>
      <c r="Y2" s="1606"/>
      <c r="Z2" s="1606"/>
      <c r="AA2" s="1606"/>
      <c r="AB2" s="1606"/>
      <c r="AC2" s="1606"/>
      <c r="AD2" s="1606"/>
      <c r="AE2" s="1606"/>
      <c r="AF2" s="1606"/>
      <c r="AG2" s="1606"/>
      <c r="AH2" s="1606"/>
      <c r="AI2" s="1606"/>
      <c r="AJ2" s="1606"/>
      <c r="AK2" s="1606"/>
      <c r="AL2" s="1606"/>
      <c r="AM2" s="1606"/>
      <c r="AN2" s="1606"/>
      <c r="AO2" s="1606"/>
      <c r="AP2" s="1606"/>
      <c r="AQ2" s="1606"/>
      <c r="AR2" s="1606"/>
      <c r="AS2" s="1606"/>
      <c r="AT2" s="1606"/>
      <c r="AU2" s="1606"/>
      <c r="AV2" s="1606"/>
      <c r="AW2" s="1606"/>
      <c r="AX2" s="1606"/>
      <c r="AY2" s="1606"/>
      <c r="AZ2" s="1606"/>
      <c r="BA2" s="1606"/>
      <c r="BB2" s="1606"/>
      <c r="BC2" s="1607"/>
      <c r="BD2" s="168"/>
      <c r="BE2" s="169"/>
      <c r="BF2" s="169"/>
      <c r="BG2" s="169"/>
      <c r="BH2" s="169"/>
      <c r="BI2" s="170"/>
      <c r="BJ2" s="28"/>
    </row>
    <row r="3" spans="1:62" ht="21.75" customHeight="1">
      <c r="A3" s="245" t="s">
        <v>145</v>
      </c>
      <c r="B3" s="48"/>
      <c r="C3" s="172" t="s">
        <v>10</v>
      </c>
      <c r="D3" s="31"/>
      <c r="E3" s="225" t="str">
        <f>'Evaluation-Bewertung'!E3</f>
        <v>Development</v>
      </c>
      <c r="F3" s="31"/>
      <c r="G3" s="31"/>
      <c r="H3" s="31"/>
      <c r="I3" s="31"/>
      <c r="J3" s="31"/>
      <c r="K3" s="31"/>
      <c r="L3" s="31"/>
      <c r="M3" s="31"/>
      <c r="N3" s="31"/>
      <c r="O3" s="36"/>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49"/>
      <c r="BJ3" s="34"/>
    </row>
    <row r="4" spans="1:62" ht="8.25" customHeight="1">
      <c r="B4" s="48"/>
      <c r="C4" s="33"/>
      <c r="D4" s="31"/>
      <c r="E4" s="31"/>
      <c r="F4" s="173"/>
      <c r="G4" s="31"/>
      <c r="H4" s="31"/>
      <c r="I4" s="31"/>
      <c r="J4" s="31"/>
      <c r="K4" s="31"/>
      <c r="L4" s="31"/>
      <c r="M4" s="31"/>
      <c r="N4" s="31"/>
      <c r="O4" s="36"/>
      <c r="P4" s="31"/>
      <c r="Q4" s="31"/>
      <c r="R4" s="31"/>
      <c r="S4" s="31"/>
      <c r="T4" s="31"/>
      <c r="U4" s="31"/>
      <c r="V4" s="31"/>
      <c r="W4" s="31"/>
      <c r="X4" s="31"/>
      <c r="Y4" s="31"/>
      <c r="Z4" s="31"/>
      <c r="AA4" s="31"/>
      <c r="AB4" s="31"/>
      <c r="AC4" s="31"/>
      <c r="AD4" s="31"/>
      <c r="AE4" s="31"/>
      <c r="AF4" s="31"/>
      <c r="AG4" s="31"/>
      <c r="AI4" s="31"/>
      <c r="AJ4" s="31"/>
      <c r="AK4" s="31"/>
      <c r="AL4" s="31"/>
      <c r="AM4" s="31"/>
      <c r="AN4" s="31"/>
      <c r="AO4" s="31"/>
      <c r="AP4" s="31"/>
      <c r="AQ4" s="31"/>
      <c r="AR4" s="31"/>
      <c r="AS4" s="31"/>
      <c r="AT4" s="31"/>
      <c r="AU4" s="31"/>
      <c r="AV4" s="31"/>
      <c r="AW4" s="31"/>
      <c r="AX4" s="31"/>
      <c r="AY4" s="31"/>
      <c r="AZ4" s="31"/>
      <c r="BA4" s="31"/>
      <c r="BB4" s="31"/>
      <c r="BC4" s="31"/>
      <c r="BD4" s="31"/>
      <c r="BE4" s="16"/>
      <c r="BF4" s="16"/>
      <c r="BG4" s="16"/>
      <c r="BH4" s="16"/>
      <c r="BI4" s="49"/>
      <c r="BJ4" s="34"/>
    </row>
    <row r="5" spans="1:62" ht="16.149999999999999" customHeight="1">
      <c r="A5" s="970" t="b">
        <f>'Evaluation-Bewertung'!A5</f>
        <v>0</v>
      </c>
      <c r="B5" s="48"/>
      <c r="C5" s="224" t="s">
        <v>96</v>
      </c>
      <c r="D5" s="70" t="str">
        <f>'Questions - Fragen'!C12</f>
        <v>Project management</v>
      </c>
      <c r="E5" s="38"/>
      <c r="F5" s="33"/>
      <c r="G5" s="31"/>
      <c r="H5" s="31"/>
      <c r="I5" s="31"/>
      <c r="J5" s="31"/>
      <c r="K5" s="31"/>
      <c r="L5" s="31"/>
      <c r="M5" s="31"/>
      <c r="N5" s="31"/>
      <c r="O5" s="36"/>
      <c r="P5" s="31"/>
      <c r="Q5" s="31"/>
      <c r="R5" s="31"/>
      <c r="S5" s="31"/>
      <c r="T5" s="31"/>
      <c r="U5" s="31"/>
      <c r="V5" s="31"/>
      <c r="W5" s="31"/>
      <c r="X5" s="31"/>
      <c r="Y5" s="31"/>
      <c r="Z5" s="31"/>
      <c r="AA5" s="31"/>
      <c r="AB5" s="31"/>
      <c r="AC5" s="31"/>
      <c r="AD5" s="31"/>
      <c r="AE5" s="31"/>
      <c r="AF5" s="31"/>
      <c r="AG5" s="31"/>
      <c r="AM5" s="31"/>
      <c r="AN5" s="31"/>
      <c r="AO5" s="31"/>
      <c r="AP5" s="31"/>
      <c r="AQ5" s="166" t="str">
        <f>'Evaluation-Bewertung'!AQ5</f>
        <v>Level of compliance [%]</v>
      </c>
      <c r="AR5" s="31"/>
      <c r="AS5" s="31"/>
      <c r="AT5" s="31"/>
      <c r="AU5" s="31"/>
      <c r="AV5" s="31"/>
      <c r="AW5" s="31"/>
      <c r="AX5" s="31"/>
      <c r="AY5" s="31"/>
      <c r="AZ5" s="31"/>
      <c r="BA5" s="31"/>
      <c r="BB5" s="31"/>
      <c r="BC5" s="31"/>
      <c r="BD5" s="31"/>
      <c r="BE5" s="16"/>
      <c r="BF5" s="16"/>
      <c r="BG5" s="16"/>
      <c r="BH5" s="16"/>
      <c r="BI5" s="49"/>
      <c r="BJ5" s="34"/>
    </row>
    <row r="6" spans="1:62" ht="6.75" customHeight="1">
      <c r="B6" s="48"/>
      <c r="C6" s="35"/>
      <c r="D6" s="31"/>
      <c r="E6" s="174"/>
      <c r="F6" s="33"/>
      <c r="G6" s="31"/>
      <c r="H6" s="31"/>
      <c r="I6" s="31"/>
      <c r="J6" s="31"/>
      <c r="K6" s="31"/>
      <c r="L6" s="31"/>
      <c r="M6" s="31"/>
      <c r="N6" s="31"/>
      <c r="O6" s="36"/>
      <c r="P6" s="31"/>
      <c r="Q6" s="31"/>
      <c r="R6" s="31"/>
      <c r="S6" s="31"/>
      <c r="T6" s="31"/>
      <c r="U6" s="31"/>
      <c r="V6" s="31"/>
      <c r="W6" s="31"/>
      <c r="X6" s="31"/>
      <c r="Y6" s="31"/>
      <c r="Z6" s="31"/>
      <c r="AA6" s="31"/>
      <c r="AB6" s="31"/>
      <c r="AC6" s="31"/>
      <c r="AD6" s="31"/>
      <c r="AE6" s="31"/>
      <c r="AF6" s="31"/>
      <c r="AG6" s="31"/>
      <c r="AH6" s="15"/>
      <c r="AI6" s="31"/>
      <c r="AJ6" s="31"/>
      <c r="AK6" s="31"/>
      <c r="AL6" s="31"/>
      <c r="AM6" s="31"/>
      <c r="AN6" s="31"/>
      <c r="AO6" s="31"/>
      <c r="AP6" s="31"/>
      <c r="AQ6" s="31"/>
      <c r="AR6" s="31"/>
      <c r="AS6" s="31"/>
      <c r="AT6" s="31"/>
      <c r="AU6" s="31"/>
      <c r="AV6" s="31"/>
      <c r="AW6" s="31"/>
      <c r="AX6" s="31"/>
      <c r="AY6" s="31"/>
      <c r="AZ6" s="31"/>
      <c r="BA6" s="31"/>
      <c r="BB6" s="31"/>
      <c r="BC6" s="31"/>
      <c r="BD6" s="31"/>
      <c r="BE6" s="16"/>
      <c r="BF6" s="16"/>
      <c r="BG6" s="16"/>
      <c r="BH6" s="16"/>
      <c r="BI6" s="49"/>
      <c r="BJ6" s="34"/>
    </row>
    <row r="7" spans="1:62" ht="15" customHeight="1" thickBot="1">
      <c r="A7" s="241" t="s">
        <v>225</v>
      </c>
      <c r="B7" s="48"/>
      <c r="C7" s="35"/>
      <c r="D7" s="390" t="s">
        <v>30</v>
      </c>
      <c r="E7" s="390" t="s">
        <v>132</v>
      </c>
      <c r="F7" s="390" t="s">
        <v>133</v>
      </c>
      <c r="G7" s="390" t="s">
        <v>74</v>
      </c>
      <c r="H7" s="628" t="s">
        <v>201</v>
      </c>
      <c r="I7" s="628" t="s">
        <v>206</v>
      </c>
      <c r="J7" s="390" t="s">
        <v>136</v>
      </c>
      <c r="K7" s="728" t="str">
        <f>'Evaluation-Bewertung'!K7</f>
        <v>n.e.</v>
      </c>
      <c r="L7" s="643" t="str">
        <f>'Evaluation-Bewertung'!L7</f>
        <v>Act.</v>
      </c>
      <c r="M7" s="643" t="str">
        <f>'Evaluation-Bewertung'!M7</f>
        <v>Target</v>
      </c>
      <c r="N7" s="643" t="str">
        <f>'Evaluation-Bewertung'!N7</f>
        <v>Max.</v>
      </c>
      <c r="O7" s="643" t="str">
        <f>'Evaluation-Bewertung'!O7</f>
        <v>Act.</v>
      </c>
      <c r="Q7" s="175"/>
      <c r="R7" s="175"/>
      <c r="S7" s="176"/>
      <c r="T7" s="31"/>
      <c r="U7" s="31"/>
      <c r="V7" s="31"/>
      <c r="W7" s="31"/>
      <c r="X7" s="31"/>
      <c r="Y7" s="31"/>
      <c r="Z7" s="31"/>
      <c r="AA7" s="31"/>
      <c r="AB7" s="31"/>
      <c r="AC7" s="31"/>
      <c r="AD7" s="31"/>
      <c r="AE7" s="31"/>
      <c r="AF7" s="31"/>
      <c r="AG7" s="31"/>
      <c r="AH7" s="15"/>
      <c r="AI7" s="31"/>
      <c r="AJ7" s="31"/>
      <c r="AK7" s="31"/>
      <c r="AL7" s="31"/>
      <c r="AM7" s="31"/>
      <c r="AN7" s="31"/>
      <c r="AO7" s="31"/>
      <c r="AP7" s="31"/>
      <c r="AQ7" s="31"/>
      <c r="AR7" s="31"/>
      <c r="AS7" s="31"/>
      <c r="AT7" s="31"/>
      <c r="AU7" s="31"/>
      <c r="AV7" s="31"/>
      <c r="AW7" s="31"/>
      <c r="AX7" s="31"/>
      <c r="AY7" s="31"/>
      <c r="AZ7" s="31"/>
      <c r="BA7" s="31"/>
      <c r="BB7" s="31"/>
      <c r="BC7" s="31"/>
      <c r="BD7" s="31"/>
      <c r="BE7" s="16"/>
      <c r="BF7" s="16"/>
      <c r="BG7" s="16"/>
      <c r="BH7" s="16"/>
      <c r="BI7" s="49"/>
      <c r="BJ7" s="34"/>
    </row>
    <row r="8" spans="1:62" ht="15" customHeight="1" thickBot="1">
      <c r="A8" s="243" t="str">
        <f>IF(COUNT(D8:J8)=0,K7,IF(MIN(D8:J8)=0,"B","A"))</f>
        <v>n.e.</v>
      </c>
      <c r="B8" s="48"/>
      <c r="C8" s="35"/>
      <c r="D8" s="232" t="str">
        <f>IF(A5=FALSE,$K$7,IF(ISBLANK('Questions - Fragen'!D13),"--",'Questions - Fragen'!D13))</f>
        <v>n.e.</v>
      </c>
      <c r="E8" s="232" t="str">
        <f>IF(A5=FALSE,$K$7,IF(ISBLANK('Questions - Fragen'!D14),"--",'Questions - Fragen'!D14))</f>
        <v>n.e.</v>
      </c>
      <c r="F8" s="232" t="str">
        <f>IF(A5=FALSE,$K$7,IF(ISBLANK('Questions - Fragen'!D15),"--",'Questions - Fragen'!D15))</f>
        <v>n.e.</v>
      </c>
      <c r="G8" s="232" t="str">
        <f>IF(A5=FALSE,$K$7,IF(ISBLANK('Questions - Fragen'!D16),"--",'Questions - Fragen'!D16))</f>
        <v>n.e.</v>
      </c>
      <c r="H8" s="633" t="str">
        <f>IF(A5=FALSE,$K$7,IF(ISBLANK('Questions - Fragen'!D17),"--",'Questions - Fragen'!D17))</f>
        <v>n.e.</v>
      </c>
      <c r="I8" s="633" t="str">
        <f>IF(A5=FALSE,$K$7,IF(ISBLANK('Questions - Fragen'!D18),"--",'Questions - Fragen'!D18))</f>
        <v>n.e.</v>
      </c>
      <c r="J8" s="232" t="str">
        <f>IF(A5=FALSE,$K$7,IF(ISBLANK('Questions - Fragen'!D19),"--",'Questions - Fragen'!D19))</f>
        <v>n.e.</v>
      </c>
      <c r="K8" s="753">
        <f>COUNTIF(D8:J8,"&gt;-")</f>
        <v>7</v>
      </c>
      <c r="L8" s="753">
        <f>COUNT(D8:J8)</f>
        <v>0</v>
      </c>
      <c r="M8" s="753">
        <v>5</v>
      </c>
      <c r="N8" s="753" t="str">
        <f>IF(AND($A5,L8&gt;=M8),L8*10,"--")</f>
        <v>--</v>
      </c>
      <c r="O8" s="753" t="str">
        <f>IF(AND($A5,L8&gt;=M8),SUM(D8:J8),"--")</f>
        <v>--</v>
      </c>
      <c r="Q8" s="176"/>
      <c r="R8" s="176"/>
      <c r="S8" s="176"/>
      <c r="T8" s="31"/>
      <c r="U8" s="31"/>
      <c r="V8" s="31"/>
      <c r="W8" s="31"/>
      <c r="X8" s="31"/>
      <c r="Y8" s="31"/>
      <c r="Z8" s="31"/>
      <c r="AA8" s="31"/>
      <c r="AB8" s="31"/>
      <c r="AC8" s="31"/>
      <c r="AD8" s="31"/>
      <c r="AE8" s="31"/>
      <c r="AF8" s="31"/>
      <c r="AG8" s="31"/>
      <c r="AH8" s="15"/>
      <c r="AI8" s="31"/>
      <c r="AJ8" s="31"/>
      <c r="AK8" s="31"/>
      <c r="AL8" s="31"/>
      <c r="AM8" s="31"/>
      <c r="AN8" s="31"/>
      <c r="AO8" s="31"/>
      <c r="AP8" s="31"/>
      <c r="AQ8" s="1518" t="s">
        <v>299</v>
      </c>
      <c r="AR8" s="1519"/>
      <c r="AS8" s="1515" t="str">
        <f>IF(AND(A5,L8&gt;=M8),ROUND(O8/N8,2),K7)</f>
        <v>n.e.</v>
      </c>
      <c r="AT8" s="1516"/>
      <c r="AU8" s="16"/>
      <c r="AV8" s="31"/>
      <c r="AW8" s="31"/>
      <c r="AX8" s="31"/>
      <c r="AY8" s="31"/>
      <c r="AZ8" s="31"/>
      <c r="BA8" s="31"/>
      <c r="BB8" s="31"/>
      <c r="BC8" s="31"/>
      <c r="BD8" s="31"/>
      <c r="BE8" s="16"/>
      <c r="BF8" s="16"/>
      <c r="BG8" s="16"/>
      <c r="BH8" s="16"/>
      <c r="BI8" s="49"/>
      <c r="BJ8" s="34"/>
    </row>
    <row r="9" spans="1:62" ht="6.75" customHeight="1">
      <c r="B9" s="48"/>
      <c r="C9" s="33"/>
      <c r="D9" s="31"/>
      <c r="E9" s="31"/>
      <c r="F9" s="31"/>
      <c r="G9" s="31"/>
      <c r="H9" s="176"/>
      <c r="I9" s="176"/>
      <c r="J9" s="176"/>
      <c r="K9" s="176"/>
      <c r="L9" s="176"/>
      <c r="M9" s="176"/>
      <c r="N9" s="176"/>
      <c r="O9" s="178"/>
      <c r="P9" s="176"/>
      <c r="Q9" s="176"/>
      <c r="R9" s="176"/>
      <c r="S9" s="176"/>
      <c r="T9" s="31"/>
      <c r="U9" s="31"/>
      <c r="V9" s="31"/>
      <c r="W9" s="31"/>
      <c r="X9" s="31"/>
      <c r="Y9" s="31"/>
      <c r="Z9" s="31"/>
      <c r="AA9" s="31"/>
      <c r="AB9" s="31"/>
      <c r="AC9" s="31"/>
      <c r="AD9" s="31"/>
      <c r="AE9" s="31"/>
      <c r="AF9" s="31"/>
      <c r="AG9" s="31"/>
      <c r="AH9" s="38"/>
      <c r="AI9" s="31"/>
      <c r="AJ9" s="31"/>
      <c r="AK9" s="31"/>
      <c r="AL9" s="31"/>
      <c r="AM9" s="31"/>
      <c r="AN9" s="31"/>
      <c r="AO9" s="31"/>
      <c r="AP9" s="31"/>
      <c r="AQ9" s="31"/>
      <c r="AR9" s="31"/>
      <c r="AS9" s="31"/>
      <c r="AT9" s="31"/>
      <c r="AU9" s="31"/>
      <c r="AV9" s="31"/>
      <c r="AW9" s="31"/>
      <c r="AX9" s="31"/>
      <c r="AY9" s="31"/>
      <c r="AZ9" s="31"/>
      <c r="BA9" s="31"/>
      <c r="BB9" s="31"/>
      <c r="BC9" s="31"/>
      <c r="BD9" s="31"/>
      <c r="BE9" s="16"/>
      <c r="BF9" s="16"/>
      <c r="BG9" s="16"/>
      <c r="BH9" s="16"/>
      <c r="BI9" s="49"/>
      <c r="BJ9" s="34"/>
    </row>
    <row r="10" spans="1:62" ht="18" customHeight="1">
      <c r="A10" s="971" t="b">
        <f>'Evaluation-Bewertung'!A10</f>
        <v>0</v>
      </c>
      <c r="B10" s="48"/>
      <c r="C10" s="655" t="s">
        <v>97</v>
      </c>
      <c r="D10" s="655" t="str">
        <f>'Questions - Fragen'!C20</f>
        <v>Planning the product and process development</v>
      </c>
      <c r="E10" s="656"/>
      <c r="F10" s="656"/>
      <c r="G10" s="656"/>
      <c r="H10" s="656"/>
      <c r="I10" s="656"/>
      <c r="J10" s="656"/>
      <c r="K10" s="656"/>
      <c r="L10" s="656"/>
      <c r="M10" s="656"/>
      <c r="N10" s="656"/>
      <c r="O10" s="657"/>
      <c r="P10" s="656"/>
      <c r="Q10" s="656"/>
      <c r="R10" s="656"/>
      <c r="S10" s="656"/>
      <c r="T10" s="656"/>
      <c r="U10" s="656"/>
      <c r="V10" s="656"/>
      <c r="W10" s="656"/>
      <c r="X10" s="656"/>
      <c r="Y10" s="656"/>
      <c r="Z10" s="656"/>
      <c r="AA10" s="656"/>
      <c r="AB10" s="656"/>
      <c r="AC10" s="656"/>
      <c r="AD10" s="656"/>
      <c r="AE10" s="656"/>
      <c r="AF10" s="656"/>
      <c r="AG10" s="656"/>
      <c r="AH10" s="656"/>
      <c r="AI10" s="656"/>
      <c r="AJ10" s="656"/>
      <c r="AK10" s="656"/>
      <c r="AL10" s="656"/>
      <c r="AM10" s="656"/>
      <c r="AN10" s="656"/>
      <c r="AO10" s="656"/>
      <c r="AP10" s="656"/>
      <c r="AQ10" s="656"/>
      <c r="AR10" s="656"/>
      <c r="AS10" s="656"/>
      <c r="AT10" s="656"/>
      <c r="AU10" s="656"/>
      <c r="AV10" s="656"/>
      <c r="AW10" s="656"/>
      <c r="AX10" s="656"/>
      <c r="AY10" s="656"/>
      <c r="AZ10" s="656"/>
      <c r="BA10" s="656"/>
      <c r="BB10" s="656"/>
      <c r="BC10" s="656"/>
      <c r="BD10" s="656"/>
      <c r="BE10" s="661"/>
      <c r="BF10" s="661"/>
      <c r="BG10" s="661"/>
      <c r="BH10" s="661"/>
      <c r="BI10" s="658"/>
      <c r="BJ10" s="34"/>
    </row>
    <row r="11" spans="1:62" ht="6" customHeight="1">
      <c r="A11" s="659"/>
      <c r="B11" s="48"/>
      <c r="C11" s="36"/>
      <c r="D11" s="36"/>
      <c r="E11" s="31"/>
      <c r="F11" s="31"/>
      <c r="G11" s="31"/>
      <c r="H11" s="31"/>
      <c r="I11" s="31"/>
      <c r="J11" s="31"/>
      <c r="K11" s="31"/>
      <c r="L11" s="31"/>
      <c r="M11" s="31"/>
      <c r="N11" s="31"/>
      <c r="O11" s="36"/>
      <c r="P11" s="31"/>
      <c r="Q11" s="31"/>
      <c r="R11" s="31"/>
      <c r="S11" s="31"/>
      <c r="T11" s="31"/>
      <c r="U11" s="31"/>
      <c r="V11" s="31"/>
      <c r="W11" s="31"/>
      <c r="X11" s="31"/>
      <c r="Y11" s="31"/>
      <c r="Z11" s="31"/>
      <c r="AA11" s="31"/>
      <c r="AB11" s="31"/>
      <c r="AC11" s="38"/>
      <c r="AD11" s="38"/>
      <c r="AE11" s="38"/>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15"/>
      <c r="BF11" s="15"/>
      <c r="BG11" s="15"/>
      <c r="BH11" s="15"/>
      <c r="BI11" s="49"/>
      <c r="BJ11" s="34"/>
    </row>
    <row r="12" spans="1:62" ht="14.1" customHeight="1">
      <c r="B12" s="48"/>
      <c r="C12" s="36"/>
      <c r="D12" s="180" t="str">
        <f>'Questions - Fragen'!C23</f>
        <v>Product</v>
      </c>
      <c r="E12" s="38"/>
      <c r="F12" s="31"/>
      <c r="G12" s="31"/>
      <c r="H12" s="31"/>
      <c r="I12" s="31"/>
      <c r="K12" s="31"/>
      <c r="L12" s="31"/>
      <c r="M12" s="31"/>
      <c r="N12" s="31"/>
      <c r="O12" s="180" t="str">
        <f>'Questions - Fragen'!C24</f>
        <v>Process</v>
      </c>
      <c r="P12" s="31"/>
      <c r="R12" s="180"/>
      <c r="S12" s="180"/>
      <c r="T12" s="180"/>
      <c r="U12" s="180"/>
      <c r="V12" s="180"/>
      <c r="W12" s="180"/>
      <c r="X12" s="180"/>
      <c r="AM12" s="31"/>
      <c r="AN12" s="31"/>
      <c r="AO12" s="31"/>
      <c r="AP12" s="31"/>
      <c r="AQ12" s="31"/>
      <c r="AR12" s="31"/>
      <c r="AS12" s="31"/>
      <c r="AT12" s="31"/>
      <c r="AU12" s="31"/>
      <c r="AV12" s="31"/>
      <c r="AW12" s="31"/>
      <c r="AX12" s="31"/>
      <c r="AY12" s="31"/>
      <c r="AZ12" s="31"/>
      <c r="BA12" s="31"/>
      <c r="BB12" s="31"/>
      <c r="BC12" s="31"/>
      <c r="BD12" s="31"/>
      <c r="BE12" s="16"/>
      <c r="BF12" s="16"/>
      <c r="BG12" s="16"/>
      <c r="BH12" s="16"/>
      <c r="BI12" s="49"/>
      <c r="BJ12" s="34"/>
    </row>
    <row r="13" spans="1:62" ht="15" thickBot="1">
      <c r="A13" s="241" t="s">
        <v>226</v>
      </c>
      <c r="B13" s="48"/>
      <c r="C13" s="33"/>
      <c r="D13" s="390" t="s">
        <v>78</v>
      </c>
      <c r="E13" s="628" t="s">
        <v>203</v>
      </c>
      <c r="F13" s="390" t="s">
        <v>80</v>
      </c>
      <c r="G13" s="390" t="s">
        <v>81</v>
      </c>
      <c r="H13" s="390" t="s">
        <v>82</v>
      </c>
      <c r="I13" s="643" t="str">
        <f>'Evaluation-Bewertung'!I13</f>
        <v>n.e.</v>
      </c>
      <c r="J13" s="643" t="str">
        <f>'Evaluation-Bewertung'!J13</f>
        <v>Act.</v>
      </c>
      <c r="K13" s="643" t="str">
        <f>'Evaluation-Bewertung'!K13</f>
        <v>Target</v>
      </c>
      <c r="L13" s="643" t="str">
        <f>'Evaluation-Bewertung'!L13</f>
        <v>Max.</v>
      </c>
      <c r="M13" s="643" t="str">
        <f>'Evaluation-Bewertung'!M13</f>
        <v>Act.</v>
      </c>
      <c r="N13" s="181"/>
      <c r="O13" s="390" t="s">
        <v>78</v>
      </c>
      <c r="P13" s="628" t="s">
        <v>203</v>
      </c>
      <c r="Q13" s="390" t="s">
        <v>80</v>
      </c>
      <c r="R13" s="390" t="s">
        <v>81</v>
      </c>
      <c r="S13" s="390" t="s">
        <v>82</v>
      </c>
      <c r="T13" s="643" t="str">
        <f>'Evaluation-Bewertung'!T13</f>
        <v>n.e.</v>
      </c>
      <c r="U13" s="643" t="str">
        <f>'Evaluation-Bewertung'!U13</f>
        <v>Act.</v>
      </c>
      <c r="V13" s="643" t="str">
        <f>'Evaluation-Bewertung'!V13</f>
        <v>Target</v>
      </c>
      <c r="W13" s="643" t="str">
        <f>'Evaluation-Bewertung'!W13</f>
        <v>Max.</v>
      </c>
      <c r="X13" s="643" t="str">
        <f>'Evaluation-Bewertung'!X13</f>
        <v>Act.</v>
      </c>
      <c r="Z13" s="390" t="s">
        <v>78</v>
      </c>
      <c r="AA13" s="628" t="s">
        <v>203</v>
      </c>
      <c r="AB13" s="390" t="s">
        <v>80</v>
      </c>
      <c r="AC13" s="390" t="s">
        <v>81</v>
      </c>
      <c r="AD13" s="390" t="s">
        <v>82</v>
      </c>
      <c r="AE13" s="643" t="str">
        <f>'Evaluation-Bewertung'!AE13</f>
        <v>n.e.</v>
      </c>
      <c r="AF13" s="643" t="str">
        <f>'Evaluation-Bewertung'!AF13</f>
        <v>Act.</v>
      </c>
      <c r="AG13" s="643" t="str">
        <f>'Evaluation-Bewertung'!AG13</f>
        <v>Target</v>
      </c>
      <c r="AH13" s="643" t="str">
        <f>'Evaluation-Bewertung'!AH13</f>
        <v>Max.</v>
      </c>
      <c r="AI13" s="643" t="str">
        <f>'Evaluation-Bewertung'!AI13</f>
        <v>Act.</v>
      </c>
      <c r="AJ13" s="31"/>
      <c r="AM13" s="31"/>
      <c r="AN13" s="31"/>
      <c r="AO13" s="31"/>
      <c r="AP13" s="31"/>
      <c r="AQ13" s="31"/>
      <c r="AR13" s="31"/>
      <c r="AS13" s="31"/>
      <c r="AT13" s="31"/>
      <c r="AU13" s="31"/>
      <c r="AV13" s="31"/>
      <c r="AW13" s="31"/>
      <c r="AX13" s="31"/>
      <c r="AY13" s="31"/>
      <c r="AZ13" s="31"/>
      <c r="BA13" s="31"/>
      <c r="BB13" s="31"/>
      <c r="BC13" s="31"/>
      <c r="BD13" s="31"/>
      <c r="BE13" s="16"/>
      <c r="BF13" s="16"/>
      <c r="BG13" s="16"/>
      <c r="BH13" s="16"/>
      <c r="BI13" s="49"/>
      <c r="BJ13" s="34"/>
    </row>
    <row r="14" spans="1:62" s="37" customFormat="1" ht="15.75" thickBot="1">
      <c r="A14" s="243" t="str">
        <f>IF(COUNT(D14:H14)+COUNT(O14:S14)=0,I13,IF(MIN(D14:H14,O14:S14)=0,"B","A"))</f>
        <v>n.e.</v>
      </c>
      <c r="B14" s="50"/>
      <c r="C14" s="180"/>
      <c r="D14" s="232" t="str">
        <f>IF($A$10=FALSE,$I$13,IF(ISBLANK('Questions - Fragen'!$D23),"--",'Questions - Fragen'!$D23))</f>
        <v>n.e.</v>
      </c>
      <c r="E14" s="633" t="str">
        <f>IF($A$10=FALSE,$I$13,IF(ISBLANK('Questions - Fragen'!$D26),"--",'Questions - Fragen'!$D26))</f>
        <v>n.e.</v>
      </c>
      <c r="F14" s="232" t="str">
        <f>IF($A$10=FALSE,$I$13,IF(ISBLANK('Questions - Fragen'!$D29),"--",'Questions - Fragen'!$D29))</f>
        <v>n.e.</v>
      </c>
      <c r="G14" s="232" t="str">
        <f>IF($A$10=FALSE,$I$13,IF(ISBLANK('Questions - Fragen'!$D32),"--",'Questions - Fragen'!$D32))</f>
        <v>n.e.</v>
      </c>
      <c r="H14" s="232" t="str">
        <f>IF($A$10=FALSE,$I$13,IF(ISBLANK('Questions - Fragen'!$D35),"--",'Questions - Fragen'!$D35))</f>
        <v>n.e.</v>
      </c>
      <c r="I14" s="753">
        <f>COUNTIF(D14:H14,"&gt;-")</f>
        <v>5</v>
      </c>
      <c r="J14" s="753">
        <f>COUNT(D14:H14)</f>
        <v>0</v>
      </c>
      <c r="K14" s="753">
        <v>4</v>
      </c>
      <c r="L14" s="753" t="str">
        <f>IF(AND($A10,J14&gt;=K14),J14*10,"--")</f>
        <v>--</v>
      </c>
      <c r="M14" s="753" t="str">
        <f>IF(AND($A10,J14&gt;=K14),SUM(D14:H14),"--")</f>
        <v>--</v>
      </c>
      <c r="O14" s="232" t="str">
        <f>IF($A$10=FALSE,$T$13,IF(ISBLANK('Questions - Fragen'!$D24),"--",'Questions - Fragen'!$D24))</f>
        <v>n.e.</v>
      </c>
      <c r="P14" s="633" t="str">
        <f>IF($A$10=FALSE,$T$13,IF(ISBLANK('Questions - Fragen'!$D27),"--",'Questions - Fragen'!$D27))</f>
        <v>n.e.</v>
      </c>
      <c r="Q14" s="232" t="str">
        <f>IF($A$10=FALSE,$T$13,IF(ISBLANK('Questions - Fragen'!$D30),"--",'Questions - Fragen'!$D30))</f>
        <v>n.e.</v>
      </c>
      <c r="R14" s="232" t="str">
        <f>IF($A$10=FALSE,$T$13,IF(ISBLANK('Questions - Fragen'!$D33),"--",'Questions - Fragen'!$D33))</f>
        <v>n.e.</v>
      </c>
      <c r="S14" s="232" t="str">
        <f>IF($A$10=FALSE,$T$13,IF(ISBLANK('Questions - Fragen'!$D36),"--",'Questions - Fragen'!$D36))</f>
        <v>n.e.</v>
      </c>
      <c r="T14" s="753">
        <f>COUNTIF(O14:S14,"&gt;-")</f>
        <v>5</v>
      </c>
      <c r="U14" s="753">
        <f>COUNT(O14:S14)</f>
        <v>0</v>
      </c>
      <c r="V14" s="753">
        <v>4</v>
      </c>
      <c r="W14" s="753" t="str">
        <f>IF(AND($A10,U14&gt;=V14),U14*10,"--")</f>
        <v>--</v>
      </c>
      <c r="X14" s="753" t="str">
        <f>IF(AND($A10,U14&gt;=V14),SUM(O14:S14),"--")</f>
        <v>--</v>
      </c>
      <c r="Z14" s="957" t="str">
        <f>IF(AND(D14=$I$13,O14=$T$13),$AE$13,IF(AND(D14="--",O14="--"),"--",IF(COUNT(D14,O14)&gt;0,ROUND(AVERAGE(D14,O14),2),"/")))</f>
        <v>n.e.</v>
      </c>
      <c r="AA14" s="958" t="str">
        <f t="shared" ref="AA14:AD14" si="0">IF(AND(E14=$I$13,P14=$T$13),$AE$13,IF(AND(E14="--",P14="--"),"--",IF(COUNT(E14,P14)&gt;0,ROUND(AVERAGE(E14,P14),2),"/")))</f>
        <v>n.e.</v>
      </c>
      <c r="AB14" s="957" t="str">
        <f t="shared" si="0"/>
        <v>n.e.</v>
      </c>
      <c r="AC14" s="957" t="str">
        <f t="shared" si="0"/>
        <v>n.e.</v>
      </c>
      <c r="AD14" s="957" t="str">
        <f t="shared" si="0"/>
        <v>n.e.</v>
      </c>
      <c r="AE14" s="753">
        <f>COUNTIF(Z14:AD14,"&gt;-")</f>
        <v>5</v>
      </c>
      <c r="AF14" s="753">
        <f>COUNT(Z14:AD14)</f>
        <v>0</v>
      </c>
      <c r="AG14" s="753">
        <v>4</v>
      </c>
      <c r="AH14" s="753" t="str">
        <f>IF(AND($A10,AF14&gt;=AG14),AF14*10,"--")</f>
        <v>--</v>
      </c>
      <c r="AI14" s="753" t="str">
        <f>IF(AND($A10,AF14&gt;=AG14),SUM(Z14:AD14),"--")</f>
        <v>--</v>
      </c>
      <c r="AJ14" s="31"/>
      <c r="AM14" s="15"/>
      <c r="AN14" s="15"/>
      <c r="AO14" s="15"/>
      <c r="AP14" s="15"/>
      <c r="AQ14" s="1518" t="s">
        <v>300</v>
      </c>
      <c r="AR14" s="1519"/>
      <c r="AS14" s="1471" t="str">
        <f>IF(AND(L16=I13,W16=T13),I13,ROUND(AI14/AH14,2))</f>
        <v>n.e.</v>
      </c>
      <c r="AT14" s="1472"/>
      <c r="AU14" s="16"/>
      <c r="AV14" s="184"/>
      <c r="AW14" s="184"/>
      <c r="AX14" s="184"/>
      <c r="AY14" s="184"/>
      <c r="AZ14" s="184"/>
      <c r="BA14" s="184"/>
      <c r="BB14" s="184"/>
      <c r="BC14" s="184"/>
      <c r="BD14" s="184"/>
      <c r="BE14" s="16"/>
      <c r="BF14" s="16"/>
      <c r="BG14" s="16"/>
      <c r="BH14" s="16"/>
      <c r="BI14" s="51"/>
      <c r="BJ14" s="16"/>
    </row>
    <row r="15" spans="1:62" ht="15" thickBot="1">
      <c r="B15" s="48"/>
      <c r="C15" s="33"/>
      <c r="D15" s="38"/>
      <c r="E15" s="38"/>
      <c r="F15" s="38"/>
      <c r="G15" s="38"/>
      <c r="H15" s="38"/>
      <c r="N15" s="180"/>
      <c r="O15" s="31"/>
      <c r="P15" s="31"/>
      <c r="T15" s="31"/>
      <c r="V15" s="31"/>
      <c r="W15" s="176"/>
      <c r="X15" s="179"/>
      <c r="Y15" s="179"/>
      <c r="Z15" s="179"/>
      <c r="AA15" s="179"/>
      <c r="AB15" s="179"/>
      <c r="AC15" s="179"/>
      <c r="AD15" s="15"/>
      <c r="AE15" s="15"/>
      <c r="AF15" s="15"/>
      <c r="AJ15" s="15"/>
      <c r="AK15" s="15"/>
      <c r="AL15" s="15"/>
      <c r="AM15" s="15"/>
      <c r="AN15" s="15"/>
      <c r="AO15" s="15"/>
      <c r="AP15" s="15"/>
      <c r="AQ15" s="15"/>
      <c r="AR15" s="31"/>
      <c r="AS15" s="31"/>
      <c r="AT15" s="31"/>
      <c r="AU15" s="15"/>
      <c r="AV15" s="15"/>
      <c r="AW15" s="15"/>
      <c r="AX15" s="15"/>
      <c r="AY15" s="15"/>
      <c r="AZ15" s="15"/>
      <c r="BA15" s="15"/>
      <c r="BB15" s="15"/>
      <c r="BC15" s="15"/>
      <c r="BD15" s="15"/>
      <c r="BE15" s="16"/>
      <c r="BF15" s="16"/>
      <c r="BG15" s="16"/>
      <c r="BH15" s="16"/>
      <c r="BI15" s="51"/>
      <c r="BJ15" s="16"/>
    </row>
    <row r="16" spans="1:62" ht="15.75" thickBot="1">
      <c r="B16" s="48"/>
      <c r="C16" s="33"/>
      <c r="D16" s="38"/>
      <c r="E16" s="38"/>
      <c r="F16" s="38"/>
      <c r="G16" s="38"/>
      <c r="H16" s="38"/>
      <c r="K16" s="183" t="s">
        <v>66</v>
      </c>
      <c r="L16" s="1471" t="str">
        <f>IF(AND(A10,J14&gt;=K14),ROUND(M14/L14,2),I13)</f>
        <v>n.e.</v>
      </c>
      <c r="M16" s="1472"/>
      <c r="N16" s="29"/>
      <c r="O16" s="38"/>
      <c r="P16" s="38"/>
      <c r="T16" s="182"/>
      <c r="V16" s="183" t="s">
        <v>59</v>
      </c>
      <c r="W16" s="1471" t="str">
        <f>IF(AND(A10,U14&gt;=V14),ROUND(X14/W14,2),T13)</f>
        <v>n.e.</v>
      </c>
      <c r="X16" s="1472"/>
      <c r="Y16" s="179"/>
      <c r="Z16" s="179"/>
      <c r="AA16" s="179"/>
      <c r="AB16" s="179"/>
      <c r="AC16" s="179"/>
      <c r="AD16" s="15"/>
      <c r="AE16" s="15"/>
      <c r="AF16" s="15"/>
      <c r="AJ16" s="15"/>
      <c r="AK16" s="15"/>
      <c r="AL16" s="15"/>
      <c r="AM16" s="15"/>
      <c r="AN16" s="15"/>
      <c r="AO16" s="15"/>
      <c r="AP16" s="15"/>
      <c r="AQ16" s="15"/>
      <c r="AR16" s="38"/>
      <c r="AS16" s="182"/>
      <c r="AT16" s="182"/>
      <c r="AU16" s="15"/>
      <c r="AV16" s="15"/>
      <c r="AW16" s="15"/>
      <c r="AX16" s="15"/>
      <c r="AY16" s="15"/>
      <c r="AZ16" s="15"/>
      <c r="BA16" s="15"/>
      <c r="BB16" s="15"/>
      <c r="BC16" s="15"/>
      <c r="BD16" s="15"/>
      <c r="BE16" s="16"/>
      <c r="BF16" s="16"/>
      <c r="BG16" s="16"/>
      <c r="BH16" s="16"/>
      <c r="BI16" s="51"/>
      <c r="BJ16" s="16"/>
    </row>
    <row r="17" spans="1:62" ht="15">
      <c r="B17" s="48"/>
      <c r="C17" s="33"/>
      <c r="D17" s="31"/>
      <c r="E17" s="31"/>
      <c r="F17" s="31"/>
      <c r="G17" s="31"/>
      <c r="H17" s="31"/>
      <c r="I17" s="31"/>
      <c r="J17" s="31"/>
      <c r="K17" s="31"/>
      <c r="L17" s="31"/>
      <c r="M17" s="31"/>
      <c r="N17" s="31"/>
      <c r="O17" s="36"/>
      <c r="P17" s="31"/>
      <c r="Q17" s="31"/>
      <c r="V17" s="31"/>
      <c r="W17" s="31"/>
      <c r="X17" s="15"/>
      <c r="Y17" s="15"/>
      <c r="Z17" s="15"/>
      <c r="AA17" s="15"/>
      <c r="AB17" s="15"/>
      <c r="AC17" s="15"/>
      <c r="AD17" s="15"/>
      <c r="AE17" s="15"/>
      <c r="AF17" s="15"/>
      <c r="AJ17" s="15"/>
      <c r="AK17" s="15"/>
      <c r="AL17" s="15"/>
      <c r="AM17" s="15"/>
      <c r="AN17" s="15"/>
      <c r="AO17" s="15"/>
      <c r="AP17" s="15"/>
      <c r="AQ17" s="15"/>
      <c r="AR17" s="15"/>
      <c r="AS17" s="15"/>
      <c r="AT17" s="15"/>
      <c r="AU17" s="15"/>
      <c r="AV17" s="15"/>
      <c r="AW17" s="15"/>
      <c r="AX17" s="15"/>
      <c r="AY17" s="15"/>
      <c r="AZ17" s="15"/>
      <c r="BA17" s="15"/>
      <c r="BB17" s="15"/>
      <c r="BC17" s="15"/>
      <c r="BD17" s="15"/>
      <c r="BE17" s="16"/>
      <c r="BF17" s="16"/>
      <c r="BG17" s="16"/>
      <c r="BH17" s="16"/>
      <c r="BI17" s="51"/>
      <c r="BJ17" s="16"/>
    </row>
    <row r="18" spans="1:62" ht="15.75">
      <c r="A18" s="971" t="b">
        <f>'Evaluation-Bewertung'!A18</f>
        <v>0</v>
      </c>
      <c r="B18" s="48"/>
      <c r="C18" s="655" t="s">
        <v>98</v>
      </c>
      <c r="D18" s="655" t="str">
        <f>'Questions - Fragen'!C37</f>
        <v>Implementation of the product and process development</v>
      </c>
      <c r="E18" s="656"/>
      <c r="F18" s="656"/>
      <c r="G18" s="656"/>
      <c r="H18" s="656"/>
      <c r="I18" s="656"/>
      <c r="J18" s="656"/>
      <c r="K18" s="656"/>
      <c r="L18" s="656"/>
      <c r="M18" s="656"/>
      <c r="N18" s="656"/>
      <c r="O18" s="657"/>
      <c r="P18" s="656"/>
      <c r="Q18" s="656"/>
      <c r="R18" s="660"/>
      <c r="S18" s="660"/>
      <c r="T18" s="660"/>
      <c r="U18" s="660"/>
      <c r="V18" s="656"/>
      <c r="W18" s="656"/>
      <c r="X18" s="661"/>
      <c r="Y18" s="661"/>
      <c r="Z18" s="661"/>
      <c r="AA18" s="661"/>
      <c r="AB18" s="661"/>
      <c r="AC18" s="661"/>
      <c r="AD18" s="661"/>
      <c r="AE18" s="661"/>
      <c r="AF18" s="661"/>
      <c r="AG18" s="660"/>
      <c r="AH18" s="660"/>
      <c r="AI18" s="660"/>
      <c r="AJ18" s="661"/>
      <c r="AK18" s="661"/>
      <c r="AL18" s="661"/>
      <c r="AM18" s="661"/>
      <c r="AN18" s="661"/>
      <c r="AO18" s="661"/>
      <c r="AP18" s="661"/>
      <c r="AQ18" s="661"/>
      <c r="AR18" s="661"/>
      <c r="AS18" s="661"/>
      <c r="AT18" s="661"/>
      <c r="AU18" s="661"/>
      <c r="AV18" s="661"/>
      <c r="AW18" s="661"/>
      <c r="AX18" s="661"/>
      <c r="AY18" s="661"/>
      <c r="AZ18" s="661"/>
      <c r="BA18" s="661"/>
      <c r="BB18" s="661"/>
      <c r="BC18" s="661"/>
      <c r="BD18" s="661"/>
      <c r="BE18" s="661"/>
      <c r="BF18" s="661"/>
      <c r="BG18" s="661"/>
      <c r="BH18" s="661"/>
      <c r="BI18" s="662"/>
      <c r="BJ18" s="16"/>
    </row>
    <row r="19" spans="1:62" ht="6.75" customHeight="1">
      <c r="B19" s="48"/>
      <c r="C19" s="36"/>
      <c r="D19" s="36"/>
      <c r="E19" s="31"/>
      <c r="F19" s="31"/>
      <c r="G19" s="31"/>
      <c r="H19" s="31"/>
      <c r="I19" s="31"/>
      <c r="J19" s="31"/>
      <c r="K19" s="31"/>
      <c r="L19" s="31"/>
      <c r="M19" s="31"/>
      <c r="N19" s="31"/>
      <c r="O19" s="36"/>
      <c r="P19" s="31"/>
      <c r="Q19" s="31"/>
      <c r="V19" s="31"/>
      <c r="W19" s="31"/>
      <c r="X19" s="15"/>
      <c r="Y19" s="15"/>
      <c r="Z19" s="15"/>
      <c r="AA19" s="15"/>
      <c r="AB19" s="15"/>
      <c r="AC19" s="15"/>
      <c r="AD19" s="15"/>
      <c r="AE19" s="15"/>
      <c r="AF19" s="15"/>
      <c r="AJ19" s="15"/>
      <c r="AK19" s="15"/>
      <c r="AL19" s="15"/>
      <c r="AM19" s="15"/>
      <c r="AN19" s="15"/>
      <c r="AO19" s="15"/>
      <c r="AP19" s="15"/>
      <c r="AQ19" s="15"/>
      <c r="AR19" s="15"/>
      <c r="AS19" s="15"/>
      <c r="AT19" s="15"/>
      <c r="AU19" s="15"/>
      <c r="AV19" s="15"/>
      <c r="AW19" s="15"/>
      <c r="AX19" s="15"/>
      <c r="AY19" s="15"/>
      <c r="AZ19" s="15"/>
      <c r="BA19" s="15"/>
      <c r="BB19" s="15"/>
      <c r="BC19" s="15"/>
      <c r="BD19" s="15"/>
      <c r="BE19" s="16"/>
      <c r="BF19" s="16"/>
      <c r="BG19" s="16"/>
      <c r="BH19" s="16"/>
      <c r="BI19" s="51"/>
      <c r="BJ19" s="16"/>
    </row>
    <row r="20" spans="1:62" ht="14.1" customHeight="1">
      <c r="B20" s="48"/>
      <c r="C20" s="36"/>
      <c r="D20" s="180" t="str">
        <f>'Evaluation-Bewertung'!D20</f>
        <v>Product</v>
      </c>
      <c r="E20" s="31"/>
      <c r="F20" s="31"/>
      <c r="G20" s="31"/>
      <c r="H20" s="31"/>
      <c r="I20" s="31"/>
      <c r="J20" s="31"/>
      <c r="L20" s="31"/>
      <c r="M20" s="31"/>
      <c r="N20" s="31"/>
      <c r="O20" s="38"/>
      <c r="P20" s="188"/>
      <c r="Q20" s="180" t="str">
        <f>'Evaluation-Bewertung'!Q20</f>
        <v>Process</v>
      </c>
      <c r="R20" s="31"/>
      <c r="T20" s="15"/>
      <c r="U20" s="15"/>
      <c r="V20" s="15"/>
      <c r="W20" s="15"/>
      <c r="X20" s="15"/>
      <c r="Y20" s="15"/>
      <c r="Z20" s="15"/>
      <c r="AA20" s="15"/>
      <c r="AB20" s="15"/>
      <c r="AK20" s="38"/>
      <c r="AL20" s="15"/>
      <c r="AM20" s="15"/>
      <c r="AN20" s="15"/>
      <c r="AO20" s="15"/>
      <c r="AP20" s="15"/>
      <c r="AQ20" s="15"/>
      <c r="AR20" s="15"/>
      <c r="AS20" s="15"/>
      <c r="AT20" s="15"/>
      <c r="AU20" s="15"/>
      <c r="AV20" s="15"/>
      <c r="AW20" s="15"/>
      <c r="AX20" s="15"/>
      <c r="AY20" s="15"/>
      <c r="AZ20" s="15"/>
      <c r="BA20" s="15"/>
      <c r="BB20" s="15"/>
      <c r="BC20" s="15"/>
      <c r="BD20" s="15"/>
      <c r="BE20" s="16"/>
      <c r="BF20" s="16"/>
      <c r="BG20" s="16"/>
      <c r="BH20" s="16"/>
      <c r="BI20" s="51"/>
      <c r="BJ20" s="16"/>
    </row>
    <row r="21" spans="1:62" ht="15" thickBot="1">
      <c r="A21" s="241" t="s">
        <v>227</v>
      </c>
      <c r="B21" s="48"/>
      <c r="C21" s="33"/>
      <c r="D21" s="628" t="s">
        <v>207</v>
      </c>
      <c r="E21" s="390" t="s">
        <v>137</v>
      </c>
      <c r="F21" s="390" t="s">
        <v>138</v>
      </c>
      <c r="G21" s="628" t="s">
        <v>208</v>
      </c>
      <c r="H21" s="390" t="s">
        <v>140</v>
      </c>
      <c r="I21" s="390" t="s">
        <v>141</v>
      </c>
      <c r="J21" s="390" t="s">
        <v>142</v>
      </c>
      <c r="K21" s="628" t="s">
        <v>434</v>
      </c>
      <c r="L21" s="643" t="str">
        <f>'Evaluation-Bewertung'!L21</f>
        <v>n.e.</v>
      </c>
      <c r="M21" s="643" t="str">
        <f>'Evaluation-Bewertung'!M21</f>
        <v>Act.</v>
      </c>
      <c r="N21" s="643" t="str">
        <f>'Evaluation-Bewertung'!N21</f>
        <v>Target</v>
      </c>
      <c r="O21" s="751" t="str">
        <f>'Evaluation-Bewertung'!O21</f>
        <v>Max.</v>
      </c>
      <c r="P21" s="759" t="str">
        <f>'Evaluation-Bewertung'!P21</f>
        <v>Act.</v>
      </c>
      <c r="Q21" s="628" t="s">
        <v>207</v>
      </c>
      <c r="R21" s="390" t="s">
        <v>137</v>
      </c>
      <c r="S21" s="390" t="s">
        <v>138</v>
      </c>
      <c r="T21" s="628" t="s">
        <v>208</v>
      </c>
      <c r="U21" s="390" t="s">
        <v>140</v>
      </c>
      <c r="V21" s="390" t="s">
        <v>141</v>
      </c>
      <c r="W21" s="390" t="s">
        <v>142</v>
      </c>
      <c r="X21" s="628" t="s">
        <v>434</v>
      </c>
      <c r="Y21" s="643" t="str">
        <f>'Evaluation-Bewertung'!Y21</f>
        <v>n.e.</v>
      </c>
      <c r="Z21" s="643" t="str">
        <f>'Evaluation-Bewertung'!Z21</f>
        <v>Act.</v>
      </c>
      <c r="AA21" s="643" t="str">
        <f>'Evaluation-Bewertung'!AA21</f>
        <v>Target</v>
      </c>
      <c r="AB21" s="751" t="str">
        <f>'Evaluation-Bewertung'!AB21</f>
        <v>Max.</v>
      </c>
      <c r="AC21" s="759" t="str">
        <f>'Evaluation-Bewertung'!AC21</f>
        <v>Act.</v>
      </c>
      <c r="AD21" s="628" t="s">
        <v>207</v>
      </c>
      <c r="AE21" s="390" t="s">
        <v>137</v>
      </c>
      <c r="AF21" s="390" t="s">
        <v>138</v>
      </c>
      <c r="AG21" s="628" t="s">
        <v>208</v>
      </c>
      <c r="AH21" s="390" t="s">
        <v>140</v>
      </c>
      <c r="AI21" s="390" t="s">
        <v>141</v>
      </c>
      <c r="AJ21" s="390" t="s">
        <v>142</v>
      </c>
      <c r="AK21" s="628" t="s">
        <v>434</v>
      </c>
      <c r="AL21" s="643" t="str">
        <f>'Evaluation-Bewertung'!AL21</f>
        <v>n.e.</v>
      </c>
      <c r="AM21" s="643" t="str">
        <f>'Evaluation-Bewertung'!AM21</f>
        <v>Act.</v>
      </c>
      <c r="AN21" s="643" t="str">
        <f>'Evaluation-Bewertung'!AN21</f>
        <v>Target</v>
      </c>
      <c r="AO21" s="643" t="str">
        <f>'Evaluation-Bewertung'!AO21</f>
        <v>Max.</v>
      </c>
      <c r="AP21" s="643" t="str">
        <f>'Evaluation-Bewertung'!AP21</f>
        <v>Act.</v>
      </c>
      <c r="AQ21" s="15"/>
      <c r="AR21" s="15"/>
      <c r="AS21" s="15"/>
      <c r="AT21" s="15"/>
      <c r="AU21" s="15"/>
      <c r="AV21" s="15"/>
      <c r="AW21" s="15"/>
      <c r="AX21" s="15"/>
      <c r="AY21" s="15"/>
      <c r="AZ21" s="15"/>
      <c r="BA21" s="15"/>
      <c r="BB21" s="15"/>
      <c r="BC21" s="15"/>
      <c r="BD21" s="15"/>
      <c r="BE21" s="16"/>
      <c r="BF21" s="16"/>
      <c r="BG21" s="16"/>
      <c r="BH21" s="16"/>
      <c r="BI21" s="51"/>
      <c r="BJ21" s="16"/>
    </row>
    <row r="22" spans="1:62" s="37" customFormat="1" ht="15" customHeight="1" thickBot="1">
      <c r="A22" s="243" t="str">
        <f>IF(COUNT(D22:K22)+COUNT(Q22:X22)=0,L21,IF(MIN(D22:K22,Q22:X22)=0,"B","A"))</f>
        <v>n.e.</v>
      </c>
      <c r="B22" s="50"/>
      <c r="C22" s="180"/>
      <c r="D22" s="633" t="str">
        <f>IF($A$18=FALSE,$L$21,IF(ISBLANK('Questions - Fragen'!$D40),"--",'Questions - Fragen'!$D40))</f>
        <v>n.e.</v>
      </c>
      <c r="E22" s="232" t="str">
        <f>IF($A$18=FALSE,$L$21,IF(ISBLANK('Questions - Fragen'!$D43),"--",'Questions - Fragen'!$D43))</f>
        <v>n.e.</v>
      </c>
      <c r="F22" s="232" t="str">
        <f>IF($A$18=FALSE,$L$21,IF(ISBLANK('Questions - Fragen'!$D46),"--",'Questions - Fragen'!$D46))</f>
        <v>n.e.</v>
      </c>
      <c r="G22" s="633" t="str">
        <f>IF($A$18=FALSE,$L$21,IF(ISBLANK('Questions - Fragen'!$D49),"--",'Questions - Fragen'!$D49))</f>
        <v>n.e.</v>
      </c>
      <c r="H22" s="232" t="str">
        <f>IF($A$18=FALSE,$L$21,IF(ISBLANK('Questions - Fragen'!$D52),"--",'Questions - Fragen'!$D52))</f>
        <v>n.e.</v>
      </c>
      <c r="I22" s="959" t="str">
        <f>L21</f>
        <v>n.e.</v>
      </c>
      <c r="J22" s="959" t="str">
        <f>L21</f>
        <v>n.e.</v>
      </c>
      <c r="K22" s="232" t="str">
        <f>IF($A$18=FALSE,$L$21,IF(ISBLANK('Questions - Fragen'!$D59),"--",'Questions - Fragen'!$D59))</f>
        <v>n.e.</v>
      </c>
      <c r="L22" s="753">
        <f>COUNTIF(D22:K22,"&gt;-")</f>
        <v>8</v>
      </c>
      <c r="M22" s="753">
        <f>COUNT(D22:K22)</f>
        <v>0</v>
      </c>
      <c r="N22" s="753">
        <v>4</v>
      </c>
      <c r="O22" s="754" t="str">
        <f>IF(AND($A18,M22&gt;=N22),M22*10,"--")</f>
        <v>--</v>
      </c>
      <c r="P22" s="760" t="str">
        <f>IF(AND($A18,M22&gt;=N22),SUM(D22:K22),"--")</f>
        <v>--</v>
      </c>
      <c r="Q22" s="1025" t="str">
        <f>IF($A$18=FALSE,$Y$21,IF(ISBLANK('Questions - Fragen'!$D41),"--",'Questions - Fragen'!$D41))</f>
        <v>n.e.</v>
      </c>
      <c r="R22" s="232" t="str">
        <f>IF($A$18=FALSE,$Y$21,IF(ISBLANK('Questions - Fragen'!$D44),"--",'Questions - Fragen'!$D44))</f>
        <v>n.e.</v>
      </c>
      <c r="S22" s="232" t="str">
        <f>IF($A$18=FALSE,$Y$21,IF(ISBLANK('Questions - Fragen'!$D47),"--",'Questions - Fragen'!$D47))</f>
        <v>n.e.</v>
      </c>
      <c r="T22" s="633" t="str">
        <f>IF($A$18=FALSE,$Y$21,IF(ISBLANK('Questions - Fragen'!$D50),"--",'Questions - Fragen'!$D50))</f>
        <v>n.e.</v>
      </c>
      <c r="U22" s="232" t="str">
        <f>IF($A$18=FALSE,$Y$21,IF(ISBLANK('Questions - Fragen'!$D53),"--",'Questions - Fragen'!$D53))</f>
        <v>n.e.</v>
      </c>
      <c r="V22" s="232" t="str">
        <f>IF($A$18=FALSE,$Y$21,IF(ISBLANK('Questions - Fragen'!$D55),"--",'Questions - Fragen'!$D55))</f>
        <v>n.e.</v>
      </c>
      <c r="W22" s="232" t="str">
        <f>IF($A$18=FALSE,$Y$21,IF(ISBLANK('Questions - Fragen'!$D57),"--",'Questions - Fragen'!$D57))</f>
        <v>n.e.</v>
      </c>
      <c r="X22" s="633" t="str">
        <f>IF($A$18=FALSE,$Y$21,IF(ISBLANK('Questions - Fragen'!$D60),"--",'Questions - Fragen'!$D60))</f>
        <v>n.e.</v>
      </c>
      <c r="Y22" s="753">
        <f>COUNTIF(Q22:X22,"&gt;-")</f>
        <v>8</v>
      </c>
      <c r="Z22" s="753">
        <f>COUNT(Q22:X22)</f>
        <v>0</v>
      </c>
      <c r="AA22" s="753">
        <v>6</v>
      </c>
      <c r="AB22" s="754" t="str">
        <f>IF(AND($A18,Z22&gt;=AA22),Z22*10,"--")</f>
        <v>--</v>
      </c>
      <c r="AC22" s="760" t="str">
        <f>IF(AND($A18,Z22&gt;=AA22),SUM(Q22:X22),"--")</f>
        <v>--</v>
      </c>
      <c r="AD22" s="1027" t="str">
        <f>IF(AND(D22=$L$21,Q22=$Y$21),$AL$21,IF(AND(D22="--",Q22="--"),"--",IF(COUNT(D22,Q22)&gt;0,ROUND(AVERAGE(D22,Q22),2),"/")))</f>
        <v>n.e.</v>
      </c>
      <c r="AE22" s="957" t="str">
        <f t="shared" ref="AE22:AK22" si="1">IF(AND(E22=$L$21,R22=$Y$21),$AL$21,IF(AND(E22="--",R22="--"),"--",IF(COUNT(E22,R22)&gt;0,ROUND(AVERAGE(E22,R22),2),"/")))</f>
        <v>n.e.</v>
      </c>
      <c r="AF22" s="957" t="str">
        <f t="shared" si="1"/>
        <v>n.e.</v>
      </c>
      <c r="AG22" s="958" t="str">
        <f t="shared" si="1"/>
        <v>n.e.</v>
      </c>
      <c r="AH22" s="957" t="str">
        <f t="shared" si="1"/>
        <v>n.e.</v>
      </c>
      <c r="AI22" s="957" t="str">
        <f t="shared" si="1"/>
        <v>n.e.</v>
      </c>
      <c r="AJ22" s="957" t="str">
        <f t="shared" si="1"/>
        <v>n.e.</v>
      </c>
      <c r="AK22" s="958" t="str">
        <f t="shared" si="1"/>
        <v>n.e.</v>
      </c>
      <c r="AL22" s="753">
        <f>COUNTIF(AD22:AK22,"&gt;-")</f>
        <v>8</v>
      </c>
      <c r="AM22" s="753">
        <f>COUNT(AD22:AK22)</f>
        <v>0</v>
      </c>
      <c r="AN22" s="753">
        <v>6</v>
      </c>
      <c r="AO22" s="753" t="str">
        <f>IF(AND($A18,AM22&gt;=AN22),AM22*10,"--")</f>
        <v>--</v>
      </c>
      <c r="AP22" s="753" t="str">
        <f>IF(AND($A18,AM22&gt;=AN22),SUM(AD22:AK22),"--")</f>
        <v>--</v>
      </c>
      <c r="AQ22" s="1518" t="s">
        <v>301</v>
      </c>
      <c r="AR22" s="1519"/>
      <c r="AS22" s="1471" t="str">
        <f>IF(AND(O24=L21,AB24=Y21),L21,ROUND(AP22/AO22,2))</f>
        <v>n.e.</v>
      </c>
      <c r="AT22" s="1472"/>
      <c r="AU22" s="16"/>
      <c r="AV22" s="184"/>
      <c r="AW22" s="184"/>
      <c r="AX22" s="184"/>
      <c r="AY22" s="184"/>
      <c r="AZ22" s="184"/>
      <c r="BA22" s="184"/>
      <c r="BB22" s="184"/>
      <c r="BC22" s="184"/>
      <c r="BD22" s="184"/>
      <c r="BE22" s="16"/>
      <c r="BF22" s="16"/>
      <c r="BG22" s="16"/>
      <c r="BH22" s="16"/>
      <c r="BI22" s="51"/>
      <c r="BJ22" s="16"/>
    </row>
    <row r="23" spans="1:62" s="667" customFormat="1" ht="15" customHeight="1" thickBot="1">
      <c r="A23" s="663"/>
      <c r="B23" s="664"/>
      <c r="C23" s="665"/>
      <c r="D23" s="960"/>
      <c r="E23" s="960"/>
      <c r="F23" s="960"/>
      <c r="G23" s="960"/>
      <c r="H23" s="960"/>
      <c r="I23" s="960"/>
      <c r="J23" s="960"/>
      <c r="K23" s="960"/>
      <c r="L23" s="676"/>
      <c r="M23" s="676"/>
      <c r="N23" s="676"/>
      <c r="O23" s="676"/>
      <c r="P23" s="1026"/>
      <c r="Q23" s="668"/>
      <c r="R23" s="669"/>
      <c r="S23" s="669"/>
      <c r="T23" s="670"/>
      <c r="U23" s="670"/>
      <c r="V23" s="960"/>
      <c r="W23" s="960"/>
      <c r="X23" s="960"/>
      <c r="Y23" s="960"/>
      <c r="Z23" s="960"/>
      <c r="AA23" s="960"/>
      <c r="AB23" s="960"/>
      <c r="AC23" s="1028"/>
      <c r="AD23" s="666"/>
      <c r="AE23" s="666"/>
      <c r="AF23" s="666"/>
      <c r="AG23" s="666"/>
      <c r="AK23" s="668"/>
      <c r="AL23" s="669"/>
      <c r="AM23" s="669"/>
      <c r="AN23" s="670"/>
      <c r="AO23" s="670"/>
      <c r="AP23" s="670"/>
      <c r="AQ23" s="671"/>
      <c r="AR23" s="671"/>
      <c r="AS23" s="669"/>
      <c r="AT23" s="669"/>
      <c r="AU23" s="672"/>
      <c r="AV23" s="673"/>
      <c r="AW23" s="673"/>
      <c r="AX23" s="673"/>
      <c r="AY23" s="673"/>
      <c r="AZ23" s="673"/>
      <c r="BA23" s="673"/>
      <c r="BB23" s="673"/>
      <c r="BC23" s="673"/>
      <c r="BD23" s="673"/>
      <c r="BE23" s="675"/>
      <c r="BF23" s="675"/>
      <c r="BG23" s="675"/>
      <c r="BH23" s="675"/>
      <c r="BI23" s="674"/>
      <c r="BJ23" s="675"/>
    </row>
    <row r="24" spans="1:62" s="667" customFormat="1" ht="15" customHeight="1" thickBot="1">
      <c r="A24" s="663"/>
      <c r="B24" s="664"/>
      <c r="C24" s="665"/>
      <c r="D24" s="960"/>
      <c r="E24" s="960"/>
      <c r="F24" s="960"/>
      <c r="G24" s="960"/>
      <c r="H24" s="960"/>
      <c r="I24" s="960"/>
      <c r="J24" s="960"/>
      <c r="K24" s="960"/>
      <c r="L24" s="676"/>
      <c r="M24" s="676"/>
      <c r="N24" s="183" t="s">
        <v>67</v>
      </c>
      <c r="O24" s="1471" t="str">
        <f>IF(AND(A18,M22&gt;=N22),ROUND(P22/O22,2),L21)</f>
        <v>n.e.</v>
      </c>
      <c r="P24" s="1472"/>
      <c r="Q24" s="668"/>
      <c r="R24" s="669"/>
      <c r="S24" s="669"/>
      <c r="T24" s="670"/>
      <c r="U24" s="670"/>
      <c r="V24" s="960"/>
      <c r="W24" s="960"/>
      <c r="X24" s="960"/>
      <c r="Y24" s="960"/>
      <c r="Z24" s="960"/>
      <c r="AA24" s="183" t="s">
        <v>68</v>
      </c>
      <c r="AB24" s="1471" t="str">
        <f>IF(AND(A18,Z22&gt;=AA22),ROUND(AC22/AB22,2),Y21)</f>
        <v>n.e.</v>
      </c>
      <c r="AC24" s="1472"/>
      <c r="AD24" s="666"/>
      <c r="AE24" s="666"/>
      <c r="AF24" s="666"/>
      <c r="AG24" s="666"/>
      <c r="AK24" s="668"/>
      <c r="AL24" s="669"/>
      <c r="AM24" s="669"/>
      <c r="AN24" s="670"/>
      <c r="AO24" s="670"/>
      <c r="AP24" s="670"/>
      <c r="AQ24" s="671"/>
      <c r="AR24" s="671"/>
      <c r="AS24" s="669"/>
      <c r="AT24" s="669"/>
      <c r="AU24" s="672"/>
      <c r="AV24" s="673"/>
      <c r="AW24" s="673"/>
      <c r="AX24" s="673"/>
      <c r="AY24" s="673"/>
      <c r="AZ24" s="673"/>
      <c r="BA24" s="673"/>
      <c r="BB24" s="673"/>
      <c r="BC24" s="673"/>
      <c r="BD24" s="673"/>
      <c r="BE24" s="675"/>
      <c r="BF24" s="675"/>
      <c r="BG24" s="675"/>
      <c r="BH24" s="675"/>
      <c r="BI24" s="674"/>
      <c r="BJ24" s="675"/>
    </row>
    <row r="25" spans="1:62" s="667" customFormat="1" ht="15" customHeight="1">
      <c r="A25" s="663"/>
      <c r="B25" s="664"/>
      <c r="C25" s="665"/>
      <c r="D25" s="960"/>
      <c r="E25" s="960"/>
      <c r="F25" s="960"/>
      <c r="G25" s="960"/>
      <c r="H25" s="960"/>
      <c r="I25" s="960"/>
      <c r="J25" s="960"/>
      <c r="K25" s="676"/>
      <c r="L25" s="676"/>
      <c r="M25" s="676"/>
      <c r="N25" s="676"/>
      <c r="O25" s="676"/>
      <c r="P25" s="670"/>
      <c r="Q25" s="668"/>
      <c r="R25" s="669"/>
      <c r="S25" s="669"/>
      <c r="T25" s="670"/>
      <c r="U25" s="670"/>
      <c r="V25" s="960"/>
      <c r="W25" s="960"/>
      <c r="X25" s="960"/>
      <c r="Y25" s="960"/>
      <c r="Z25" s="960"/>
      <c r="AA25" s="960"/>
      <c r="AB25" s="960"/>
      <c r="AC25" s="676"/>
      <c r="AD25" s="666"/>
      <c r="AE25" s="666"/>
      <c r="AF25" s="666"/>
      <c r="AG25" s="666"/>
      <c r="AJ25" s="668"/>
      <c r="AK25" s="669"/>
      <c r="AL25" s="669"/>
      <c r="AM25" s="670"/>
      <c r="AN25" s="670"/>
      <c r="AO25" s="670"/>
      <c r="AP25" s="670"/>
      <c r="AQ25" s="671"/>
      <c r="AR25" s="671"/>
      <c r="AS25" s="669"/>
      <c r="AT25" s="669"/>
      <c r="AU25" s="672"/>
      <c r="AV25" s="673"/>
      <c r="AW25" s="673"/>
      <c r="AX25" s="673"/>
      <c r="AY25" s="673"/>
      <c r="AZ25" s="673"/>
      <c r="BA25" s="673"/>
      <c r="BB25" s="673"/>
      <c r="BC25" s="673"/>
      <c r="BD25" s="673"/>
      <c r="BE25" s="675"/>
      <c r="BF25" s="675"/>
      <c r="BG25" s="675"/>
      <c r="BH25" s="675"/>
      <c r="BI25" s="674"/>
      <c r="BJ25" s="675"/>
    </row>
    <row r="26" spans="1:62" ht="9.9499999999999993" customHeight="1">
      <c r="A26" s="634"/>
      <c r="B26" s="635"/>
      <c r="C26" s="276"/>
      <c r="D26" s="636"/>
      <c r="E26" s="637"/>
      <c r="F26" s="637"/>
      <c r="G26" s="637"/>
      <c r="H26" s="637"/>
      <c r="I26" s="637"/>
      <c r="J26" s="637"/>
      <c r="K26" s="638"/>
      <c r="L26" s="636"/>
      <c r="M26" s="637"/>
      <c r="N26" s="637"/>
      <c r="O26" s="639"/>
      <c r="P26" s="639"/>
      <c r="Q26" s="639"/>
      <c r="R26" s="639"/>
      <c r="S26" s="638"/>
      <c r="T26" s="638"/>
      <c r="U26" s="636"/>
      <c r="V26" s="638"/>
      <c r="W26" s="638"/>
      <c r="X26" s="638"/>
      <c r="Y26" s="638"/>
      <c r="Z26" s="638"/>
      <c r="AA26" s="638"/>
      <c r="AB26" s="638"/>
      <c r="AC26" s="638"/>
      <c r="AD26" s="640"/>
      <c r="AE26" s="640"/>
      <c r="AF26" s="640"/>
      <c r="AG26" s="640"/>
      <c r="AH26" s="640"/>
      <c r="AI26" s="640"/>
      <c r="AJ26" s="640"/>
      <c r="AK26" s="640"/>
      <c r="AL26" s="640"/>
      <c r="AM26" s="640"/>
      <c r="AN26" s="640"/>
      <c r="AO26" s="640"/>
      <c r="AP26" s="640"/>
      <c r="AQ26" s="640"/>
      <c r="AR26" s="640"/>
      <c r="AS26" s="641"/>
      <c r="AT26" s="640"/>
      <c r="AU26" s="640"/>
      <c r="AV26" s="640"/>
      <c r="AW26" s="640"/>
      <c r="AX26" s="640"/>
      <c r="AY26" s="640"/>
      <c r="AZ26" s="640"/>
      <c r="BA26" s="640"/>
      <c r="BB26" s="640"/>
      <c r="BC26" s="640"/>
      <c r="BD26" s="640"/>
      <c r="BE26" s="640"/>
      <c r="BF26" s="640"/>
      <c r="BG26" s="640"/>
      <c r="BH26" s="640"/>
      <c r="BI26" s="642"/>
      <c r="BJ26" s="16"/>
    </row>
    <row r="27" spans="1:62" ht="18">
      <c r="A27" s="970" t="b">
        <f>'Evaluation-Bewertung'!A27</f>
        <v>0</v>
      </c>
      <c r="B27" s="48"/>
      <c r="C27" s="223" t="s">
        <v>17</v>
      </c>
      <c r="D27" s="31"/>
      <c r="E27" s="172" t="str">
        <f>'Evaluation-Bewertung'!E27</f>
        <v>Series production</v>
      </c>
      <c r="F27" s="31"/>
      <c r="G27" s="31"/>
      <c r="H27" s="31"/>
      <c r="I27" s="31"/>
      <c r="J27" s="31"/>
      <c r="K27" s="31"/>
      <c r="L27" s="31"/>
      <c r="M27" s="31"/>
      <c r="N27" s="31"/>
      <c r="O27" s="36"/>
      <c r="P27" s="31"/>
      <c r="Q27" s="31"/>
      <c r="R27" s="31"/>
      <c r="S27" s="31"/>
      <c r="T27" s="31"/>
      <c r="U27" s="31"/>
      <c r="V27" s="15"/>
      <c r="W27" s="15"/>
      <c r="X27" s="15"/>
      <c r="Y27" s="15"/>
      <c r="Z27" s="15"/>
      <c r="AA27" s="15"/>
      <c r="AB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6"/>
      <c r="BF27" s="16"/>
      <c r="BG27" s="16"/>
      <c r="BH27" s="16"/>
      <c r="BI27" s="51"/>
      <c r="BJ27" s="16"/>
    </row>
    <row r="28" spans="1:62" ht="15" thickBot="1">
      <c r="A28" s="241" t="s">
        <v>228</v>
      </c>
      <c r="B28" s="48"/>
      <c r="C28" s="33"/>
      <c r="D28" s="31"/>
      <c r="E28" s="31"/>
      <c r="F28" s="31"/>
      <c r="G28" s="31"/>
      <c r="H28" s="31"/>
      <c r="I28" s="31"/>
      <c r="J28" s="31"/>
      <c r="K28" s="31"/>
      <c r="L28" s="390" t="s">
        <v>63</v>
      </c>
      <c r="M28" s="390" t="s">
        <v>111</v>
      </c>
      <c r="N28" s="390" t="s">
        <v>112</v>
      </c>
      <c r="O28" s="628" t="s">
        <v>204</v>
      </c>
      <c r="P28" s="628" t="s">
        <v>216</v>
      </c>
      <c r="Q28" s="390" t="s">
        <v>115</v>
      </c>
      <c r="R28" s="390" t="s">
        <v>116</v>
      </c>
      <c r="S28" s="643" t="str">
        <f>$K$7</f>
        <v>n.e.</v>
      </c>
      <c r="T28" s="643" t="str">
        <f>$L$7</f>
        <v>Act.</v>
      </c>
      <c r="U28" s="643" t="str">
        <f>$M$7</f>
        <v>Target</v>
      </c>
      <c r="V28" s="643" t="s">
        <v>260</v>
      </c>
      <c r="W28" s="643" t="s">
        <v>202</v>
      </c>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16"/>
      <c r="BF28" s="16"/>
      <c r="BG28" s="16"/>
      <c r="BH28" s="16"/>
      <c r="BI28" s="49"/>
      <c r="BJ28" s="34"/>
    </row>
    <row r="29" spans="1:62" ht="16.5" thickBot="1">
      <c r="A29" s="243" t="str">
        <f>IF(COUNT(L29:R29)=0,S28,IF(MIN(L29:R29)=0,"B","A"))</f>
        <v>n.e.</v>
      </c>
      <c r="B29" s="48"/>
      <c r="C29" s="71" t="s">
        <v>99</v>
      </c>
      <c r="D29" s="72" t="str">
        <f>'Questions - Fragen'!C61</f>
        <v xml:space="preserve">Supplier Management </v>
      </c>
      <c r="E29" s="31"/>
      <c r="F29" s="31"/>
      <c r="G29" s="31"/>
      <c r="H29" s="31"/>
      <c r="I29" s="31"/>
      <c r="J29" s="31"/>
      <c r="K29" s="31"/>
      <c r="L29" s="232" t="str">
        <f>IF($A$27=FALSE,$S$28,IF(ISBLANK('Questions - Fragen'!$D62),"--",'Questions - Fragen'!$D62))</f>
        <v>n.e.</v>
      </c>
      <c r="M29" s="232" t="str">
        <f>IF($A$27=FALSE,$S$28,IF(ISBLANK('Questions - Fragen'!$D63),"--",'Questions - Fragen'!$D63))</f>
        <v>n.e.</v>
      </c>
      <c r="N29" s="232" t="str">
        <f>IF($A$27=FALSE,$S$28,IF(ISBLANK('Questions - Fragen'!$D64),"--",'Questions - Fragen'!$D64))</f>
        <v>n.e.</v>
      </c>
      <c r="O29" s="633" t="str">
        <f>IF($A$27=FALSE,$S$28,IF(ISBLANK('Questions - Fragen'!$D65),"--",'Questions - Fragen'!$D65))</f>
        <v>n.e.</v>
      </c>
      <c r="P29" s="633" t="str">
        <f>IF($A$27=FALSE,$S$28,IF(ISBLANK('Questions - Fragen'!$D66),"--",'Questions - Fragen'!$D66))</f>
        <v>n.e.</v>
      </c>
      <c r="Q29" s="232" t="str">
        <f>IF($A$27=FALSE,$S$28,IF(ISBLANK('Questions - Fragen'!$D67),"--",'Questions - Fragen'!$D67))</f>
        <v>n.e.</v>
      </c>
      <c r="R29" s="232" t="str">
        <f>IF($A$27=FALSE,$S$28,IF(ISBLANK('Questions - Fragen'!$D68),"--",'Questions - Fragen'!$D68))</f>
        <v>n.e.</v>
      </c>
      <c r="S29" s="753">
        <f>COUNTIF(L29:R29,"&gt;-")</f>
        <v>7</v>
      </c>
      <c r="T29" s="753">
        <f>COUNT(L29:R29)</f>
        <v>0</v>
      </c>
      <c r="U29" s="753">
        <v>5</v>
      </c>
      <c r="V29" s="753" t="str">
        <f>IF(AND($A27,T29&gt;=U29),T29*10,"--")</f>
        <v>--</v>
      </c>
      <c r="W29" s="753" t="str">
        <f>IF(AND($A27,T29&gt;=U29),SUM(L29:R29),"--")</f>
        <v>--</v>
      </c>
      <c r="X29" s="31"/>
      <c r="Y29" s="31"/>
      <c r="Z29" s="31"/>
      <c r="AA29" s="31"/>
      <c r="AB29" s="31"/>
      <c r="AC29" s="31"/>
      <c r="AD29" s="31"/>
      <c r="AE29" s="31"/>
      <c r="AF29" s="31"/>
      <c r="AG29" s="31"/>
      <c r="AH29" s="31"/>
      <c r="AI29" s="31"/>
      <c r="AJ29" s="31"/>
      <c r="AK29" s="31"/>
      <c r="AL29" s="31"/>
      <c r="AM29" s="31"/>
      <c r="AN29" s="31"/>
      <c r="AO29" s="31"/>
      <c r="AP29" s="31"/>
      <c r="AQ29" s="1518" t="s">
        <v>302</v>
      </c>
      <c r="AR29" s="1519"/>
      <c r="AS29" s="1515" t="str">
        <f>IF(AND(A27,T29&gt;=U29),ROUND(W29/V29,2),S28)</f>
        <v>n.e.</v>
      </c>
      <c r="AT29" s="1516"/>
      <c r="AU29" s="16"/>
      <c r="AV29" s="184"/>
      <c r="AW29" s="184"/>
      <c r="AX29" s="184"/>
      <c r="AY29" s="184"/>
      <c r="AZ29" s="184"/>
      <c r="BA29" s="184"/>
      <c r="BB29" s="184"/>
      <c r="BC29" s="184"/>
      <c r="BD29" s="184"/>
      <c r="BE29" s="16"/>
      <c r="BF29" s="16"/>
      <c r="BG29" s="16"/>
      <c r="BH29" s="16"/>
      <c r="BI29" s="49"/>
      <c r="BJ29" s="34"/>
    </row>
    <row r="30" spans="1:62" ht="15">
      <c r="B30" s="48"/>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6"/>
      <c r="AJ30" s="36"/>
      <c r="AK30" s="36"/>
      <c r="AL30" s="36"/>
      <c r="AM30" s="31"/>
      <c r="AN30" s="31"/>
      <c r="AO30" s="31"/>
      <c r="AP30" s="31"/>
      <c r="AQ30" s="495"/>
      <c r="AR30" s="494"/>
      <c r="AS30" s="256"/>
      <c r="AT30" s="495"/>
      <c r="AU30" s="495"/>
      <c r="AV30" s="495"/>
      <c r="AW30" s="495"/>
      <c r="AX30" s="495"/>
      <c r="AY30" s="495"/>
      <c r="AZ30" s="495"/>
      <c r="BA30" s="495"/>
      <c r="BB30" s="495"/>
      <c r="BC30" s="495"/>
      <c r="BD30" s="495"/>
      <c r="BE30" s="16"/>
      <c r="BF30" s="16"/>
      <c r="BG30" s="16"/>
      <c r="BH30" s="16"/>
      <c r="BI30" s="52"/>
      <c r="BJ30" s="495"/>
    </row>
    <row r="31" spans="1:62" ht="15.75">
      <c r="A31" s="970" t="b">
        <f>'Evaluation-Bewertung'!A31</f>
        <v>1</v>
      </c>
      <c r="B31" s="48"/>
      <c r="C31" s="71" t="s">
        <v>100</v>
      </c>
      <c r="D31" s="72" t="str">
        <f>'Questions - Fragen'!C69</f>
        <v xml:space="preserve">Process analysis /
production </v>
      </c>
      <c r="E31" s="36"/>
      <c r="F31" s="36"/>
      <c r="G31" s="36"/>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166"/>
      <c r="AR31" s="15"/>
      <c r="AS31" s="36"/>
      <c r="AT31" s="36"/>
      <c r="AU31" s="36"/>
      <c r="AV31" s="36"/>
      <c r="AW31" s="36"/>
      <c r="AX31" s="36"/>
      <c r="AY31" s="36"/>
      <c r="AZ31" s="36"/>
      <c r="BA31" s="36"/>
      <c r="BB31" s="36"/>
      <c r="BC31" s="36"/>
      <c r="BD31" s="36"/>
      <c r="BE31" s="16"/>
      <c r="BF31" s="16"/>
      <c r="BG31" s="16"/>
      <c r="BH31" s="16"/>
      <c r="BI31" s="188"/>
      <c r="BJ31" s="36"/>
    </row>
    <row r="32" spans="1:62" ht="15">
      <c r="B32" s="48"/>
      <c r="C32" s="33"/>
      <c r="D32" s="31"/>
      <c r="E32" s="31"/>
      <c r="F32" s="31"/>
      <c r="G32" s="31"/>
      <c r="H32" s="31"/>
      <c r="I32" s="31"/>
      <c r="J32" s="31"/>
      <c r="K32" s="31"/>
      <c r="L32" s="31"/>
      <c r="M32" s="31"/>
      <c r="N32" s="31"/>
      <c r="O32" s="36"/>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16"/>
      <c r="BF32" s="16"/>
      <c r="BG32" s="16"/>
      <c r="BH32" s="16"/>
      <c r="BI32" s="49"/>
      <c r="BJ32" s="34"/>
    </row>
    <row r="33" spans="1:62" ht="30" customHeight="1">
      <c r="B33" s="48"/>
      <c r="C33" s="15"/>
      <c r="D33" s="40" t="str">
        <f>'Evaluation-Bewertung'!D33</f>
        <v>1. Process input</v>
      </c>
      <c r="E33" s="189"/>
      <c r="F33" s="189"/>
      <c r="G33" s="189"/>
      <c r="H33" s="189"/>
      <c r="I33" s="15"/>
      <c r="J33" s="1501" t="str">
        <f>'Evaluation-Bewertung'!J33</f>
        <v>2. Process Management</v>
      </c>
      <c r="K33" s="1501" t="e">
        <f>'Evaluation-Bewertung'!K33</f>
        <v>#N/A</v>
      </c>
      <c r="L33" s="1501" t="e">
        <f>'Evaluation-Bewertung'!L33</f>
        <v>#N/A</v>
      </c>
      <c r="M33" s="1501" t="e">
        <f>'Evaluation-Bewertung'!M33</f>
        <v>#N/A</v>
      </c>
      <c r="N33" s="1501" t="e">
        <f>'Evaluation-Bewertung'!N33</f>
        <v>#N/A</v>
      </c>
      <c r="O33" s="1501" t="e">
        <f>'Evaluation-Bewertung'!O33</f>
        <v>#N/A</v>
      </c>
      <c r="P33" s="1501" t="str">
        <f>'Evaluation-Bewertung'!P33</f>
        <v>3. Process support</v>
      </c>
      <c r="Q33" s="1501" t="e">
        <f>'Evaluation-Bewertung'!Q33</f>
        <v>#N/A</v>
      </c>
      <c r="R33" s="1501" t="e">
        <f>'Evaluation-Bewertung'!R33</f>
        <v>#N/A</v>
      </c>
      <c r="S33" s="189"/>
      <c r="T33" s="1502" t="str">
        <f>'Evaluation-Bewertung'!T33</f>
        <v>4. Material resources</v>
      </c>
      <c r="U33" s="1502" t="e">
        <f>'Evaluation-Bewertung'!U33</f>
        <v>#N/A</v>
      </c>
      <c r="V33" s="1502" t="e">
        <f>'Evaluation-Bewertung'!V33</f>
        <v>#N/A</v>
      </c>
      <c r="W33" s="1502" t="e">
        <f>'Evaluation-Bewertung'!W33</f>
        <v>#N/A</v>
      </c>
      <c r="X33" s="1502" t="e">
        <f>'Evaluation-Bewertung'!X33</f>
        <v>#N/A</v>
      </c>
      <c r="Z33" s="1502" t="str">
        <f>'Evaluation-Bewertung'!Z33</f>
        <v>5. Effectiveness of the process</v>
      </c>
      <c r="AA33" s="1502" t="e">
        <f>'Evaluation-Bewertung'!AA33</f>
        <v>#N/A</v>
      </c>
      <c r="AB33" s="1502" t="e">
        <f>'Evaluation-Bewertung'!AB33</f>
        <v>#N/A</v>
      </c>
      <c r="AC33" s="1502" t="e">
        <f>'Evaluation-Bewertung'!AC33</f>
        <v>#N/A</v>
      </c>
      <c r="AD33" s="189"/>
      <c r="AE33" s="1502" t="str">
        <f>'Evaluation-Bewertung'!AE33</f>
        <v>6. Process result / Output</v>
      </c>
      <c r="AF33" s="1502" t="e">
        <f>'Evaluation-Bewertung'!AF33</f>
        <v>#N/A</v>
      </c>
      <c r="AG33" s="1502" t="e">
        <f>'Evaluation-Bewertung'!AG33</f>
        <v>#N/A</v>
      </c>
      <c r="AH33" s="1502" t="e">
        <f>'Evaluation-Bewertung'!AH33</f>
        <v>#N/A</v>
      </c>
      <c r="AI33" s="189"/>
      <c r="AJ33" s="189"/>
      <c r="AK33" s="189"/>
      <c r="AL33" s="189"/>
      <c r="AM33" s="15"/>
      <c r="AN33" s="15"/>
      <c r="AO33" s="15"/>
      <c r="AP33" s="15"/>
      <c r="AQ33" s="1586" t="str">
        <f>'Evaluation-Bewertung'!AQ33</f>
        <v>Level of compliance process step</v>
      </c>
      <c r="AR33" s="1586" t="e">
        <f>'Evaluation-Bewertung'!AR33</f>
        <v>#N/A</v>
      </c>
      <c r="AS33" s="1586" t="e">
        <f>'Evaluation-Bewertung'!AS33</f>
        <v>#N/A</v>
      </c>
      <c r="AT33" s="1586" t="e">
        <f>'Evaluation-Bewertung'!AT33</f>
        <v>#N/A</v>
      </c>
      <c r="AU33" s="189"/>
      <c r="AX33" s="190" t="str">
        <f>'Evaluation-Bewertung'!AX33</f>
        <v>7. Transport and handling of parts</v>
      </c>
      <c r="AY33" s="189"/>
      <c r="AZ33" s="189"/>
      <c r="BA33" s="189"/>
      <c r="BB33" s="189"/>
      <c r="BC33" s="189"/>
      <c r="BD33" s="189"/>
      <c r="BE33" s="189"/>
      <c r="BF33" s="16"/>
      <c r="BG33" s="16"/>
      <c r="BH33" s="16"/>
      <c r="BI33" s="191"/>
      <c r="BJ33" s="41"/>
    </row>
    <row r="34" spans="1:62">
      <c r="B34" s="48"/>
      <c r="C34" s="29"/>
      <c r="D34" s="339" t="s">
        <v>117</v>
      </c>
      <c r="E34" s="340" t="s">
        <v>48</v>
      </c>
      <c r="F34" s="339" t="s">
        <v>34</v>
      </c>
      <c r="G34" s="339" t="s">
        <v>35</v>
      </c>
      <c r="H34" s="629" t="s">
        <v>209</v>
      </c>
      <c r="I34" s="341"/>
      <c r="J34" s="339" t="s">
        <v>119</v>
      </c>
      <c r="K34" s="340" t="s">
        <v>0</v>
      </c>
      <c r="L34" s="629" t="s">
        <v>57</v>
      </c>
      <c r="M34" s="629" t="s">
        <v>58</v>
      </c>
      <c r="N34" s="339" t="s">
        <v>37</v>
      </c>
      <c r="O34" s="16"/>
      <c r="P34" s="629" t="s">
        <v>304</v>
      </c>
      <c r="Q34" s="339" t="s">
        <v>4</v>
      </c>
      <c r="R34" s="339" t="s">
        <v>39</v>
      </c>
      <c r="S34" s="340"/>
      <c r="T34" s="629" t="s">
        <v>211</v>
      </c>
      <c r="U34" s="339" t="s">
        <v>121</v>
      </c>
      <c r="V34" s="629" t="s">
        <v>212</v>
      </c>
      <c r="W34" s="339" t="s">
        <v>42</v>
      </c>
      <c r="X34" s="339" t="s">
        <v>213</v>
      </c>
      <c r="Z34" s="339" t="s">
        <v>43</v>
      </c>
      <c r="AA34" s="339" t="s">
        <v>44</v>
      </c>
      <c r="AB34" s="629" t="s">
        <v>436</v>
      </c>
      <c r="AC34" s="339" t="s">
        <v>124</v>
      </c>
      <c r="AD34" s="341"/>
      <c r="AE34" s="339" t="s">
        <v>126</v>
      </c>
      <c r="AF34" s="339" t="s">
        <v>45</v>
      </c>
      <c r="AG34" s="339" t="s">
        <v>46</v>
      </c>
      <c r="AH34" s="629" t="s">
        <v>214</v>
      </c>
      <c r="AI34" s="342"/>
      <c r="AJ34" s="342"/>
      <c r="AK34" s="342"/>
      <c r="AL34" s="342"/>
      <c r="AM34" s="342"/>
      <c r="AN34" s="342"/>
      <c r="AO34" s="342"/>
      <c r="AP34" s="342"/>
      <c r="AQ34" s="342"/>
      <c r="AR34" s="343"/>
      <c r="AS34" s="344"/>
      <c r="AT34" s="345"/>
      <c r="AU34" s="345"/>
      <c r="AX34" s="346" t="s">
        <v>48</v>
      </c>
      <c r="AY34" s="345" t="s">
        <v>34</v>
      </c>
      <c r="AZ34" s="345" t="s">
        <v>35</v>
      </c>
      <c r="BA34" s="345" t="s">
        <v>2</v>
      </c>
      <c r="BB34" s="345" t="s">
        <v>37</v>
      </c>
      <c r="BC34" s="345" t="s">
        <v>126</v>
      </c>
      <c r="BD34" s="345" t="s">
        <v>45</v>
      </c>
      <c r="BE34" s="345" t="s">
        <v>46</v>
      </c>
      <c r="BF34" s="16"/>
      <c r="BG34" s="16"/>
      <c r="BH34" s="16"/>
      <c r="BI34" s="53"/>
      <c r="BJ34" s="42"/>
    </row>
    <row r="35" spans="1:62" ht="15.75" thickBot="1">
      <c r="B35" s="48"/>
      <c r="C35" s="193"/>
      <c r="D35" s="185" t="s">
        <v>60</v>
      </c>
      <c r="E35" s="185"/>
      <c r="F35" s="175"/>
      <c r="G35" s="175"/>
      <c r="H35" s="630"/>
      <c r="I35" s="185" t="str">
        <f>PrSchr1</f>
        <v>Stage 1: Moldshop Process</v>
      </c>
      <c r="K35" s="175"/>
      <c r="L35" s="631"/>
      <c r="M35" s="631"/>
      <c r="N35" s="175"/>
      <c r="O35" s="16"/>
      <c r="P35" s="631"/>
      <c r="Q35" s="175"/>
      <c r="R35" s="175"/>
      <c r="S35" s="175"/>
      <c r="T35" s="631"/>
      <c r="U35" s="175"/>
      <c r="V35" s="631"/>
      <c r="W35" s="175"/>
      <c r="X35" s="175"/>
      <c r="Z35" s="175"/>
      <c r="AA35" s="175"/>
      <c r="AB35" s="631"/>
      <c r="AC35" s="175"/>
      <c r="AD35" s="175"/>
      <c r="AE35" s="175"/>
      <c r="AF35" s="175"/>
      <c r="AG35" s="175"/>
      <c r="AH35" s="631"/>
      <c r="AI35" s="643" t="str">
        <f>$K$7</f>
        <v>n.e.</v>
      </c>
      <c r="AJ35" s="643" t="str">
        <f>$L$7</f>
        <v>Act.</v>
      </c>
      <c r="AK35" s="643" t="str">
        <f>$M$7</f>
        <v>Target</v>
      </c>
      <c r="AL35" s="643" t="str">
        <f>N7</f>
        <v>Max.</v>
      </c>
      <c r="AM35" s="643" t="str">
        <f>O7</f>
        <v>Act.</v>
      </c>
      <c r="AN35" s="643"/>
      <c r="AO35" s="643"/>
      <c r="AP35" s="643"/>
      <c r="AQ35" s="30"/>
      <c r="AR35" s="40" t="s">
        <v>69</v>
      </c>
      <c r="AS35" s="171"/>
      <c r="AT35" s="165"/>
      <c r="AU35" s="165"/>
      <c r="AX35" s="165"/>
      <c r="AY35" s="165"/>
      <c r="AZ35" s="627"/>
      <c r="BA35" s="627"/>
      <c r="BB35" s="627"/>
      <c r="BC35" s="627"/>
      <c r="BD35" s="627"/>
      <c r="BE35" s="627"/>
      <c r="BF35" s="16"/>
      <c r="BG35" s="16"/>
      <c r="BH35" s="16"/>
      <c r="BI35" s="51"/>
      <c r="BJ35" s="16"/>
    </row>
    <row r="36" spans="1:62" ht="15.75" thickBot="1">
      <c r="A36" s="243" t="str">
        <f>IF(COUNT(D36:AH36)=0,"n.b.",IF(MIN(D36:H36,J36:O36,P36:R36,T36:X36,Z36:AC36,AE36:AH36)=0,"B","A"))</f>
        <v>n.b.</v>
      </c>
      <c r="B36" s="48"/>
      <c r="C36" s="194" t="str">
        <f>IF(AND('Evaluation-Bewertung'!$C$36="X",'Input Form - EingabeMaske'!D54="x"),"X","&lt;&gt;")</f>
        <v>&lt;&gt;</v>
      </c>
      <c r="D36" s="232" t="str">
        <f>IF($A$31=FALSE,$AI$35,IF($C36="X",IF(ISBLANK('Questions - Fragen'!$D72),"--",'Questions - Fragen'!$D72),"xx"))</f>
        <v>xx</v>
      </c>
      <c r="E36" s="232" t="str">
        <f>IF($A$31=FALSE,$AI$35,IF($C36="X",IF(ISBLANK('Questions - Fragen'!$D83),"--",'Questions - Fragen'!$D83),"xx"))</f>
        <v>xx</v>
      </c>
      <c r="F36" s="232" t="str">
        <f>IF($A$31=FALSE,$AI$35,IF($C36="X",IF(ISBLANK('Questions - Fragen'!$D94),"--",'Questions - Fragen'!$D94),"xx"))</f>
        <v>xx</v>
      </c>
      <c r="G36" s="232" t="str">
        <f>IF($A$31=FALSE,$AI$35,IF($C36="X",IF(ISBLANK('Questions - Fragen'!$D105),"--",'Questions - Fragen'!$D105),"xx"))</f>
        <v>xx</v>
      </c>
      <c r="H36" s="633" t="str">
        <f>IF($A$31=FALSE,$AI$35,IF($C36="X",IF(ISBLANK('Questions - Fragen'!$D116),"--",'Questions - Fragen'!$D116),"xx"))</f>
        <v>xx</v>
      </c>
      <c r="I36" s="226"/>
      <c r="J36" s="232" t="str">
        <f>IF($A$31=FALSE,$AI$35,IF($C36="X",IF(ISBLANK('Questions - Fragen'!$D128),"--",'Questions - Fragen'!$D128),"xx"))</f>
        <v>xx</v>
      </c>
      <c r="K36" s="232" t="str">
        <f>IF($A$31=FALSE,$AI$35,IF($C36="X",IF(ISBLANK('Questions - Fragen'!$D139),"--",'Questions - Fragen'!$D139),"xx"))</f>
        <v>xx</v>
      </c>
      <c r="L36" s="633" t="str">
        <f>IF($A$31=FALSE,$AI$35,IF($C36="X",IF(ISBLANK('Questions - Fragen'!$D150),"--",'Questions - Fragen'!$D150),"xx"))</f>
        <v>xx</v>
      </c>
      <c r="M36" s="633" t="str">
        <f>IF($A$31=FALSE,$AI$35,IF($C36="X",IF(ISBLANK('Questions - Fragen'!$D161),"--",'Questions - Fragen'!$D161),"xx"))</f>
        <v>xx</v>
      </c>
      <c r="N36" s="232" t="str">
        <f>IF($A$31=FALSE,$AI$35,IF($C36="X",IF(ISBLANK('Questions - Fragen'!$D172),"--",'Questions - Fragen'!$D172),"xx"))</f>
        <v>xx</v>
      </c>
      <c r="O36" s="16"/>
      <c r="P36" s="633" t="str">
        <f>IF($A$31=FALSE,$AI$35,IF($C36="X",IF(ISBLANK('Questions - Fragen'!$D184),"--",'Questions - Fragen'!$D184),"xx"))</f>
        <v>xx</v>
      </c>
      <c r="Q36" s="232" t="str">
        <f>IF($A$31=FALSE,$AI$35,IF($C36="X",IF(ISBLANK('Questions - Fragen'!$D195),"--",'Questions - Fragen'!$D195),"xx"))</f>
        <v>xx</v>
      </c>
      <c r="R36" s="232" t="str">
        <f>IF($A$31=FALSE,$AI$35,IF($C36="X",IF(ISBLANK('Questions - Fragen'!$D206),"--",'Questions - Fragen'!$D206),"xx"))</f>
        <v>xx</v>
      </c>
      <c r="S36" s="226"/>
      <c r="T36" s="633" t="str">
        <f>IF($A$31=FALSE,$AI$35,IF($C36="X",IF(ISBLANK('Questions - Fragen'!$D218),"--",'Questions - Fragen'!$D218),"xx"))</f>
        <v>xx</v>
      </c>
      <c r="U36" s="232" t="str">
        <f>IF($A$31=FALSE,$AI$35,IF($C36="X",IF(ISBLANK('Questions - Fragen'!$D229),"--",'Questions - Fragen'!$D229),"xx"))</f>
        <v>xx</v>
      </c>
      <c r="V36" s="633" t="str">
        <f>IF($A$31=FALSE,$AI$35,IF($C36="X",IF(ISBLANK('Questions - Fragen'!$D240),"--",'Questions - Fragen'!$D240),"xx"))</f>
        <v>xx</v>
      </c>
      <c r="W36" s="232" t="str">
        <f>IF($A$31=FALSE,$AI$35,IF($C36="X",IF(ISBLANK('Questions - Fragen'!$D251),"--",'Questions - Fragen'!$D251),"xx"))</f>
        <v>xx</v>
      </c>
      <c r="X36" s="232" t="str">
        <f>IF($A$31=FALSE,$AI$35,IF($C36="X",IF(ISBLANK('Questions - Fragen'!$D262),"--",'Questions - Fragen'!$D262),"xx"))</f>
        <v>xx</v>
      </c>
      <c r="Z36" s="232" t="str">
        <f>IF($A$31=FALSE,$AI$35,IF($C36="X",IF(ISBLANK('Questions - Fragen'!$D274),"--",'Questions - Fragen'!$D274),"xx"))</f>
        <v>xx</v>
      </c>
      <c r="AA36" s="232" t="str">
        <f>IF($A$31=FALSE,$AI$35,IF($C36="X",IF(ISBLANK('Questions - Fragen'!$D285),"--",'Questions - Fragen'!$D285),"xx"))</f>
        <v>xx</v>
      </c>
      <c r="AB36" s="633" t="str">
        <f>IF($A$31=FALSE,$AI$35,IF($C36="X",IF(ISBLANK('Questions - Fragen'!$D296),"--",'Questions - Fragen'!$D296),"xx"))</f>
        <v>xx</v>
      </c>
      <c r="AC36" s="232" t="str">
        <f>IF($A$31=FALSE,$AI$35,IF($C36="X",IF(ISBLANK('Questions - Fragen'!$D307),"--",'Questions - Fragen'!$D307),"xx"))</f>
        <v>xx</v>
      </c>
      <c r="AD36" s="226"/>
      <c r="AE36" s="232" t="str">
        <f>IF($A$31=FALSE,$AI$35,IF($C36="X",IF(ISBLANK('Questions - Fragen'!$D319),"--",'Questions - Fragen'!$D319),"xx"))</f>
        <v>xx</v>
      </c>
      <c r="AF36" s="232" t="str">
        <f>IF($A$31=FALSE,$AI$35,IF($C36="X",IF(ISBLANK('Questions - Fragen'!$D330),"--",'Questions - Fragen'!$D330),"xx"))</f>
        <v>xx</v>
      </c>
      <c r="AG36" s="232" t="str">
        <f>IF($A$31=FALSE,$AI$35,IF($C36="X",IF(ISBLANK('Questions - Fragen'!$D341),"--",'Questions - Fragen'!$D341),"xx"))</f>
        <v>xx</v>
      </c>
      <c r="AH36" s="633" t="str">
        <f>IF($A$31=FALSE,$AI$35,IF($C36="X",IF(ISBLANK('Questions - Fragen'!$D352),"--",'Questions - Fragen'!$D352),"xx"))</f>
        <v>xx</v>
      </c>
      <c r="AI36" s="753">
        <f>COUNTIF(D36:AH36,"&gt;-")</f>
        <v>26</v>
      </c>
      <c r="AJ36" s="753">
        <f>COUNT(D36:AH36)</f>
        <v>0</v>
      </c>
      <c r="AK36" s="753">
        <v>17</v>
      </c>
      <c r="AL36" s="753" t="str">
        <f>IF(AND($A$31,AJ36&gt;=AK36),AJ36*10,"--")</f>
        <v>--</v>
      </c>
      <c r="AM36" s="753" t="str">
        <f>IF(AND($A$31,AJ36&gt;=AK36),SUM(D36:AH36),"--")</f>
        <v>--</v>
      </c>
      <c r="AN36" s="643"/>
      <c r="AO36" s="643"/>
      <c r="AP36" s="643"/>
      <c r="AQ36" s="39"/>
      <c r="AR36" s="43"/>
      <c r="AS36" s="1469" t="str">
        <f>IF($A$31=FALSE,$AI$35,IF(C36="&lt;&gt;","xx",IF(AJ36&lt;AK36,$AI$35,ROUND(AM36/AL36,2))))</f>
        <v>xx</v>
      </c>
      <c r="AT36" s="1470"/>
      <c r="AU36" s="16"/>
      <c r="AX36" s="784" t="str">
        <f>E36</f>
        <v>xx</v>
      </c>
      <c r="AY36" s="784" t="str">
        <f>F36</f>
        <v>xx</v>
      </c>
      <c r="AZ36" s="784" t="str">
        <f>G36</f>
        <v>xx</v>
      </c>
      <c r="BA36" s="784" t="str">
        <f>M36</f>
        <v>xx</v>
      </c>
      <c r="BB36" s="784" t="str">
        <f>N36</f>
        <v>xx</v>
      </c>
      <c r="BC36" s="784" t="str">
        <f>AE36</f>
        <v>xx</v>
      </c>
      <c r="BD36" s="784" t="str">
        <f>AF36</f>
        <v>xx</v>
      </c>
      <c r="BE36" s="784" t="str">
        <f>AG36</f>
        <v>xx</v>
      </c>
      <c r="BF36" s="15"/>
      <c r="BG36" s="16"/>
      <c r="BH36" s="16"/>
      <c r="BI36" s="51"/>
      <c r="BJ36" s="74"/>
    </row>
    <row r="37" spans="1:62" ht="15.75" thickBot="1">
      <c r="B37" s="48"/>
      <c r="C37" s="193"/>
      <c r="D37" s="185" t="s">
        <v>61</v>
      </c>
      <c r="E37" s="185"/>
      <c r="F37" s="176"/>
      <c r="G37" s="176"/>
      <c r="H37" s="630"/>
      <c r="I37" s="185" t="str">
        <f>PrSchr2</f>
        <v>Stage 2:</v>
      </c>
      <c r="K37" s="176"/>
      <c r="L37" s="632"/>
      <c r="M37" s="632"/>
      <c r="N37" s="176"/>
      <c r="O37" s="16"/>
      <c r="P37" s="632"/>
      <c r="Q37" s="176"/>
      <c r="R37" s="176"/>
      <c r="S37" s="176"/>
      <c r="T37" s="632"/>
      <c r="U37" s="176"/>
      <c r="V37" s="632"/>
      <c r="W37" s="176"/>
      <c r="X37" s="176"/>
      <c r="Z37" s="176"/>
      <c r="AA37" s="176"/>
      <c r="AB37" s="632"/>
      <c r="AC37" s="176"/>
      <c r="AD37" s="176"/>
      <c r="AE37" s="176"/>
      <c r="AF37" s="176"/>
      <c r="AG37" s="176"/>
      <c r="AH37" s="632"/>
      <c r="AI37" s="176"/>
      <c r="AJ37" s="176"/>
      <c r="AK37" s="176"/>
      <c r="AL37" s="16"/>
      <c r="AM37" s="31"/>
      <c r="AN37" s="643"/>
      <c r="AO37" s="643"/>
      <c r="AP37" s="643"/>
      <c r="AQ37" s="31"/>
      <c r="AR37" s="40" t="s">
        <v>70</v>
      </c>
      <c r="AS37" s="400"/>
      <c r="AT37" s="401"/>
      <c r="AU37" s="495"/>
      <c r="AX37" s="672"/>
      <c r="AY37" s="672"/>
      <c r="AZ37" s="672"/>
      <c r="BA37" s="672"/>
      <c r="BB37" s="672"/>
      <c r="BC37" s="672"/>
      <c r="BD37" s="672"/>
      <c r="BE37" s="672"/>
      <c r="BF37" s="15"/>
      <c r="BG37" s="16"/>
      <c r="BH37" s="16"/>
      <c r="BI37" s="51"/>
      <c r="BJ37" s="74"/>
    </row>
    <row r="38" spans="1:62" ht="15.75" thickBot="1">
      <c r="A38" s="243" t="str">
        <f>IF(COUNT(D38:AH38)=0,"n.b.",IF(MIN(D38:H38,J38:O38,P38:R38,T38:X38,Z38:AC38,AE38:AH38)=0,"B","A"))</f>
        <v>n.b.</v>
      </c>
      <c r="B38" s="48"/>
      <c r="C38" s="194" t="str">
        <f>IF(AND('Evaluation-Bewertung'!$C$38="X",'Input Form - EingabeMaske'!D55="x"),"X","&lt;&gt;")</f>
        <v>&lt;&gt;</v>
      </c>
      <c r="D38" s="232" t="str">
        <f>IF($A$31=FALSE,$AI$35,IF($C38="X",IF(ISBLANK('Questions - Fragen'!$D73),"--",'Questions - Fragen'!$D73),"xx"))</f>
        <v>xx</v>
      </c>
      <c r="E38" s="232" t="str">
        <f>IF($A$31=FALSE,$AI$35,IF($C38="X",IF(ISBLANK('Questions - Fragen'!$D84),"--",'Questions - Fragen'!$D84),"xx"))</f>
        <v>xx</v>
      </c>
      <c r="F38" s="232" t="str">
        <f>IF($A$31=FALSE,$AI$35,IF($C38="X",IF(ISBLANK('Questions - Fragen'!$D95),"--",'Questions - Fragen'!$D95),"xx"))</f>
        <v>xx</v>
      </c>
      <c r="G38" s="232" t="str">
        <f>IF($A$31=FALSE,$AI$35,IF($C38="X",IF(ISBLANK('Questions - Fragen'!$D106),"--",'Questions - Fragen'!$D106),"xx"))</f>
        <v>xx</v>
      </c>
      <c r="H38" s="633" t="str">
        <f>IF($A$31=FALSE,$AI$35,IF($C38="X",IF(ISBLANK('Questions - Fragen'!$D117),"--",'Questions - Fragen'!$D117),"xx"))</f>
        <v>xx</v>
      </c>
      <c r="I38" s="226"/>
      <c r="J38" s="232" t="str">
        <f>IF($A$31=FALSE,$AI$35,IF($C38="X",IF(ISBLANK('Questions - Fragen'!$D129),"--",'Questions - Fragen'!$D129),"xx"))</f>
        <v>xx</v>
      </c>
      <c r="K38" s="232" t="str">
        <f>IF($A$31=FALSE,$AI$35,IF($C38="X",IF(ISBLANK('Questions - Fragen'!$D140),"--",'Questions - Fragen'!$D140),"xx"))</f>
        <v>xx</v>
      </c>
      <c r="L38" s="633" t="str">
        <f>IF($A$31=FALSE,$AI$35,IF($C38="X",IF(ISBLANK('Questions - Fragen'!$D151),"--",'Questions - Fragen'!$D151),"xx"))</f>
        <v>xx</v>
      </c>
      <c r="M38" s="633" t="str">
        <f>IF($A$31=FALSE,$AI$35,IF($C38="X",IF(ISBLANK('Questions - Fragen'!$D162),"--",'Questions - Fragen'!$D162),"xx"))</f>
        <v>xx</v>
      </c>
      <c r="N38" s="232" t="str">
        <f>IF($A$31=FALSE,$AI$35,IF($C38="X",IF(ISBLANK('Questions - Fragen'!$D173),"--",'Questions - Fragen'!$D173),"xx"))</f>
        <v>xx</v>
      </c>
      <c r="O38" s="16"/>
      <c r="P38" s="633" t="str">
        <f>IF($A$31=FALSE,$AI$35,IF($C38="X",IF(ISBLANK('Questions - Fragen'!$D185),"--",'Questions - Fragen'!$D185),"xx"))</f>
        <v>xx</v>
      </c>
      <c r="Q38" s="232" t="str">
        <f>IF($A$31=FALSE,$AI$35,IF($C38="X",IF(ISBLANK('Questions - Fragen'!$D196),"--",'Questions - Fragen'!$D196),"xx"))</f>
        <v>xx</v>
      </c>
      <c r="R38" s="232" t="str">
        <f>IF($A$31=FALSE,$AI$35,IF($C38="X",IF(ISBLANK('Questions - Fragen'!$D207),"--",'Questions - Fragen'!$D207),"xx"))</f>
        <v>xx</v>
      </c>
      <c r="S38" s="226"/>
      <c r="T38" s="633" t="str">
        <f>IF($A$31=FALSE,$AI$35,IF($C38="X",IF(ISBLANK('Questions - Fragen'!$D219),"--",'Questions - Fragen'!$D219),"xx"))</f>
        <v>xx</v>
      </c>
      <c r="U38" s="232" t="str">
        <f>IF($A$31=FALSE,$AI$35,IF($C38="X",IF(ISBLANK('Questions - Fragen'!$D230),"--",'Questions - Fragen'!$D230),"xx"))</f>
        <v>xx</v>
      </c>
      <c r="V38" s="633" t="str">
        <f>IF($A$31=FALSE,$AI$35,IF($C38="X",IF(ISBLANK('Questions - Fragen'!$D241),"--",'Questions - Fragen'!$D241),"xx"))</f>
        <v>xx</v>
      </c>
      <c r="W38" s="232" t="str">
        <f>IF($A$31=FALSE,$AI$35,IF($C38="X",IF(ISBLANK('Questions - Fragen'!$D252),"--",'Questions - Fragen'!$D252),"xx"))</f>
        <v>xx</v>
      </c>
      <c r="X38" s="232" t="str">
        <f>IF($A$31=FALSE,$AI$35,IF($C38="X",IF(ISBLANK('Questions - Fragen'!$D263),"--",'Questions - Fragen'!$D263),"xx"))</f>
        <v>xx</v>
      </c>
      <c r="Z38" s="232" t="str">
        <f>IF($A$31=FALSE,$AI$35,IF($C38="X",IF(ISBLANK('Questions - Fragen'!$D275),"--",'Questions - Fragen'!$D275),"xx"))</f>
        <v>xx</v>
      </c>
      <c r="AA38" s="232" t="str">
        <f>IF($A$31=FALSE,$AI$35,IF($C38="X",IF(ISBLANK('Questions - Fragen'!$D286),"--",'Questions - Fragen'!$D286),"xx"))</f>
        <v>xx</v>
      </c>
      <c r="AB38" s="633" t="str">
        <f>IF($A$31=FALSE,$AI$35,IF($C38="X",IF(ISBLANK('Questions - Fragen'!$D297),"--",'Questions - Fragen'!$D297),"xx"))</f>
        <v>xx</v>
      </c>
      <c r="AC38" s="232" t="str">
        <f>IF($A$31=FALSE,$AI$35,IF($C38="X",IF(ISBLANK('Questions - Fragen'!$D308),"--",'Questions - Fragen'!$D308),"xx"))</f>
        <v>xx</v>
      </c>
      <c r="AD38" s="226"/>
      <c r="AE38" s="232" t="str">
        <f>IF($A$31=FALSE,$AI$35,IF($C38="X",IF(ISBLANK('Questions - Fragen'!$D320),"--",'Questions - Fragen'!$D320),"xx"))</f>
        <v>xx</v>
      </c>
      <c r="AF38" s="232" t="str">
        <f>IF($A$31=FALSE,$AI$35,IF($C38="X",IF(ISBLANK('Questions - Fragen'!$D331),"--",'Questions - Fragen'!$D331),"xx"))</f>
        <v>xx</v>
      </c>
      <c r="AG38" s="232" t="str">
        <f>IF($A$31=FALSE,$AI$35,IF($C38="X",IF(ISBLANK('Questions - Fragen'!$D342),"--",'Questions - Fragen'!$D342),"xx"))</f>
        <v>xx</v>
      </c>
      <c r="AH38" s="633" t="str">
        <f>IF($A$31=FALSE,$AI$35,IF($C38="X",IF(ISBLANK('Questions - Fragen'!$D353),"--",'Questions - Fragen'!$D353),"xx"))</f>
        <v>xx</v>
      </c>
      <c r="AI38" s="753">
        <f t="shared" ref="AI38" si="2">COUNTIF(D38:AH38,"&gt;-")</f>
        <v>26</v>
      </c>
      <c r="AJ38" s="753">
        <f>COUNT(D38:AH38)</f>
        <v>0</v>
      </c>
      <c r="AK38" s="753">
        <v>17</v>
      </c>
      <c r="AL38" s="753" t="str">
        <f>IF(AND($A$31,AJ38&gt;=AK38),AJ38*10,"--")</f>
        <v>--</v>
      </c>
      <c r="AM38" s="753" t="str">
        <f>IF(AND($A$31,AJ38&gt;=AK38),SUM(D38:AH38),"--")</f>
        <v>--</v>
      </c>
      <c r="AN38" s="643"/>
      <c r="AO38" s="643"/>
      <c r="AP38" s="643"/>
      <c r="AQ38" s="39"/>
      <c r="AR38" s="43"/>
      <c r="AS38" s="1469" t="str">
        <f>IF($A$31=FALSE,$AI$35,IF(C38="&lt;&gt;","xx",IF(AJ38&lt;AK38,$AI$35,ROUND(AM38/AL38,2))))</f>
        <v>xx</v>
      </c>
      <c r="AT38" s="1470"/>
      <c r="AU38" s="16"/>
      <c r="AX38" s="784" t="str">
        <f>E38</f>
        <v>xx</v>
      </c>
      <c r="AY38" s="784" t="str">
        <f>F38</f>
        <v>xx</v>
      </c>
      <c r="AZ38" s="784" t="str">
        <f>G38</f>
        <v>xx</v>
      </c>
      <c r="BA38" s="784" t="str">
        <f t="shared" ref="BA38" si="3">M38</f>
        <v>xx</v>
      </c>
      <c r="BB38" s="784" t="str">
        <f>N38</f>
        <v>xx</v>
      </c>
      <c r="BC38" s="784" t="str">
        <f>AE38</f>
        <v>xx</v>
      </c>
      <c r="BD38" s="784" t="str">
        <f>AF38</f>
        <v>xx</v>
      </c>
      <c r="BE38" s="784" t="str">
        <f>AG38</f>
        <v>xx</v>
      </c>
      <c r="BF38" s="15"/>
      <c r="BG38" s="16"/>
      <c r="BH38" s="16"/>
      <c r="BI38" s="51"/>
      <c r="BJ38" s="74"/>
    </row>
    <row r="39" spans="1:62" ht="15.75" thickBot="1">
      <c r="B39" s="48"/>
      <c r="C39" s="193"/>
      <c r="D39" s="185" t="s">
        <v>62</v>
      </c>
      <c r="E39" s="185"/>
      <c r="F39" s="176"/>
      <c r="G39" s="176"/>
      <c r="H39" s="630"/>
      <c r="I39" s="185" t="str">
        <f>PrSchr3</f>
        <v>Stage 3</v>
      </c>
      <c r="K39" s="176"/>
      <c r="L39" s="632"/>
      <c r="M39" s="632"/>
      <c r="N39" s="176"/>
      <c r="O39" s="16"/>
      <c r="P39" s="632"/>
      <c r="Q39" s="176"/>
      <c r="R39" s="176"/>
      <c r="S39" s="176"/>
      <c r="T39" s="632"/>
      <c r="U39" s="176"/>
      <c r="V39" s="632"/>
      <c r="W39" s="176"/>
      <c r="X39" s="176"/>
      <c r="Z39" s="176"/>
      <c r="AA39" s="176"/>
      <c r="AB39" s="632"/>
      <c r="AC39" s="176"/>
      <c r="AD39" s="176"/>
      <c r="AE39" s="176"/>
      <c r="AF39" s="176"/>
      <c r="AG39" s="176"/>
      <c r="AH39" s="632"/>
      <c r="AI39" s="176"/>
      <c r="AJ39" s="176"/>
      <c r="AK39" s="176"/>
      <c r="AL39" s="16"/>
      <c r="AM39" s="31"/>
      <c r="AN39" s="643"/>
      <c r="AO39" s="643"/>
      <c r="AP39" s="643"/>
      <c r="AQ39" s="31"/>
      <c r="AR39" s="40" t="s">
        <v>71</v>
      </c>
      <c r="AS39" s="495"/>
      <c r="AT39" s="495"/>
      <c r="AU39" s="495"/>
      <c r="AX39" s="672"/>
      <c r="AY39" s="672"/>
      <c r="AZ39" s="672"/>
      <c r="BA39" s="672"/>
      <c r="BB39" s="672"/>
      <c r="BC39" s="672"/>
      <c r="BD39" s="672"/>
      <c r="BE39" s="672"/>
      <c r="BF39" s="15"/>
      <c r="BG39" s="16"/>
      <c r="BH39" s="16"/>
      <c r="BI39" s="51"/>
      <c r="BJ39" s="74"/>
    </row>
    <row r="40" spans="1:62" ht="15.75" thickBot="1">
      <c r="A40" s="243" t="str">
        <f>IF(COUNT(D40:AH40)=0,"n.b.",IF(MIN(D40:H40,J40:O40,P40:R40,T40:X40,Z40:AC40,AE40:AH40)=0,"B","A"))</f>
        <v>n.b.</v>
      </c>
      <c r="B40" s="48"/>
      <c r="C40" s="194" t="str">
        <f>IF(AND('Evaluation-Bewertung'!$C$40="X",'Input Form - EingabeMaske'!D56="x"),"X","&lt;&gt;")</f>
        <v>&lt;&gt;</v>
      </c>
      <c r="D40" s="232" t="str">
        <f>IF($A$31=FALSE,$AI$35,IF($C40="X",IF(ISBLANK('Questions - Fragen'!$D74),"--",'Questions - Fragen'!$D74),"xx"))</f>
        <v>xx</v>
      </c>
      <c r="E40" s="232" t="str">
        <f>IF($A$31=FALSE,$AI$35,IF($C40="X",IF(ISBLANK('Questions - Fragen'!$D85),"--",'Questions - Fragen'!$D85),"xx"))</f>
        <v>xx</v>
      </c>
      <c r="F40" s="232" t="str">
        <f>IF($A$31=FALSE,$AI$35,IF($C40="X",IF(ISBLANK('Questions - Fragen'!$D96),"--",'Questions - Fragen'!$D96),"xx"))</f>
        <v>xx</v>
      </c>
      <c r="G40" s="232" t="str">
        <f>IF($A$31=FALSE,$AI$35,IF($C40="X",IF(ISBLANK('Questions - Fragen'!$D107),"--",'Questions - Fragen'!$D107),"xx"))</f>
        <v>xx</v>
      </c>
      <c r="H40" s="633" t="str">
        <f>IF($A$31=FALSE,$AI$35,IF($C40="X",IF(ISBLANK('Questions - Fragen'!$D118),"--",'Questions - Fragen'!$D118),"xx"))</f>
        <v>xx</v>
      </c>
      <c r="I40" s="226"/>
      <c r="J40" s="232" t="str">
        <f>IF($A$31=FALSE,$AI$35,IF($C40="X",IF(ISBLANK('Questions - Fragen'!$D130),"--",'Questions - Fragen'!$D130),"xx"))</f>
        <v>xx</v>
      </c>
      <c r="K40" s="232" t="str">
        <f>IF($A$31=FALSE,$AI$35,IF($C40="X",IF(ISBLANK('Questions - Fragen'!$D141),"--",'Questions - Fragen'!$D141),"xx"))</f>
        <v>xx</v>
      </c>
      <c r="L40" s="633" t="str">
        <f>IF($A$31=FALSE,$AI$35,IF($C40="X",IF(ISBLANK('Questions - Fragen'!$D152),"--",'Questions - Fragen'!$D152),"xx"))</f>
        <v>xx</v>
      </c>
      <c r="M40" s="633" t="str">
        <f>IF($A$31=FALSE,$AI$35,IF($C40="X",IF(ISBLANK('Questions - Fragen'!$D163),"--",'Questions - Fragen'!$D163),"xx"))</f>
        <v>xx</v>
      </c>
      <c r="N40" s="232" t="str">
        <f>IF($A$31=FALSE,$AI$35,IF($C40="X",IF(ISBLANK('Questions - Fragen'!$D174),"--",'Questions - Fragen'!$D174),"xx"))</f>
        <v>xx</v>
      </c>
      <c r="O40" s="16"/>
      <c r="P40" s="633" t="str">
        <f>IF($A$31=FALSE,$AI$35,IF($C40="X",IF(ISBLANK('Questions - Fragen'!$D186),"--",'Questions - Fragen'!$D186),"xx"))</f>
        <v>xx</v>
      </c>
      <c r="Q40" s="232" t="str">
        <f>IF($A$31=FALSE,$AI$35,IF($C40="X",IF(ISBLANK('Questions - Fragen'!$D197),"--",'Questions - Fragen'!$D197),"xx"))</f>
        <v>xx</v>
      </c>
      <c r="R40" s="232" t="str">
        <f>IF($A$31=FALSE,$AI$35,IF($C40="X",IF(ISBLANK('Questions - Fragen'!$D208),"--",'Questions - Fragen'!$D208),"xx"))</f>
        <v>xx</v>
      </c>
      <c r="S40" s="226"/>
      <c r="T40" s="633" t="str">
        <f>IF($A$31=FALSE,$AI$35,IF($C40="X",IF(ISBLANK('Questions - Fragen'!$D220),"--",'Questions - Fragen'!$D220),"xx"))</f>
        <v>xx</v>
      </c>
      <c r="U40" s="232" t="str">
        <f>IF($A$31=FALSE,$AI$35,IF($C40="X",IF(ISBLANK('Questions - Fragen'!$D231),"--",'Questions - Fragen'!$D231),"xx"))</f>
        <v>xx</v>
      </c>
      <c r="V40" s="633" t="str">
        <f>IF($A$31=FALSE,$AI$35,IF($C40="X",IF(ISBLANK('Questions - Fragen'!$D242),"--",'Questions - Fragen'!$D242),"xx"))</f>
        <v>xx</v>
      </c>
      <c r="W40" s="232" t="str">
        <f>IF($A$31=FALSE,$AI$35,IF($C40="X",IF(ISBLANK('Questions - Fragen'!$D253),"--",'Questions - Fragen'!$D253),"xx"))</f>
        <v>xx</v>
      </c>
      <c r="X40" s="232" t="str">
        <f>IF($A$31=FALSE,$AI$35,IF($C40="X",IF(ISBLANK('Questions - Fragen'!$D264),"--",'Questions - Fragen'!$D264),"xx"))</f>
        <v>xx</v>
      </c>
      <c r="Z40" s="232" t="str">
        <f>IF($A$31=FALSE,$AI$35,IF($C40="X",IF(ISBLANK('Questions - Fragen'!$D276),"--",'Questions - Fragen'!$D276),"xx"))</f>
        <v>xx</v>
      </c>
      <c r="AA40" s="232" t="str">
        <f>IF($A$31=FALSE,$AI$35,IF($C40="X",IF(ISBLANK('Questions - Fragen'!$D287),"--",'Questions - Fragen'!$D287),"xx"))</f>
        <v>xx</v>
      </c>
      <c r="AB40" s="633" t="str">
        <f>IF($A$31=FALSE,$AI$35,IF($C40="X",IF(ISBLANK('Questions - Fragen'!$D298),"--",'Questions - Fragen'!$D298),"xx"))</f>
        <v>xx</v>
      </c>
      <c r="AC40" s="232" t="str">
        <f>IF($A$31=FALSE,$AI$35,IF($C40="X",IF(ISBLANK('Questions - Fragen'!$D309),"--",'Questions - Fragen'!$D309),"xx"))</f>
        <v>xx</v>
      </c>
      <c r="AD40" s="226"/>
      <c r="AE40" s="232" t="str">
        <f>IF($A$31=FALSE,$AI$35,IF($C40="X",IF(ISBLANK('Questions - Fragen'!$D321),"--",'Questions - Fragen'!$D321),"xx"))</f>
        <v>xx</v>
      </c>
      <c r="AF40" s="232" t="str">
        <f>IF($A$31=FALSE,$AI$35,IF($C40="X",IF(ISBLANK('Questions - Fragen'!$D332),"--",'Questions - Fragen'!$D332),"xx"))</f>
        <v>xx</v>
      </c>
      <c r="AG40" s="232" t="str">
        <f>IF($A$31=FALSE,$AI$35,IF($C40="X",IF(ISBLANK('Questions - Fragen'!$D343),"--",'Questions - Fragen'!$D343),"xx"))</f>
        <v>xx</v>
      </c>
      <c r="AH40" s="633" t="str">
        <f>IF($A$31=FALSE,$AI$35,IF($C40="X",IF(ISBLANK('Questions - Fragen'!$D354),"--",'Questions - Fragen'!$D354),"xx"))</f>
        <v>xx</v>
      </c>
      <c r="AI40" s="753">
        <f t="shared" ref="AI40" si="4">COUNTIF(D40:AH40,"&gt;-")</f>
        <v>26</v>
      </c>
      <c r="AJ40" s="753">
        <f>COUNT(D40:AH40)</f>
        <v>0</v>
      </c>
      <c r="AK40" s="753">
        <v>17</v>
      </c>
      <c r="AL40" s="753" t="str">
        <f>IF(AND($A$31,AJ40&gt;=AK40),AJ40*10,"--")</f>
        <v>--</v>
      </c>
      <c r="AM40" s="753" t="str">
        <f>IF(AND($A$31,AJ40&gt;=AK40),SUM(D40:AH40),"--")</f>
        <v>--</v>
      </c>
      <c r="AN40" s="643"/>
      <c r="AO40" s="643"/>
      <c r="AP40" s="643"/>
      <c r="AQ40" s="39"/>
      <c r="AR40" s="43"/>
      <c r="AS40" s="1469" t="str">
        <f>IF($A$31=FALSE,$AI$35,IF(C40="&lt;&gt;","xx",IF(AJ40&lt;AK40,$AI$35,ROUND(AM40/AL40,2))))</f>
        <v>xx</v>
      </c>
      <c r="AT40" s="1470"/>
      <c r="AU40" s="16"/>
      <c r="AX40" s="784" t="str">
        <f>E40</f>
        <v>xx</v>
      </c>
      <c r="AY40" s="784" t="str">
        <f>F40</f>
        <v>xx</v>
      </c>
      <c r="AZ40" s="784" t="str">
        <f>G40</f>
        <v>xx</v>
      </c>
      <c r="BA40" s="784" t="str">
        <f t="shared" ref="BA40" si="5">M40</f>
        <v>xx</v>
      </c>
      <c r="BB40" s="784" t="str">
        <f>N40</f>
        <v>xx</v>
      </c>
      <c r="BC40" s="784" t="str">
        <f>AE40</f>
        <v>xx</v>
      </c>
      <c r="BD40" s="784" t="str">
        <f>AF40</f>
        <v>xx</v>
      </c>
      <c r="BE40" s="784" t="str">
        <f>AG40</f>
        <v>xx</v>
      </c>
      <c r="BF40" s="15"/>
      <c r="BG40" s="16"/>
      <c r="BH40" s="16"/>
      <c r="BI40" s="51"/>
      <c r="BJ40" s="74"/>
    </row>
    <row r="41" spans="1:62" ht="15">
      <c r="A41" s="242" t="s">
        <v>223</v>
      </c>
      <c r="B41" s="48"/>
      <c r="C41" s="196"/>
      <c r="D41" s="187"/>
      <c r="E41" s="187"/>
      <c r="F41" s="187"/>
      <c r="G41" s="187"/>
      <c r="H41" s="187"/>
      <c r="I41" s="187"/>
      <c r="J41" s="187"/>
      <c r="K41" s="187"/>
      <c r="L41" s="187"/>
      <c r="M41" s="187"/>
      <c r="N41" s="187"/>
      <c r="O41" s="16"/>
      <c r="P41" s="187"/>
      <c r="Q41" s="187"/>
      <c r="R41" s="187"/>
      <c r="S41" s="187"/>
      <c r="T41" s="187"/>
      <c r="U41" s="187"/>
      <c r="V41" s="187"/>
      <c r="W41" s="187"/>
      <c r="X41" s="187"/>
      <c r="Z41" s="187"/>
      <c r="AA41" s="187"/>
      <c r="AB41" s="187"/>
      <c r="AC41" s="187"/>
      <c r="AD41" s="187"/>
      <c r="AE41" s="187"/>
      <c r="AF41" s="187"/>
      <c r="AG41" s="187"/>
      <c r="AH41" s="187"/>
      <c r="AI41" s="187"/>
      <c r="AJ41" s="187"/>
      <c r="AK41" s="187"/>
      <c r="AL41" s="187"/>
      <c r="AM41" s="39"/>
      <c r="AN41" s="643"/>
      <c r="AO41" s="643"/>
      <c r="AP41" s="643"/>
      <c r="AQ41" s="39"/>
      <c r="AR41" s="39"/>
      <c r="AS41" s="39"/>
      <c r="AT41" s="39"/>
      <c r="AU41" s="39"/>
      <c r="AX41" s="783"/>
      <c r="AY41" s="783"/>
      <c r="AZ41" s="783"/>
      <c r="BA41" s="783"/>
      <c r="BB41" s="783"/>
      <c r="BC41" s="783"/>
      <c r="BD41" s="783"/>
      <c r="BE41" s="783"/>
      <c r="BF41" s="15"/>
      <c r="BG41" s="16"/>
      <c r="BH41" s="16"/>
      <c r="BI41" s="51"/>
      <c r="BJ41" s="16"/>
    </row>
    <row r="42" spans="1:62" ht="15">
      <c r="A42" s="243" t="str">
        <f>IF(COUNTIF(A36:A40,"n.b.")=10,"n.b.",IF(COUNTIF(A36:A40,"C")&gt;=1,"C",IF(COUNTIF(A36:A40,"B")&gt;=1,"B","A")))</f>
        <v>A</v>
      </c>
      <c r="B42" s="48"/>
      <c r="C42" s="36"/>
      <c r="D42" s="197" t="str">
        <f>'Evaluation-Bewertung'!D56</f>
        <v>Results of the sub elements for process analysis (Average Levels 1 - n)</v>
      </c>
      <c r="E42" s="31"/>
      <c r="F42" s="31"/>
      <c r="G42" s="31"/>
      <c r="H42" s="31"/>
      <c r="I42" s="31"/>
      <c r="J42" s="31"/>
      <c r="K42" s="31"/>
      <c r="L42" s="31"/>
      <c r="M42" s="31"/>
      <c r="N42" s="31"/>
      <c r="O42" s="16"/>
      <c r="P42" s="31"/>
      <c r="Q42" s="176"/>
      <c r="R42" s="31"/>
      <c r="S42" s="31"/>
      <c r="T42" s="31"/>
      <c r="U42" s="31"/>
      <c r="V42" s="31"/>
      <c r="W42" s="31"/>
      <c r="X42" s="31"/>
      <c r="Z42" s="31"/>
      <c r="AA42" s="31"/>
      <c r="AB42" s="176"/>
      <c r="AC42" s="31"/>
      <c r="AD42" s="31"/>
      <c r="AE42" s="31"/>
      <c r="AF42" s="31"/>
      <c r="AG42" s="31"/>
      <c r="AH42" s="31"/>
      <c r="AI42" s="31"/>
      <c r="AJ42" s="31"/>
      <c r="AK42" s="31"/>
      <c r="AL42" s="31"/>
      <c r="AM42" s="31"/>
      <c r="AN42" s="643"/>
      <c r="AO42" s="643"/>
      <c r="AP42" s="643"/>
      <c r="AQ42" s="31"/>
      <c r="AR42" s="31"/>
      <c r="AS42" s="31"/>
      <c r="AT42" s="198">
        <f>+COUNTIF(AS36:AT40,$AI$35)</f>
        <v>0</v>
      </c>
      <c r="AU42" s="198"/>
      <c r="AX42" s="198"/>
      <c r="AY42" s="198"/>
      <c r="AZ42" s="198"/>
      <c r="BA42" s="198"/>
      <c r="BB42" s="198"/>
      <c r="BC42" s="198"/>
      <c r="BD42" s="198"/>
      <c r="BE42" s="198"/>
      <c r="BF42" s="16"/>
      <c r="BG42" s="16"/>
      <c r="BH42" s="16"/>
      <c r="BI42" s="49"/>
      <c r="BJ42" s="34"/>
    </row>
    <row r="43" spans="1:62" ht="15" thickBot="1">
      <c r="B43" s="48"/>
      <c r="C43" s="33"/>
      <c r="D43" s="31"/>
      <c r="E43" s="31"/>
      <c r="F43" s="31"/>
      <c r="G43" s="31"/>
      <c r="H43" s="31"/>
      <c r="I43" s="31"/>
      <c r="J43" s="31"/>
      <c r="K43" s="31"/>
      <c r="L43" s="31"/>
      <c r="M43" s="31"/>
      <c r="N43" s="31"/>
      <c r="O43" s="16"/>
      <c r="P43" s="31"/>
      <c r="Q43" s="176"/>
      <c r="R43" s="31"/>
      <c r="S43" s="31"/>
      <c r="T43" s="31"/>
      <c r="U43" s="15"/>
      <c r="V43" s="15"/>
      <c r="W43" s="15"/>
      <c r="X43" s="15"/>
      <c r="Z43" s="15"/>
      <c r="AA43" s="15"/>
      <c r="AB43" s="179"/>
      <c r="AC43" s="15"/>
      <c r="AD43" s="15"/>
      <c r="AE43" s="15"/>
      <c r="AF43" s="15"/>
      <c r="AG43" s="15"/>
      <c r="AH43" s="15"/>
      <c r="AI43" s="15"/>
      <c r="AJ43" s="15"/>
      <c r="AK43" s="15"/>
      <c r="AL43" s="15"/>
      <c r="AM43" s="15"/>
      <c r="AN43" s="643"/>
      <c r="AO43" s="643"/>
      <c r="AP43" s="643"/>
      <c r="AQ43" s="15"/>
      <c r="AR43" s="15"/>
      <c r="AS43" s="15"/>
      <c r="AT43" s="15"/>
      <c r="AU43" s="15"/>
      <c r="AX43" s="15"/>
      <c r="AY43" s="15"/>
      <c r="AZ43" s="15"/>
      <c r="BA43" s="15"/>
      <c r="BB43" s="15"/>
      <c r="BC43" s="15"/>
      <c r="BD43" s="15"/>
      <c r="BE43" s="15"/>
      <c r="BF43" s="16"/>
      <c r="BG43" s="16"/>
      <c r="BH43" s="16"/>
      <c r="BI43" s="51"/>
      <c r="BJ43" s="16"/>
    </row>
    <row r="44" spans="1:62" ht="15" thickBot="1">
      <c r="B44" s="48"/>
      <c r="C44" s="30"/>
      <c r="D44" s="755" t="str">
        <f>D34</f>
        <v>6.1.1</v>
      </c>
      <c r="E44" s="756" t="str">
        <f>E34</f>
        <v>6.1.2</v>
      </c>
      <c r="F44" s="757" t="str">
        <f>F34</f>
        <v>6.1.3</v>
      </c>
      <c r="G44" s="757" t="str">
        <f>G34</f>
        <v>6.1.4</v>
      </c>
      <c r="H44" s="758" t="str">
        <f>H34</f>
        <v>6.1.5*</v>
      </c>
      <c r="I44" s="341"/>
      <c r="J44" s="755" t="str">
        <f>J34</f>
        <v>6.2.1</v>
      </c>
      <c r="K44" s="756" t="str">
        <f>K34</f>
        <v>6.2.2</v>
      </c>
      <c r="L44" s="764" t="str">
        <f>L34</f>
        <v>6.2.3*</v>
      </c>
      <c r="M44" s="764" t="str">
        <f>M34</f>
        <v>6.2.4*</v>
      </c>
      <c r="N44" s="765" t="str">
        <f>N34</f>
        <v>6.2.5</v>
      </c>
      <c r="O44" s="961"/>
      <c r="P44" s="757" t="str">
        <f>P34</f>
        <v>6.3.1*</v>
      </c>
      <c r="Q44" s="757" t="str">
        <f>Q34</f>
        <v>6.3.2</v>
      </c>
      <c r="R44" s="765" t="str">
        <f>R34</f>
        <v>6.3.3</v>
      </c>
      <c r="S44" s="340"/>
      <c r="T44" s="771" t="str">
        <f>T34</f>
        <v>6.4.1*</v>
      </c>
      <c r="U44" s="757" t="str">
        <f>U34</f>
        <v>6.4.2</v>
      </c>
      <c r="V44" s="764" t="str">
        <f>V34</f>
        <v>6.4.3*</v>
      </c>
      <c r="W44" s="757" t="str">
        <f>W34</f>
        <v>6.4.4</v>
      </c>
      <c r="X44" s="765" t="str">
        <f>X34</f>
        <v>6.4.5</v>
      </c>
      <c r="Z44" s="755" t="str">
        <f>Z34</f>
        <v>6.5.1</v>
      </c>
      <c r="AA44" s="757" t="str">
        <f>AA34</f>
        <v>6.5.2</v>
      </c>
      <c r="AB44" s="764" t="str">
        <f>AB34</f>
        <v>6.5.3*</v>
      </c>
      <c r="AC44" s="765" t="str">
        <f>AC34</f>
        <v>6.5.4</v>
      </c>
      <c r="AD44" s="341"/>
      <c r="AE44" s="755" t="str">
        <f>AE34</f>
        <v>6.6.1</v>
      </c>
      <c r="AF44" s="757" t="str">
        <f>AF34</f>
        <v>6.6.2</v>
      </c>
      <c r="AG44" s="757" t="str">
        <f>AG34</f>
        <v>6.6.3</v>
      </c>
      <c r="AH44" s="758" t="str">
        <f>AH34</f>
        <v>6.6.4*</v>
      </c>
      <c r="AI44" s="643" t="str">
        <f>'Evaluation-Bewertung'!AI58</f>
        <v>n.e.</v>
      </c>
      <c r="AJ44" s="643" t="str">
        <f>'Evaluation-Bewertung'!AJ58</f>
        <v>Act.</v>
      </c>
      <c r="AK44" s="643" t="str">
        <f>'Evaluation-Bewertung'!AK58</f>
        <v>Target</v>
      </c>
      <c r="AL44" s="643" t="str">
        <f>'Evaluation-Bewertung'!AL58</f>
        <v>Max.</v>
      </c>
      <c r="AM44" s="643" t="str">
        <f>'Evaluation-Bewertung'!AM58</f>
        <v>Act.</v>
      </c>
      <c r="AN44" s="643"/>
      <c r="AO44" s="643"/>
      <c r="AP44" s="643"/>
      <c r="AQ44" s="30"/>
      <c r="AR44" s="15"/>
      <c r="AS44" s="15"/>
      <c r="AT44" s="15"/>
      <c r="AU44" s="15"/>
      <c r="AX44" s="774" t="str">
        <f t="shared" ref="AX44:BE44" si="6">AX34</f>
        <v>6.1.2</v>
      </c>
      <c r="AY44" s="775" t="str">
        <f t="shared" si="6"/>
        <v>6.1.3</v>
      </c>
      <c r="AZ44" s="775" t="str">
        <f t="shared" si="6"/>
        <v>6.1.4</v>
      </c>
      <c r="BA44" s="775" t="str">
        <f t="shared" si="6"/>
        <v>6.2.4</v>
      </c>
      <c r="BB44" s="775" t="str">
        <f t="shared" si="6"/>
        <v>6.2.5</v>
      </c>
      <c r="BC44" s="775" t="str">
        <f t="shared" si="6"/>
        <v>6.6.1</v>
      </c>
      <c r="BD44" s="775" t="str">
        <f t="shared" si="6"/>
        <v>6.6.2</v>
      </c>
      <c r="BE44" s="776" t="str">
        <f t="shared" si="6"/>
        <v>6.6.3</v>
      </c>
      <c r="BF44" s="16"/>
      <c r="BG44" s="16"/>
      <c r="BH44" s="16"/>
      <c r="BI44" s="51"/>
      <c r="BJ44" s="16"/>
    </row>
    <row r="45" spans="1:62" ht="15.75" thickBot="1">
      <c r="B45" s="48"/>
      <c r="C45" s="36"/>
      <c r="D45" s="677" t="str">
        <f>IF(ISERROR(AVERAGE(D36:D40)),$AI$35,ROUND(AVERAGE(D36:D40),2))</f>
        <v>n.e.</v>
      </c>
      <c r="E45" s="653" t="str">
        <f t="shared" ref="E45:H45" si="7">IF(ISERROR(AVERAGE(E36:E40)),$AI$35,ROUND(AVERAGE(E36:E40),2))</f>
        <v>n.e.</v>
      </c>
      <c r="F45" s="653" t="str">
        <f t="shared" si="7"/>
        <v>n.e.</v>
      </c>
      <c r="G45" s="653" t="str">
        <f t="shared" si="7"/>
        <v>n.e.</v>
      </c>
      <c r="H45" s="678" t="str">
        <f t="shared" si="7"/>
        <v>n.e.</v>
      </c>
      <c r="I45" s="227"/>
      <c r="J45" s="677" t="str">
        <f t="shared" ref="J45:N45" si="8">IF(ISERROR(AVERAGE(J36:J40)),$AI$35,ROUND(AVERAGE(J36:J40),2))</f>
        <v>n.e.</v>
      </c>
      <c r="K45" s="723" t="str">
        <f t="shared" si="8"/>
        <v>n.e.</v>
      </c>
      <c r="L45" s="679" t="str">
        <f t="shared" si="8"/>
        <v>n.e.</v>
      </c>
      <c r="M45" s="679" t="str">
        <f t="shared" si="8"/>
        <v>n.e.</v>
      </c>
      <c r="N45" s="680" t="str">
        <f t="shared" si="8"/>
        <v>n.e.</v>
      </c>
      <c r="O45" s="962"/>
      <c r="P45" s="681" t="str">
        <f t="shared" ref="P45:R45" si="9">IF(ISERROR(AVERAGE(P36:P40)),$AI$35,ROUND(AVERAGE(P36:P40),2))</f>
        <v>n.e.</v>
      </c>
      <c r="Q45" s="723" t="str">
        <f t="shared" si="9"/>
        <v>n.e.</v>
      </c>
      <c r="R45" s="680" t="str">
        <f t="shared" si="9"/>
        <v>n.e.</v>
      </c>
      <c r="S45" s="228"/>
      <c r="T45" s="681" t="str">
        <f t="shared" ref="T45:X45" si="10">IF(ISERROR(AVERAGE(T36:T40)),$AI$35,ROUND(AVERAGE(T36:T40),2))</f>
        <v>n.e.</v>
      </c>
      <c r="U45" s="653" t="str">
        <f t="shared" si="10"/>
        <v>n.e.</v>
      </c>
      <c r="V45" s="679" t="str">
        <f t="shared" si="10"/>
        <v>n.e.</v>
      </c>
      <c r="W45" s="653" t="str">
        <f t="shared" si="10"/>
        <v>n.e.</v>
      </c>
      <c r="X45" s="680" t="str">
        <f t="shared" si="10"/>
        <v>n.e.</v>
      </c>
      <c r="Z45" s="677" t="str">
        <f t="shared" ref="Z45:AC45" si="11">IF(ISERROR(AVERAGE(Z36:Z40)),$AI$35,ROUND(AVERAGE(Z36:Z40),2))</f>
        <v>n.e.</v>
      </c>
      <c r="AA45" s="653" t="str">
        <f t="shared" si="11"/>
        <v>n.e.</v>
      </c>
      <c r="AB45" s="679" t="str">
        <f t="shared" si="11"/>
        <v>n.e.</v>
      </c>
      <c r="AC45" s="680" t="str">
        <f t="shared" si="11"/>
        <v>n.e.</v>
      </c>
      <c r="AD45" s="228"/>
      <c r="AE45" s="677" t="str">
        <f t="shared" ref="AE45:AH45" si="12">IF(ISERROR(AVERAGE(AE36:AE40)),$AI$35,ROUND(AVERAGE(AE36:AE40),2))</f>
        <v>n.e.</v>
      </c>
      <c r="AF45" s="653" t="str">
        <f t="shared" si="12"/>
        <v>n.e.</v>
      </c>
      <c r="AG45" s="653" t="str">
        <f t="shared" si="12"/>
        <v>n.e.</v>
      </c>
      <c r="AH45" s="678" t="str">
        <f t="shared" si="12"/>
        <v>n.e.</v>
      </c>
      <c r="AI45" s="753">
        <f>SUM(AI36:AI40)</f>
        <v>78</v>
      </c>
      <c r="AJ45" s="753">
        <f>SUM(AJ36:AJ40)</f>
        <v>0</v>
      </c>
      <c r="AK45" s="753">
        <f>SUM(F47,L47,P47,V47,AA47,AF47)</f>
        <v>0</v>
      </c>
      <c r="AL45" s="753">
        <f>COUNT(D45:AH45)*10</f>
        <v>0</v>
      </c>
      <c r="AM45" s="753">
        <f>SUM(D45:AH45)</f>
        <v>0</v>
      </c>
      <c r="AN45" s="643"/>
      <c r="AO45" s="643"/>
      <c r="AP45" s="643"/>
      <c r="AQ45" s="200"/>
      <c r="AR45" s="722" t="s">
        <v>303</v>
      </c>
      <c r="AS45" s="1469" t="e">
        <f>IF(COUNTIF(AS36:AT40,$AI$35)&gt;0,$AI$35,ROUND(AM45/AL45,2))</f>
        <v>#DIV/0!</v>
      </c>
      <c r="AT45" s="1470"/>
      <c r="AU45" s="16"/>
      <c r="AX45" s="725" t="str">
        <f>IF(ISERROR(AVERAGE(AX36:AX40)),$AI$35,ROUND(AVERAGE(AX36:AX40),2))</f>
        <v>n.e.</v>
      </c>
      <c r="AY45" s="680" t="str">
        <f t="shared" ref="AY45:BE45" si="13">IF(ISERROR(AVERAGE(AY36:AY40)),$AI$35,ROUND(AVERAGE(AY36:AY40),2))</f>
        <v>n.e.</v>
      </c>
      <c r="AZ45" s="680" t="str">
        <f t="shared" si="13"/>
        <v>n.e.</v>
      </c>
      <c r="BA45" s="680" t="str">
        <f t="shared" si="13"/>
        <v>n.e.</v>
      </c>
      <c r="BB45" s="680" t="str">
        <f t="shared" si="13"/>
        <v>n.e.</v>
      </c>
      <c r="BC45" s="680" t="str">
        <f t="shared" si="13"/>
        <v>n.e.</v>
      </c>
      <c r="BD45" s="680" t="str">
        <f t="shared" si="13"/>
        <v>n.e.</v>
      </c>
      <c r="BE45" s="680" t="str">
        <f t="shared" si="13"/>
        <v>n.e.</v>
      </c>
      <c r="BF45" s="16"/>
      <c r="BG45" s="16"/>
      <c r="BH45" s="16"/>
      <c r="BI45" s="51"/>
      <c r="BJ45" s="16"/>
    </row>
    <row r="46" spans="1:62">
      <c r="B46" s="48"/>
      <c r="C46" s="31"/>
      <c r="D46" s="48"/>
      <c r="E46" s="751" t="str">
        <f>$L$7</f>
        <v>Act.</v>
      </c>
      <c r="F46" s="751" t="str">
        <f>$M$7</f>
        <v>Target</v>
      </c>
      <c r="G46" s="751" t="s">
        <v>260</v>
      </c>
      <c r="H46" s="759" t="s">
        <v>202</v>
      </c>
      <c r="J46" s="766"/>
      <c r="K46" s="751" t="str">
        <f>$L$7</f>
        <v>Act.</v>
      </c>
      <c r="L46" s="751" t="str">
        <f>$M$7</f>
        <v>Target</v>
      </c>
      <c r="M46" s="751" t="s">
        <v>260</v>
      </c>
      <c r="N46" s="759" t="s">
        <v>202</v>
      </c>
      <c r="O46" s="768" t="str">
        <f>$L$7</f>
        <v>Act.</v>
      </c>
      <c r="P46" s="751" t="str">
        <f>$M$7</f>
        <v>Target</v>
      </c>
      <c r="Q46" s="751" t="s">
        <v>260</v>
      </c>
      <c r="R46" s="759" t="s">
        <v>202</v>
      </c>
      <c r="T46" s="766"/>
      <c r="U46" s="751" t="str">
        <f>$L$7</f>
        <v>Act.</v>
      </c>
      <c r="V46" s="751" t="str">
        <f>$M$7</f>
        <v>Target</v>
      </c>
      <c r="W46" s="751" t="s">
        <v>260</v>
      </c>
      <c r="X46" s="759" t="s">
        <v>202</v>
      </c>
      <c r="Y46" s="31"/>
      <c r="Z46" s="768" t="str">
        <f>$L$7</f>
        <v>Act.</v>
      </c>
      <c r="AA46" s="751" t="str">
        <f>$M$7</f>
        <v>Target</v>
      </c>
      <c r="AB46" s="751" t="s">
        <v>260</v>
      </c>
      <c r="AC46" s="759" t="s">
        <v>202</v>
      </c>
      <c r="AD46" s="31"/>
      <c r="AE46" s="768" t="str">
        <f>$L$7</f>
        <v>Act.</v>
      </c>
      <c r="AF46" s="751" t="str">
        <f>$M$7</f>
        <v>Target</v>
      </c>
      <c r="AG46" s="751" t="s">
        <v>260</v>
      </c>
      <c r="AH46" s="759" t="s">
        <v>202</v>
      </c>
      <c r="AI46" s="31"/>
      <c r="AJ46" s="31"/>
      <c r="AK46" s="31"/>
      <c r="AL46" s="31"/>
      <c r="AM46" s="495"/>
      <c r="AN46" s="643"/>
      <c r="AO46" s="643"/>
      <c r="AP46" s="643"/>
      <c r="AQ46" s="495"/>
      <c r="AR46" s="495"/>
      <c r="AS46" s="495"/>
      <c r="AT46" s="495"/>
      <c r="AU46" s="495"/>
      <c r="AX46" s="777"/>
      <c r="AY46" s="495"/>
      <c r="AZ46" s="495"/>
      <c r="BA46" s="495"/>
      <c r="BB46" s="495"/>
      <c r="BC46" s="495"/>
      <c r="BD46" s="495"/>
      <c r="BE46" s="52"/>
      <c r="BF46" s="16"/>
      <c r="BG46" s="16"/>
      <c r="BH46" s="16"/>
      <c r="BI46" s="52"/>
      <c r="BJ46" s="495"/>
    </row>
    <row r="47" spans="1:62" ht="15.75" thickBot="1">
      <c r="B47" s="48"/>
      <c r="C47" s="38"/>
      <c r="D47" s="48"/>
      <c r="E47" s="754">
        <f>COUNT(D36:H40)</f>
        <v>0</v>
      </c>
      <c r="F47" s="754">
        <f>ROUNDUP(COUNTIF($C$36:$C$40,"X")*5/3*2,0)</f>
        <v>0</v>
      </c>
      <c r="G47" s="754">
        <f>IF(AND($A31,E47&gt;=F47),E47*10,"--")</f>
        <v>0</v>
      </c>
      <c r="H47" s="760">
        <f>IF(AND($A31,E47&gt;=F47),SUM(D36:H40),"--")</f>
        <v>0</v>
      </c>
      <c r="J47" s="48"/>
      <c r="K47" s="754">
        <f>COUNT(J36:N40)</f>
        <v>0</v>
      </c>
      <c r="L47" s="754">
        <f>ROUNDUP(COUNTIF($C$36:$C$40,"X")*5/3*2,0)</f>
        <v>0</v>
      </c>
      <c r="M47" s="754">
        <f>IF(AND($A31,K47&gt;=L47),K47*10,"--")</f>
        <v>0</v>
      </c>
      <c r="N47" s="760">
        <f>IF(AND($A31,K47&gt;=L47),SUM(J36:N40),"--")</f>
        <v>0</v>
      </c>
      <c r="O47" s="782">
        <f>COUNT(P36:R40)</f>
        <v>0</v>
      </c>
      <c r="P47" s="754">
        <f>ROUNDUP(COUNTIF($C$36:$C$40,"X")*3/3*2,0)</f>
        <v>0</v>
      </c>
      <c r="Q47" s="754">
        <f>IF(AND($A31,O47&gt;=P47),O47*10,"--")</f>
        <v>0</v>
      </c>
      <c r="R47" s="760">
        <f>IF(AND($A31,O47&gt;=P47),SUM(P36:R40),"--")</f>
        <v>0</v>
      </c>
      <c r="T47" s="48"/>
      <c r="U47" s="754">
        <f>COUNT(T36:X40)</f>
        <v>0</v>
      </c>
      <c r="V47" s="754">
        <f>ROUNDUP(COUNTIF($C$36:$C$40,"X")*5/3*2,0)</f>
        <v>0</v>
      </c>
      <c r="W47" s="754">
        <f>IF(AND($A31,U47&gt;=V47),U47*10,"--")</f>
        <v>0</v>
      </c>
      <c r="X47" s="760">
        <f>IF(AND($A31,U47&gt;=V47),SUM(T36:X40),"--")</f>
        <v>0</v>
      </c>
      <c r="Y47" s="38"/>
      <c r="Z47" s="782">
        <f>COUNT(Z36:AC40)</f>
        <v>0</v>
      </c>
      <c r="AA47" s="754">
        <f>ROUNDUP(COUNTIF($C$36:$C$40,"X")*4/3*2,0)</f>
        <v>0</v>
      </c>
      <c r="AB47" s="754">
        <f>IF(AND($A31,Z47&gt;=AA47),Z47*10,"--")</f>
        <v>0</v>
      </c>
      <c r="AC47" s="760">
        <f>IF(AND($A31,Z47&gt;=AA47),SUM(Z36:AC40),"--")</f>
        <v>0</v>
      </c>
      <c r="AD47" s="43"/>
      <c r="AE47" s="782">
        <f>COUNT(AE36:AH40)</f>
        <v>0</v>
      </c>
      <c r="AF47" s="754">
        <f>ROUNDUP(COUNTIF($C$36:$C$40,"X")*4/3*2,0)</f>
        <v>0</v>
      </c>
      <c r="AG47" s="754">
        <f>IF(AND($A31,AE47&gt;=AF47),AE47*10,"--")</f>
        <v>0</v>
      </c>
      <c r="AH47" s="760">
        <f>IF(AND($A31,AE47&gt;=AF47),SUM(AE36:AH40),"--")</f>
        <v>0</v>
      </c>
      <c r="AR47" s="38"/>
      <c r="AS47" s="202"/>
      <c r="AT47" s="331"/>
      <c r="AX47" s="768" t="str">
        <f>$K$7</f>
        <v>n.e.</v>
      </c>
      <c r="AY47" s="751" t="str">
        <f>$L$7</f>
        <v>Act.</v>
      </c>
      <c r="AZ47" s="751" t="str">
        <f>$M$7</f>
        <v>Target</v>
      </c>
      <c r="BA47" s="751" t="str">
        <f>$N$7</f>
        <v>Max.</v>
      </c>
      <c r="BB47" s="751" t="str">
        <f>$O$7</f>
        <v>Act.</v>
      </c>
      <c r="BC47" s="202"/>
      <c r="BD47" s="202"/>
      <c r="BE47" s="778"/>
      <c r="BF47" s="16"/>
      <c r="BG47" s="16"/>
      <c r="BH47" s="16"/>
      <c r="BI47" s="54"/>
    </row>
    <row r="48" spans="1:62" ht="15.75" thickBot="1">
      <c r="B48" s="48"/>
      <c r="C48" s="43"/>
      <c r="D48" s="761"/>
      <c r="E48" s="762"/>
      <c r="F48" s="763" t="s">
        <v>56</v>
      </c>
      <c r="G48" s="1471" t="str">
        <f>IF(OR($A$31=FALSE,F47&gt;E47),$AI$35,IFERROR(ROUND(H47/G47,2),$AI$35))</f>
        <v>n.e.</v>
      </c>
      <c r="H48" s="1472"/>
      <c r="I48" s="16"/>
      <c r="J48" s="761"/>
      <c r="K48" s="762"/>
      <c r="L48" s="767" t="s">
        <v>55</v>
      </c>
      <c r="M48" s="1471" t="str">
        <f>IF(OR($A$31=FALSE,L47&gt;K47),$AI$35,IFERROR(ROUND(N47/M47,2),$AI$35))</f>
        <v>n.e.</v>
      </c>
      <c r="N48" s="1472"/>
      <c r="O48" s="963"/>
      <c r="P48" s="770" t="s">
        <v>54</v>
      </c>
      <c r="Q48" s="1471" t="str">
        <f>IF(OR($A$31=FALSE,P47&gt;O47),$AI$35,IFERROR(ROUND(R47/Q47,2),$AI$35))</f>
        <v>n.e.</v>
      </c>
      <c r="R48" s="1472"/>
      <c r="S48" s="16"/>
      <c r="T48" s="772"/>
      <c r="U48" s="773"/>
      <c r="V48" s="770" t="s">
        <v>53</v>
      </c>
      <c r="W48" s="1471" t="str">
        <f>IF(OR($A$31=FALSE,V47&gt;U47),$AI$35,IFERROR(ROUND(X47/W47,2),$AI$35))</f>
        <v>n.e.</v>
      </c>
      <c r="X48" s="1472"/>
      <c r="Y48" s="16"/>
      <c r="Z48" s="761"/>
      <c r="AA48" s="763" t="s">
        <v>52</v>
      </c>
      <c r="AB48" s="1471" t="str">
        <f>IF(OR($A$31=FALSE,AA47&gt;Z47),$AI$35,IFERROR(ROUND(AC47/AB47,2),$AI$35))</f>
        <v>n.e.</v>
      </c>
      <c r="AC48" s="1472"/>
      <c r="AD48" s="16"/>
      <c r="AE48" s="761"/>
      <c r="AF48" s="767" t="s">
        <v>51</v>
      </c>
      <c r="AG48" s="1471" t="str">
        <f>IF(OR($A$31=FALSE,AF47&gt;AE47),$AI$35,IFERROR(ROUND(AH47/AG47,2),$AI$35))</f>
        <v>n.e.</v>
      </c>
      <c r="AH48" s="1472"/>
      <c r="AI48" s="16"/>
      <c r="AJ48" s="38"/>
      <c r="AK48" s="38"/>
      <c r="AL48" s="38"/>
      <c r="AM48" s="184"/>
      <c r="AN48" s="184"/>
      <c r="AO48" s="184"/>
      <c r="AP48" s="184"/>
      <c r="AQ48" s="184"/>
      <c r="AR48" s="38"/>
      <c r="AS48" s="202"/>
      <c r="AT48" s="332"/>
      <c r="AU48" s="202"/>
      <c r="AX48" s="779">
        <f>COUNTIF(AX45:BE45,"&gt;-")</f>
        <v>8</v>
      </c>
      <c r="AY48" s="780">
        <f>COUNT(AX36:BE40)</f>
        <v>0</v>
      </c>
      <c r="AZ48" s="780">
        <f>ROUNDUP(COUNTIF($C$36:$C$40,"X")*8/3*2,0)</f>
        <v>0</v>
      </c>
      <c r="BA48" s="780">
        <f>IF(AND($B48,AY48&gt;=AZ48),COUNTIF(AX45:BE45,"&lt;&gt;"&amp;AX47)*10,"--")</f>
        <v>0</v>
      </c>
      <c r="BB48" s="780">
        <f>IF(AND($B48,AY48&gt;=AZ48),SUM(AX45:BE45),"--")</f>
        <v>0</v>
      </c>
      <c r="BC48" s="781" t="s">
        <v>50</v>
      </c>
      <c r="BD48" s="1515" t="e">
        <f>IF(A31=FALSE,AX47,IF(AY48&gt;=AZ48,ROUND(BB48/BA48,2),$AI$35))</f>
        <v>#DIV/0!</v>
      </c>
      <c r="BE48" s="1516"/>
      <c r="BF48" s="16"/>
      <c r="BG48" s="16"/>
      <c r="BH48" s="16"/>
      <c r="BI48" s="54"/>
    </row>
    <row r="49" spans="1:62" ht="15">
      <c r="B49" s="48"/>
      <c r="C49" s="43"/>
      <c r="D49" s="201"/>
      <c r="E49" s="43"/>
      <c r="F49" s="38"/>
      <c r="G49" s="184"/>
      <c r="H49" s="184"/>
      <c r="I49" s="15"/>
      <c r="J49" s="201"/>
      <c r="K49" s="43"/>
      <c r="L49" s="38"/>
      <c r="M49" s="43"/>
      <c r="N49" s="184"/>
      <c r="O49" s="184"/>
      <c r="P49" s="15"/>
      <c r="Q49" s="201"/>
      <c r="R49" s="43"/>
      <c r="S49" s="43"/>
      <c r="T49" s="184"/>
      <c r="U49" s="184"/>
      <c r="V49" s="201"/>
      <c r="W49" s="38"/>
      <c r="X49" s="184"/>
      <c r="Y49" s="184"/>
      <c r="Z49" s="201"/>
      <c r="AA49" s="38"/>
      <c r="AB49" s="38"/>
      <c r="AC49" s="184"/>
      <c r="AD49" s="184"/>
      <c r="AE49" s="201"/>
      <c r="AF49" s="43"/>
      <c r="AG49" s="43"/>
      <c r="AH49" s="43"/>
      <c r="AI49" s="38"/>
      <c r="AJ49" s="38"/>
      <c r="AK49" s="38"/>
      <c r="AL49" s="38"/>
      <c r="AM49" s="184"/>
      <c r="AN49" s="184"/>
      <c r="AO49" s="184"/>
      <c r="AP49" s="184"/>
      <c r="AQ49" s="184"/>
      <c r="AR49" s="38"/>
      <c r="AS49" s="202"/>
      <c r="AT49" s="201"/>
      <c r="AU49" s="202"/>
      <c r="AW49" s="202"/>
      <c r="AX49" s="202"/>
      <c r="AY49" s="202"/>
      <c r="AZ49" s="202"/>
      <c r="BA49" s="202"/>
      <c r="BB49" s="202"/>
      <c r="BE49" s="203"/>
      <c r="BF49" s="16"/>
      <c r="BG49" s="16"/>
      <c r="BH49" s="16"/>
      <c r="BI49" s="54"/>
    </row>
    <row r="50" spans="1:62" ht="15">
      <c r="B50" s="48"/>
      <c r="C50" s="33"/>
      <c r="D50" s="31"/>
      <c r="E50" s="31"/>
      <c r="F50" s="31"/>
      <c r="G50" s="31"/>
      <c r="H50" s="31"/>
      <c r="I50" s="31"/>
      <c r="J50" s="31"/>
      <c r="K50" s="31"/>
      <c r="L50" s="31"/>
      <c r="M50" s="31"/>
      <c r="N50" s="31"/>
      <c r="O50" s="36"/>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16"/>
      <c r="BF50" s="16"/>
      <c r="BG50" s="16"/>
      <c r="BH50" s="16"/>
      <c r="BI50" s="49"/>
      <c r="BJ50" s="34"/>
    </row>
    <row r="51" spans="1:62" ht="15" thickBot="1">
      <c r="A51" s="244" t="s">
        <v>224</v>
      </c>
      <c r="B51" s="48"/>
      <c r="C51" s="31"/>
      <c r="D51" s="31"/>
      <c r="E51" s="31"/>
      <c r="F51" s="31"/>
      <c r="G51" s="235"/>
      <c r="H51" s="31"/>
      <c r="I51" s="31"/>
      <c r="J51" s="31"/>
      <c r="K51" s="31"/>
      <c r="L51" s="31"/>
      <c r="M51" s="31"/>
      <c r="N51" s="235"/>
      <c r="O51" s="31"/>
      <c r="P51" s="31"/>
      <c r="Q51" s="31"/>
      <c r="R51" s="235"/>
      <c r="S51" s="15"/>
      <c r="T51" s="15"/>
      <c r="U51" s="390" t="s">
        <v>127</v>
      </c>
      <c r="V51" s="390" t="s">
        <v>128</v>
      </c>
      <c r="W51" s="628" t="s">
        <v>205</v>
      </c>
      <c r="X51" s="628" t="s">
        <v>215</v>
      </c>
      <c r="Y51" s="390" t="s">
        <v>131</v>
      </c>
      <c r="Z51" s="643" t="str">
        <f>'Evaluation-Bewertung'!Z65</f>
        <v>n.e.</v>
      </c>
      <c r="AA51" s="643" t="str">
        <f>'Evaluation-Bewertung'!AA65</f>
        <v>Act.</v>
      </c>
      <c r="AB51" s="643" t="str">
        <f>'Evaluation-Bewertung'!AB65</f>
        <v>Target</v>
      </c>
      <c r="AC51" s="643" t="str">
        <f>'Evaluation-Bewertung'!AC65</f>
        <v>Max.</v>
      </c>
      <c r="AD51" s="643" t="str">
        <f>'Evaluation-Bewertung'!AD65</f>
        <v>Act.</v>
      </c>
      <c r="AE51" s="38"/>
      <c r="AF51" s="38"/>
      <c r="AG51" s="38"/>
      <c r="AH51" s="38"/>
      <c r="AI51" s="38"/>
      <c r="AJ51" s="38"/>
      <c r="AK51" s="38"/>
      <c r="AL51" s="38"/>
      <c r="AM51" s="38"/>
      <c r="AN51" s="38"/>
      <c r="AO51" s="38"/>
      <c r="AP51" s="38"/>
      <c r="AQ51" s="495"/>
      <c r="AR51" s="495"/>
      <c r="AS51" s="495"/>
      <c r="AT51" s="495"/>
      <c r="AU51" s="495"/>
      <c r="AV51" s="495"/>
      <c r="AW51" s="495"/>
      <c r="AX51" s="495"/>
      <c r="AY51" s="495"/>
      <c r="AZ51" s="495"/>
      <c r="BA51" s="495"/>
      <c r="BB51" s="495"/>
      <c r="BC51" s="495"/>
      <c r="BD51" s="495"/>
      <c r="BE51" s="16"/>
      <c r="BF51" s="16"/>
      <c r="BG51" s="16"/>
      <c r="BH51" s="16"/>
      <c r="BI51" s="52"/>
      <c r="BJ51" s="495"/>
    </row>
    <row r="52" spans="1:62" ht="16.5" thickBot="1">
      <c r="A52" s="243" t="str">
        <f>IF(COUNT(U52:Y52)=0,Z51,IF(MIN(U52:Y52)=0,"B","A"))</f>
        <v>n.e.</v>
      </c>
      <c r="B52" s="48"/>
      <c r="C52" s="71" t="s">
        <v>101</v>
      </c>
      <c r="D52" s="72" t="str">
        <f>'Questions - Fragen'!C362</f>
        <v>Customer care / customer satisfaction / service</v>
      </c>
      <c r="E52" s="31"/>
      <c r="F52" s="31"/>
      <c r="G52" s="31"/>
      <c r="H52" s="31"/>
      <c r="I52" s="31"/>
      <c r="J52" s="31"/>
      <c r="K52" s="31"/>
      <c r="L52" s="31"/>
      <c r="M52" s="31"/>
      <c r="N52" s="31"/>
      <c r="O52" s="36"/>
      <c r="P52" s="31"/>
      <c r="Q52" s="31"/>
      <c r="R52" s="31"/>
      <c r="S52" s="15"/>
      <c r="T52" s="15"/>
      <c r="U52" s="232" t="str">
        <f>IF($A$53=FALSE,$Z$51,IF(ISBLANK('Questions - Fragen'!D$363),"--",'Questions - Fragen'!D$363))</f>
        <v>n.e.</v>
      </c>
      <c r="V52" s="232" t="str">
        <f>IF($A$53=FALSE,$Z$51,IF(ISBLANK('Questions - Fragen'!D$364),"--",'Questions - Fragen'!D$364))</f>
        <v>n.e.</v>
      </c>
      <c r="W52" s="633" t="str">
        <f>IF($A$53=FALSE,$Z$51,IF(ISBLANK('Questions - Fragen'!D$365),"--",'Questions - Fragen'!D$365))</f>
        <v>n.e.</v>
      </c>
      <c r="X52" s="633" t="str">
        <f>IF($A$53=FALSE,$Z$51,IF(ISBLANK('Questions - Fragen'!D$366),"--",'Questions - Fragen'!D$366))</f>
        <v>n.e.</v>
      </c>
      <c r="Y52" s="232" t="str">
        <f>IF($A$53=FALSE,$Z$51,IF(ISBLANK('Questions - Fragen'!D$367),"--",'Questions - Fragen'!D$367))</f>
        <v>n.e.</v>
      </c>
      <c r="Z52" s="753">
        <f>COUNTIF(U52:Y52,"&gt;-")</f>
        <v>5</v>
      </c>
      <c r="AA52" s="753">
        <f>COUNT(U52:Y52)</f>
        <v>0</v>
      </c>
      <c r="AB52" s="753">
        <v>4</v>
      </c>
      <c r="AC52" s="753" t="str">
        <f>IF(AND($A53,AA52&gt;=AB52),AA52*10,"--")</f>
        <v>--</v>
      </c>
      <c r="AD52" s="753" t="str">
        <f>IF(AND($A53,AA52&gt;=AB52),SUM(U52:Y52),"--")</f>
        <v>--</v>
      </c>
      <c r="AE52" s="38"/>
      <c r="AF52" s="38"/>
      <c r="AG52" s="272"/>
      <c r="AH52" s="38"/>
      <c r="AI52" s="38"/>
      <c r="AJ52" s="38"/>
      <c r="AK52" s="38"/>
      <c r="AL52" s="38"/>
      <c r="AM52" s="38"/>
      <c r="AN52" s="38"/>
      <c r="AO52" s="38"/>
      <c r="AP52" s="38"/>
      <c r="AR52" s="204" t="s">
        <v>502</v>
      </c>
      <c r="AS52" s="1515" t="str">
        <f>IF(A53=FALSE,Z51,IF(AA52&gt;=AB52,ROUND(AD52/AC52,2),$AI$35))</f>
        <v>n.e.</v>
      </c>
      <c r="AT52" s="1516"/>
      <c r="AU52" s="16"/>
      <c r="AV52" s="184"/>
      <c r="AW52" s="184"/>
      <c r="AX52" s="184"/>
      <c r="AY52" s="184"/>
      <c r="AZ52" s="184"/>
      <c r="BA52" s="184"/>
      <c r="BB52" s="184"/>
      <c r="BC52" s="184"/>
      <c r="BD52" s="184"/>
      <c r="BE52" s="16"/>
      <c r="BF52" s="16"/>
      <c r="BG52" s="16"/>
      <c r="BH52" s="16"/>
      <c r="BI52" s="49"/>
      <c r="BJ52" s="34"/>
    </row>
    <row r="53" spans="1:62">
      <c r="A53" s="970" t="b">
        <f>'Evaluation-Bewertung'!A67</f>
        <v>0</v>
      </c>
      <c r="B53" s="635"/>
      <c r="C53" s="276"/>
      <c r="D53" s="640"/>
      <c r="E53" s="640"/>
      <c r="F53" s="640"/>
      <c r="G53" s="640"/>
      <c r="H53" s="640"/>
      <c r="I53" s="31"/>
      <c r="J53" s="15"/>
      <c r="K53" s="15"/>
      <c r="L53" s="15"/>
      <c r="M53" s="15"/>
      <c r="N53" s="15"/>
      <c r="O53" s="15"/>
      <c r="P53" s="15"/>
      <c r="Q53" s="15"/>
      <c r="R53" s="15"/>
      <c r="S53" s="31"/>
      <c r="T53" s="31"/>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6"/>
      <c r="BF53" s="16"/>
      <c r="BG53" s="16"/>
      <c r="BH53" s="16"/>
      <c r="BI53" s="51"/>
      <c r="BJ53" s="16"/>
    </row>
    <row r="54" spans="1:62">
      <c r="B54" s="574"/>
      <c r="C54" s="575"/>
      <c r="D54" s="575"/>
      <c r="E54" s="575"/>
      <c r="F54" s="575"/>
      <c r="G54" s="575"/>
      <c r="H54" s="575"/>
      <c r="I54" s="575"/>
      <c r="J54" s="575"/>
      <c r="K54" s="575"/>
      <c r="L54" s="575"/>
      <c r="M54" s="575"/>
      <c r="N54" s="575"/>
      <c r="O54" s="575"/>
      <c r="P54" s="575"/>
      <c r="Q54" s="575"/>
      <c r="R54" s="575"/>
      <c r="S54" s="575"/>
      <c r="T54" s="575"/>
      <c r="U54" s="575"/>
      <c r="V54" s="575"/>
      <c r="W54" s="575"/>
      <c r="X54" s="575"/>
      <c r="Y54" s="575"/>
      <c r="Z54" s="575"/>
      <c r="AA54" s="575"/>
      <c r="AB54" s="575"/>
      <c r="AC54" s="575"/>
      <c r="AD54" s="575"/>
      <c r="AE54" s="575"/>
      <c r="AF54" s="575"/>
      <c r="AG54" s="575"/>
      <c r="AH54" s="575"/>
      <c r="AI54" s="575"/>
      <c r="AJ54" s="575"/>
      <c r="AK54" s="575"/>
      <c r="AL54" s="575"/>
      <c r="AM54" s="575"/>
      <c r="AN54" s="575"/>
      <c r="AO54" s="575"/>
      <c r="AP54" s="575"/>
      <c r="AQ54" s="575"/>
      <c r="AR54" s="575"/>
      <c r="AS54" s="575"/>
      <c r="AT54" s="575"/>
      <c r="AU54" s="575"/>
      <c r="AV54" s="575"/>
      <c r="AW54" s="575"/>
      <c r="AX54" s="575"/>
      <c r="AY54" s="575"/>
      <c r="AZ54" s="575"/>
      <c r="BA54" s="575"/>
      <c r="BB54" s="575"/>
      <c r="BC54" s="575"/>
      <c r="BD54" s="575"/>
      <c r="BE54" s="575"/>
      <c r="BF54" s="575"/>
      <c r="BG54" s="575"/>
      <c r="BH54" s="575"/>
      <c r="BI54" s="576"/>
      <c r="BJ54" s="34"/>
    </row>
    <row r="55" spans="1:62">
      <c r="A55" s="254"/>
      <c r="B55" s="48"/>
      <c r="C55" s="577"/>
      <c r="D55" s="578"/>
      <c r="E55" s="578"/>
      <c r="F55" s="578"/>
      <c r="G55" s="578"/>
      <c r="H55" s="578"/>
      <c r="I55" s="578"/>
      <c r="J55" s="578"/>
      <c r="K55" s="578"/>
      <c r="L55" s="578"/>
      <c r="M55" s="578"/>
      <c r="N55" s="578"/>
      <c r="O55" s="578"/>
      <c r="P55" s="578"/>
      <c r="Q55" s="578"/>
      <c r="R55" s="578"/>
      <c r="S55" s="578"/>
      <c r="T55" s="578"/>
      <c r="U55" s="579"/>
      <c r="V55" s="579"/>
      <c r="W55" s="579"/>
      <c r="X55" s="579"/>
      <c r="Y55" s="579"/>
      <c r="Z55" s="579"/>
      <c r="AA55" s="579"/>
      <c r="AB55" s="579"/>
      <c r="AC55" s="579"/>
      <c r="AD55" s="579"/>
      <c r="AE55" s="579"/>
      <c r="AF55" s="579"/>
      <c r="AG55" s="579"/>
      <c r="AH55" s="579"/>
      <c r="AI55" s="580"/>
      <c r="AJ55" s="580"/>
      <c r="AK55" s="580"/>
      <c r="AL55" s="580"/>
      <c r="AM55" s="580"/>
      <c r="AN55" s="580"/>
      <c r="AO55" s="580"/>
      <c r="AP55" s="580"/>
      <c r="AQ55" s="580"/>
      <c r="AR55" s="580"/>
      <c r="AS55" s="580"/>
      <c r="AT55" s="580"/>
      <c r="AU55" s="580"/>
      <c r="AV55" s="580"/>
      <c r="AW55" s="580"/>
      <c r="AX55" s="580"/>
      <c r="AY55" s="580"/>
      <c r="AZ55" s="580"/>
      <c r="BA55" s="580"/>
      <c r="BB55" s="580"/>
      <c r="BC55" s="580"/>
      <c r="BD55" s="580"/>
      <c r="BE55" s="580"/>
      <c r="BF55" s="580"/>
      <c r="BG55" s="580"/>
      <c r="BH55" s="580"/>
      <c r="BI55" s="581"/>
      <c r="BJ55" s="582"/>
    </row>
    <row r="56" spans="1:62">
      <c r="B56" s="48"/>
      <c r="C56" s="578"/>
      <c r="D56" s="578"/>
      <c r="E56" s="578"/>
      <c r="F56" s="578"/>
      <c r="G56" s="578"/>
      <c r="H56" s="578"/>
      <c r="I56" s="578"/>
      <c r="J56" s="578"/>
      <c r="K56" s="578"/>
      <c r="L56" s="578"/>
      <c r="M56" s="578"/>
      <c r="N56" s="578"/>
      <c r="O56" s="578"/>
      <c r="P56" s="578"/>
      <c r="Q56" s="578"/>
      <c r="R56" s="578"/>
      <c r="S56" s="578"/>
      <c r="T56" s="578"/>
      <c r="U56" s="579"/>
      <c r="V56" s="579"/>
      <c r="W56" s="579"/>
      <c r="X56" s="579"/>
      <c r="Y56" s="579"/>
      <c r="Z56" s="579"/>
      <c r="AA56" s="579"/>
      <c r="AB56" s="579"/>
      <c r="AC56" s="579"/>
      <c r="AD56" s="579"/>
      <c r="AE56" s="579"/>
      <c r="AF56" s="579"/>
      <c r="AG56" s="579"/>
      <c r="AH56" s="579"/>
      <c r="AI56" s="580"/>
      <c r="AJ56" s="580"/>
      <c r="AK56" s="580"/>
      <c r="AL56" s="580"/>
      <c r="AM56" s="580"/>
      <c r="AN56" s="580"/>
      <c r="AO56" s="580"/>
      <c r="AP56" s="580"/>
      <c r="AQ56" s="580"/>
      <c r="AR56" s="580"/>
      <c r="AS56" s="580"/>
      <c r="AT56" s="580"/>
      <c r="AU56" s="580"/>
      <c r="AV56" s="580"/>
      <c r="AW56" s="38"/>
      <c r="AX56" s="38"/>
      <c r="AY56" s="38"/>
      <c r="AZ56" s="38"/>
      <c r="BA56" s="38"/>
      <c r="BB56" s="38"/>
      <c r="BC56" s="38"/>
      <c r="BD56" s="38"/>
      <c r="BE56" s="580"/>
      <c r="BF56" s="580"/>
      <c r="BG56" s="580"/>
      <c r="BH56" s="580"/>
      <c r="BI56" s="581"/>
      <c r="BJ56" s="582"/>
    </row>
    <row r="57" spans="1:62" s="493" customFormat="1" ht="18">
      <c r="A57" s="241"/>
      <c r="B57" s="583"/>
      <c r="C57" s="495"/>
      <c r="D57" s="584" t="str">
        <f>'Evaluation-Bewertung'!D71</f>
        <v>Responsible for downgrading</v>
      </c>
      <c r="E57" s="585"/>
      <c r="F57" s="585"/>
      <c r="G57" s="495"/>
      <c r="H57" s="585"/>
      <c r="I57" s="586"/>
      <c r="J57" s="586"/>
      <c r="K57" s="586"/>
      <c r="L57" s="586"/>
      <c r="M57" s="1525"/>
      <c r="N57" s="1525"/>
      <c r="O57" s="1525"/>
      <c r="P57" s="1525"/>
      <c r="Q57" s="586"/>
      <c r="R57" s="586"/>
      <c r="S57" s="586"/>
      <c r="T57" s="16"/>
      <c r="U57" s="16"/>
      <c r="V57" s="16"/>
      <c r="W57" s="16"/>
      <c r="X57" s="16"/>
      <c r="Y57" s="16"/>
      <c r="Z57" s="16"/>
      <c r="AA57" s="16"/>
      <c r="AB57" s="16"/>
      <c r="AC57" s="16"/>
      <c r="AD57" s="16"/>
      <c r="AE57" s="16"/>
      <c r="AF57" s="16"/>
      <c r="AG57" s="579"/>
      <c r="AH57" s="579"/>
      <c r="AI57" s="588"/>
      <c r="AJ57" s="588"/>
      <c r="AK57" s="588"/>
      <c r="AL57" s="588"/>
      <c r="AM57" s="588"/>
      <c r="AN57" s="1524">
        <f>'Input Form - EingabeMaske'!D34</f>
        <v>0</v>
      </c>
      <c r="AO57" s="1524"/>
      <c r="AP57" s="1524"/>
      <c r="AQ57" s="1524"/>
      <c r="AR57" s="1524"/>
      <c r="AS57" s="1524"/>
      <c r="AT57" s="1524"/>
      <c r="AU57" s="589" t="str">
        <f>'Evaluation-Bewertung'!AU71</f>
        <v>Overall compliance EG:</v>
      </c>
      <c r="AV57" s="590"/>
      <c r="AW57" s="591"/>
      <c r="AX57" s="591"/>
      <c r="AY57" s="591"/>
      <c r="AZ57" s="591"/>
      <c r="BA57" s="591"/>
      <c r="BB57" s="591"/>
      <c r="BC57" s="591"/>
      <c r="BD57" s="591"/>
      <c r="BE57" s="580"/>
      <c r="BF57" s="580"/>
      <c r="BG57" s="580"/>
      <c r="BH57" s="580"/>
      <c r="BI57" s="592"/>
      <c r="BJ57" s="593"/>
    </row>
    <row r="58" spans="1:62" ht="16.5" thickBot="1">
      <c r="B58" s="48"/>
      <c r="C58" s="578"/>
      <c r="D58" s="1499"/>
      <c r="E58" s="1499"/>
      <c r="F58" s="1499"/>
      <c r="G58" s="1499"/>
      <c r="H58" s="1499"/>
      <c r="I58" s="1500"/>
      <c r="J58" s="1500"/>
      <c r="K58" s="1500"/>
      <c r="L58" s="1500"/>
      <c r="M58" s="1500"/>
      <c r="N58" s="1500"/>
      <c r="O58" s="1500"/>
      <c r="P58" s="1500"/>
      <c r="Q58" s="724"/>
      <c r="R58" s="724"/>
      <c r="S58" s="724"/>
      <c r="T58" s="16"/>
      <c r="U58" s="16"/>
      <c r="V58" s="16"/>
      <c r="W58" s="16"/>
      <c r="X58" s="16"/>
      <c r="Y58" s="16"/>
      <c r="Z58" s="16"/>
      <c r="AA58" s="16"/>
      <c r="AB58" s="16"/>
      <c r="AC58" s="16"/>
      <c r="AD58" s="16"/>
      <c r="AE58" s="16"/>
      <c r="AF58" s="16"/>
      <c r="AG58" s="579"/>
      <c r="AH58" s="579"/>
      <c r="AI58" s="588"/>
      <c r="AJ58" s="588"/>
      <c r="AK58" s="588"/>
      <c r="AL58" s="588"/>
      <c r="AM58" s="588"/>
      <c r="AN58" s="588"/>
      <c r="AO58" s="588"/>
      <c r="AP58" s="588"/>
      <c r="AQ58" s="588"/>
      <c r="AR58" s="588"/>
      <c r="AS58" s="588"/>
      <c r="AT58" s="588"/>
      <c r="AU58" s="38"/>
      <c r="AV58" s="38"/>
      <c r="AW58" s="591"/>
      <c r="AX58" s="591"/>
      <c r="AY58" s="591"/>
      <c r="AZ58" s="591"/>
      <c r="BA58" s="591"/>
      <c r="BB58" s="591"/>
      <c r="BC58" s="591"/>
      <c r="BD58" s="591"/>
      <c r="BE58" s="580"/>
      <c r="BF58" s="580"/>
      <c r="BG58" s="580"/>
      <c r="BH58" s="580"/>
      <c r="BI58" s="581"/>
      <c r="BJ58" s="582"/>
    </row>
    <row r="59" spans="1:62" ht="15.75">
      <c r="B59" s="48"/>
      <c r="C59" s="38"/>
      <c r="D59" s="594" t="str">
        <f>+IF(K149="n.b.","n.b.",+IF(K149&lt;80%,"C",+IF(K149&lt;90%,"B","A")))</f>
        <v>A</v>
      </c>
      <c r="E59" s="595" t="str">
        <f>'Evaluation-Bewertung'!E73</f>
        <v>Calculated EG, C&lt;80, B&lt;90</v>
      </c>
      <c r="F59" s="596"/>
      <c r="G59" s="596"/>
      <c r="H59" s="596"/>
      <c r="I59" s="596"/>
      <c r="J59" s="596"/>
      <c r="K59" s="596"/>
      <c r="L59" s="596"/>
      <c r="M59" s="597"/>
      <c r="N59" s="597"/>
      <c r="O59" s="598"/>
      <c r="P59" s="598"/>
      <c r="Q59" s="598"/>
      <c r="R59" s="599"/>
      <c r="S59" s="38"/>
      <c r="T59" s="16"/>
      <c r="U59" s="16"/>
      <c r="V59" s="16"/>
      <c r="W59" s="16"/>
      <c r="X59" s="16"/>
      <c r="Y59" s="16"/>
      <c r="Z59" s="16"/>
      <c r="AA59" s="16"/>
      <c r="AB59" s="16"/>
      <c r="AC59" s="16"/>
      <c r="AD59" s="16"/>
      <c r="AE59" s="16"/>
      <c r="AF59" s="16"/>
      <c r="AG59" s="579"/>
      <c r="AH59" s="579"/>
      <c r="AI59" s="588"/>
      <c r="AJ59" s="588"/>
      <c r="AK59" s="588"/>
      <c r="AL59" s="588"/>
      <c r="AM59" s="588"/>
      <c r="AN59" s="588"/>
      <c r="AO59" s="588"/>
      <c r="AP59" s="588"/>
      <c r="AQ59" s="588"/>
      <c r="AR59" s="588"/>
      <c r="AS59" s="588"/>
      <c r="AT59" s="588"/>
      <c r="AU59" s="600"/>
      <c r="AV59" s="600"/>
      <c r="AW59" s="591"/>
      <c r="AX59" s="591"/>
      <c r="AY59" s="591"/>
      <c r="AZ59" s="591"/>
      <c r="BA59" s="591"/>
      <c r="BB59" s="591"/>
      <c r="BC59" s="591"/>
      <c r="BD59" s="591"/>
      <c r="BE59" s="580"/>
      <c r="BF59" s="580"/>
      <c r="BG59" s="580"/>
      <c r="BH59" s="580"/>
      <c r="BI59" s="581"/>
      <c r="BJ59" s="582"/>
    </row>
    <row r="60" spans="1:62" ht="18">
      <c r="B60" s="48"/>
      <c r="C60" s="38"/>
      <c r="D60" s="601" t="str">
        <f>+E146</f>
        <v>A</v>
      </c>
      <c r="E60" s="602" t="str">
        <f>'Evaluation-Bewertung'!E74</f>
        <v xml:space="preserve">Asterisk questions for EG, minimum 1 question with 4 ratings = "B", minimum 1 question with 0 = "C"  </v>
      </c>
      <c r="F60" s="603"/>
      <c r="G60" s="603"/>
      <c r="H60" s="603"/>
      <c r="I60" s="603"/>
      <c r="J60" s="603"/>
      <c r="K60" s="603"/>
      <c r="L60" s="603"/>
      <c r="M60" s="267"/>
      <c r="N60" s="267"/>
      <c r="O60" s="604"/>
      <c r="P60" s="604"/>
      <c r="Q60" s="604"/>
      <c r="R60" s="605"/>
      <c r="S60" s="38"/>
      <c r="T60" s="16"/>
      <c r="U60" s="16"/>
      <c r="V60" s="16"/>
      <c r="W60" s="16"/>
      <c r="X60" s="16"/>
      <c r="Y60" s="16"/>
      <c r="Z60" s="16"/>
      <c r="AA60" s="16"/>
      <c r="AB60" s="16"/>
      <c r="AC60" s="16"/>
      <c r="AD60" s="16"/>
      <c r="AE60" s="16"/>
      <c r="AF60" s="16"/>
      <c r="AG60" s="579"/>
      <c r="AH60" s="579"/>
      <c r="AI60" s="260"/>
      <c r="AJ60" s="260"/>
      <c r="AK60" s="260"/>
      <c r="AL60" s="260"/>
      <c r="AM60" s="579"/>
      <c r="AN60" s="579"/>
      <c r="AO60" s="579"/>
      <c r="AP60" s="579"/>
      <c r="AR60" s="38"/>
      <c r="AS60" s="589"/>
      <c r="AT60" s="589"/>
      <c r="AU60" s="589"/>
      <c r="AV60" s="589"/>
      <c r="AW60" s="589"/>
      <c r="AX60" s="589"/>
      <c r="AY60" s="589"/>
      <c r="AZ60" s="589"/>
      <c r="BA60" s="589"/>
      <c r="BB60" s="589"/>
      <c r="BC60" s="589"/>
      <c r="BD60" s="600"/>
      <c r="BE60" s="606"/>
      <c r="BF60" s="600"/>
      <c r="BG60" s="600"/>
      <c r="BH60" s="600"/>
      <c r="BI60" s="581"/>
      <c r="BJ60" s="582"/>
    </row>
    <row r="61" spans="1:62" ht="16.5" thickBot="1">
      <c r="B61" s="48"/>
      <c r="C61" s="38"/>
      <c r="D61" s="607" t="str">
        <f>IF(COUNTIF(A8:A52,Z51)=16,Z51,+IF(COUNTIF((A8:A52),"C")&gt;=1,"C",+IF(+COUNTIF((A8:A52),"B")&gt;=1,"B","A")))</f>
        <v>A</v>
      </c>
      <c r="E61" s="602" t="str">
        <f>'Evaluation-Bewertung'!E75</f>
        <v>No question rated 0, otherwise "B"</v>
      </c>
      <c r="F61" s="603"/>
      <c r="G61" s="603"/>
      <c r="H61" s="603"/>
      <c r="I61" s="603"/>
      <c r="J61" s="603"/>
      <c r="K61" s="603"/>
      <c r="L61" s="603"/>
      <c r="M61" s="267"/>
      <c r="N61" s="267"/>
      <c r="O61" s="604"/>
      <c r="P61" s="604"/>
      <c r="Q61" s="604"/>
      <c r="R61" s="605"/>
      <c r="S61" s="38"/>
      <c r="T61" s="16"/>
      <c r="U61" s="16"/>
      <c r="V61" s="16"/>
      <c r="W61" s="16"/>
      <c r="X61" s="16"/>
      <c r="Y61" s="16"/>
      <c r="Z61" s="16"/>
      <c r="AA61" s="16"/>
      <c r="AB61" s="16"/>
      <c r="AC61" s="16"/>
      <c r="AD61" s="16"/>
      <c r="AE61" s="16"/>
      <c r="AF61" s="16"/>
      <c r="AG61" s="579"/>
      <c r="AH61" s="579"/>
      <c r="AI61" s="608"/>
      <c r="AJ61" s="608"/>
      <c r="AK61" s="608"/>
      <c r="AL61" s="1454" t="str">
        <f>'Evaluation-Bewertung'!AL75</f>
        <v>Total points awarded for the relevant questions</v>
      </c>
      <c r="AM61" s="1454" t="e">
        <f>'Evaluation-Bewertung'!AM75</f>
        <v>#N/A</v>
      </c>
      <c r="AN61" s="1454" t="e">
        <f>'Evaluation-Bewertung'!AN75</f>
        <v>#N/A</v>
      </c>
      <c r="AO61" s="1454" t="e">
        <f>'Evaluation-Bewertung'!AO75</f>
        <v>#N/A</v>
      </c>
      <c r="AP61" s="1454" t="e">
        <f>'Evaluation-Bewertung'!AP75</f>
        <v>#N/A</v>
      </c>
      <c r="AQ61" s="1454" t="e">
        <f>'Evaluation-Bewertung'!AQ75</f>
        <v>#N/A</v>
      </c>
      <c r="AR61" s="1454" t="e">
        <f>'Evaluation-Bewertung'!AR75</f>
        <v>#N/A</v>
      </c>
      <c r="AS61" s="1454" t="e">
        <f>'Evaluation-Bewertung'!AS75</f>
        <v>#N/A</v>
      </c>
      <c r="AT61" s="1454" t="e">
        <f>'Evaluation-Bewertung'!AT75</f>
        <v>#N/A</v>
      </c>
      <c r="AU61" s="1454" t="e">
        <f>'Evaluation-Bewertung'!AU75</f>
        <v>#N/A</v>
      </c>
      <c r="AV61" s="1454" t="e">
        <f>'Evaluation-Bewertung'!AV75</f>
        <v>#N/A</v>
      </c>
      <c r="AW61" s="1454" t="e">
        <f>'Evaluation-Bewertung'!AW75</f>
        <v>#N/A</v>
      </c>
      <c r="AX61" s="1454" t="e">
        <f>'Evaluation-Bewertung'!AX75</f>
        <v>#N/A</v>
      </c>
      <c r="AY61" s="1587">
        <f>SUM(O8,AI14,AP22,W29,AM45,AD52)</f>
        <v>0</v>
      </c>
      <c r="AZ61" s="1587"/>
      <c r="BA61" s="741"/>
      <c r="BB61" s="1453" t="s">
        <v>257</v>
      </c>
      <c r="BC61" s="1453"/>
      <c r="BD61" s="1453"/>
      <c r="BE61" s="1453" t="str">
        <f>'Evaluation-Bewertung'!BE75</f>
        <v>Rating</v>
      </c>
      <c r="BF61" s="1453">
        <f>'Evaluation-Bewertung'!BF75</f>
        <v>0</v>
      </c>
      <c r="BG61" s="609"/>
      <c r="BH61" s="580"/>
      <c r="BI61" s="581"/>
      <c r="BJ61" s="582"/>
    </row>
    <row r="62" spans="1:62" ht="15.75">
      <c r="B62" s="48"/>
      <c r="C62" s="38"/>
      <c r="D62" s="601" t="e">
        <f>+AD152</f>
        <v>#DIV/0!</v>
      </c>
      <c r="E62" s="602" t="str">
        <f>'Evaluation-Bewertung'!E76</f>
        <v>Eu1…Eu7, &lt;80% rated "B"</v>
      </c>
      <c r="F62" s="603"/>
      <c r="G62" s="603"/>
      <c r="H62" s="603"/>
      <c r="I62" s="603"/>
      <c r="J62" s="603"/>
      <c r="K62" s="603"/>
      <c r="L62" s="603"/>
      <c r="M62" s="267"/>
      <c r="N62" s="267"/>
      <c r="O62" s="604"/>
      <c r="P62" s="604"/>
      <c r="Q62" s="604"/>
      <c r="R62" s="605"/>
      <c r="S62" s="38"/>
      <c r="T62" s="16"/>
      <c r="U62" s="16"/>
      <c r="V62" s="16"/>
      <c r="W62" s="16"/>
      <c r="X62" s="16"/>
      <c r="Y62" s="16"/>
      <c r="Z62" s="16"/>
      <c r="AA62" s="16"/>
      <c r="AB62" s="16"/>
      <c r="AC62" s="16"/>
      <c r="AD62" s="16"/>
      <c r="AE62" s="16"/>
      <c r="AF62" s="16"/>
      <c r="AG62" s="579"/>
      <c r="AH62" s="579"/>
      <c r="AI62" s="608"/>
      <c r="AJ62" s="608"/>
      <c r="AK62" s="608"/>
      <c r="AL62" s="1454" t="e">
        <f>'Evaluation-Bewertung'!AL76</f>
        <v>#N/A</v>
      </c>
      <c r="AM62" s="1454" t="e">
        <f>'Evaluation-Bewertung'!AM76</f>
        <v>#N/A</v>
      </c>
      <c r="AN62" s="1454" t="e">
        <f>'Evaluation-Bewertung'!AN76</f>
        <v>#N/A</v>
      </c>
      <c r="AO62" s="1454" t="e">
        <f>'Evaluation-Bewertung'!AO76</f>
        <v>#N/A</v>
      </c>
      <c r="AP62" s="1454" t="e">
        <f>'Evaluation-Bewertung'!AP76</f>
        <v>#N/A</v>
      </c>
      <c r="AQ62" s="1454" t="e">
        <f>'Evaluation-Bewertung'!AQ76</f>
        <v>#N/A</v>
      </c>
      <c r="AR62" s="1454" t="e">
        <f>'Evaluation-Bewertung'!AR76</f>
        <v>#N/A</v>
      </c>
      <c r="AS62" s="1454" t="e">
        <f>'Evaluation-Bewertung'!AS76</f>
        <v>#N/A</v>
      </c>
      <c r="AT62" s="1454" t="e">
        <f>'Evaluation-Bewertung'!AT76</f>
        <v>#N/A</v>
      </c>
      <c r="AU62" s="1454" t="e">
        <f>'Evaluation-Bewertung'!AU76</f>
        <v>#N/A</v>
      </c>
      <c r="AV62" s="1454" t="e">
        <f>'Evaluation-Bewertung'!AV76</f>
        <v>#N/A</v>
      </c>
      <c r="AW62" s="1454" t="e">
        <f>'Evaluation-Bewertung'!AW76</f>
        <v>#N/A</v>
      </c>
      <c r="AX62" s="1454" t="e">
        <f>'Evaluation-Bewertung'!AX76</f>
        <v>#N/A</v>
      </c>
      <c r="AY62" s="1587"/>
      <c r="AZ62" s="1587"/>
      <c r="BA62" s="741"/>
      <c r="BB62" s="1455" t="str">
        <f>IF(OR(AN57=0,ISERROR(AVERAGE(epm,epp,epr,ez,epg,ek))),$AI$35,ROUND(AY61/AY64,2))</f>
        <v>n.e.</v>
      </c>
      <c r="BC62" s="1456"/>
      <c r="BD62" s="1457"/>
      <c r="BE62" s="1597" t="str">
        <f>+IF(BB62=$AI$35,$AI$35,+D65)</f>
        <v>n.e.</v>
      </c>
      <c r="BF62" s="1598"/>
      <c r="BG62" s="609"/>
      <c r="BH62" s="38"/>
      <c r="BI62" s="581"/>
      <c r="BJ62" s="582"/>
    </row>
    <row r="63" spans="1:62" ht="30">
      <c r="B63" s="48"/>
      <c r="C63" s="38"/>
      <c r="D63" s="601" t="str">
        <f>+AD167</f>
        <v>C</v>
      </c>
      <c r="E63" s="602" t="str">
        <f>'Evaluation-Bewertung'!E77</f>
        <v>E1…E10, &lt;80% rated "B", &lt;70% rated "C"</v>
      </c>
      <c r="F63" s="603"/>
      <c r="G63" s="603"/>
      <c r="H63" s="603"/>
      <c r="I63" s="603"/>
      <c r="J63" s="603"/>
      <c r="K63" s="603"/>
      <c r="L63" s="603"/>
      <c r="M63" s="267"/>
      <c r="N63" s="267"/>
      <c r="O63" s="604"/>
      <c r="P63" s="604"/>
      <c r="Q63" s="604"/>
      <c r="R63" s="605"/>
      <c r="S63" s="38"/>
      <c r="T63" s="16"/>
      <c r="U63" s="16"/>
      <c r="V63" s="16"/>
      <c r="W63" s="16"/>
      <c r="X63" s="16"/>
      <c r="Y63" s="16"/>
      <c r="Z63" s="16"/>
      <c r="AA63" s="16"/>
      <c r="AB63" s="16"/>
      <c r="AC63" s="16"/>
      <c r="AD63" s="16"/>
      <c r="AE63" s="16"/>
      <c r="AF63" s="16"/>
      <c r="AG63" s="579"/>
      <c r="AH63" s="579"/>
      <c r="AI63" s="608"/>
      <c r="AJ63" s="608"/>
      <c r="AK63" s="608"/>
      <c r="AL63" s="490" t="s">
        <v>259</v>
      </c>
      <c r="AM63" s="490"/>
      <c r="AN63" s="490"/>
      <c r="AO63" s="490"/>
      <c r="AP63" s="490"/>
      <c r="AQ63" s="490"/>
      <c r="AR63" s="490"/>
      <c r="AS63" s="490"/>
      <c r="AT63" s="490"/>
      <c r="AU63" s="490"/>
      <c r="AV63" s="490"/>
      <c r="AW63" s="490"/>
      <c r="AX63" s="490"/>
      <c r="AY63" s="490"/>
      <c r="AZ63" s="490"/>
      <c r="BA63" s="490"/>
      <c r="BB63" s="1458"/>
      <c r="BC63" s="1459"/>
      <c r="BD63" s="1460"/>
      <c r="BE63" s="1599"/>
      <c r="BF63" s="1600"/>
      <c r="BG63" s="610"/>
      <c r="BH63" s="610"/>
      <c r="BI63" s="581"/>
      <c r="BJ63" s="582"/>
    </row>
    <row r="64" spans="1:62" ht="30.75" thickBot="1">
      <c r="B64" s="48"/>
      <c r="C64" s="38"/>
      <c r="D64" s="601" t="str">
        <f>++IF(K149=$AI$35,$AI$35,+IF(MIN(epm,ede,epe,elm,ek,epg)&lt;70%,"C",+IF(MIN(epm,ede,epe,elm,ek,epg)&lt;80%,"B","A")))</f>
        <v>n.e.</v>
      </c>
      <c r="E64" s="602" t="str">
        <f>'Evaluation-Bewertung'!E78</f>
        <v>Sub ratings Ep2, Ep3, Ep4, Ep5, Ep6, Ep7 &lt;80% rate "B", &lt;70% rate "C"</v>
      </c>
      <c r="F64" s="603"/>
      <c r="G64" s="603"/>
      <c r="H64" s="603"/>
      <c r="I64" s="603"/>
      <c r="J64" s="603"/>
      <c r="K64" s="603"/>
      <c r="L64" s="603"/>
      <c r="M64" s="267"/>
      <c r="N64" s="267"/>
      <c r="O64" s="604"/>
      <c r="P64" s="604"/>
      <c r="Q64" s="604"/>
      <c r="R64" s="605"/>
      <c r="S64" s="38"/>
      <c r="T64" s="16"/>
      <c r="U64" s="16"/>
      <c r="V64" s="16"/>
      <c r="W64" s="16"/>
      <c r="X64" s="16"/>
      <c r="Y64" s="16"/>
      <c r="Z64" s="16"/>
      <c r="AA64" s="16"/>
      <c r="AB64" s="16"/>
      <c r="AC64" s="16"/>
      <c r="AD64" s="16"/>
      <c r="AE64" s="16"/>
      <c r="AF64" s="16"/>
      <c r="AG64" s="579"/>
      <c r="AH64" s="579"/>
      <c r="AI64" s="608"/>
      <c r="AJ64" s="608"/>
      <c r="AK64" s="608"/>
      <c r="AL64" s="1454" t="str">
        <f>'Evaluation-Bewertung'!AL78</f>
        <v>Total possible number of points for the relevant questions</v>
      </c>
      <c r="AM64" s="1454" t="e">
        <f>'Evaluation-Bewertung'!AM78</f>
        <v>#N/A</v>
      </c>
      <c r="AN64" s="1454" t="e">
        <f>'Evaluation-Bewertung'!AN78</f>
        <v>#N/A</v>
      </c>
      <c r="AO64" s="1454" t="e">
        <f>'Evaluation-Bewertung'!AO78</f>
        <v>#N/A</v>
      </c>
      <c r="AP64" s="1454" t="e">
        <f>'Evaluation-Bewertung'!AP78</f>
        <v>#N/A</v>
      </c>
      <c r="AQ64" s="1454" t="e">
        <f>'Evaluation-Bewertung'!AQ78</f>
        <v>#N/A</v>
      </c>
      <c r="AR64" s="1454" t="e">
        <f>'Evaluation-Bewertung'!AR78</f>
        <v>#N/A</v>
      </c>
      <c r="AS64" s="1454" t="e">
        <f>'Evaluation-Bewertung'!AS78</f>
        <v>#N/A</v>
      </c>
      <c r="AT64" s="1454" t="e">
        <f>'Evaluation-Bewertung'!AT78</f>
        <v>#N/A</v>
      </c>
      <c r="AU64" s="1454" t="e">
        <f>'Evaluation-Bewertung'!AU78</f>
        <v>#N/A</v>
      </c>
      <c r="AV64" s="1454" t="e">
        <f>'Evaluation-Bewertung'!AV78</f>
        <v>#N/A</v>
      </c>
      <c r="AW64" s="1454" t="e">
        <f>'Evaluation-Bewertung'!AW78</f>
        <v>#N/A</v>
      </c>
      <c r="AX64" s="1454" t="e">
        <f>'Evaluation-Bewertung'!AX78</f>
        <v>#N/A</v>
      </c>
      <c r="AY64" s="1587">
        <f>SUM(N8,AH14,AO22,V29,AL45,AC52)</f>
        <v>0</v>
      </c>
      <c r="AZ64" s="1587"/>
      <c r="BA64" s="741"/>
      <c r="BB64" s="1461"/>
      <c r="BC64" s="1462"/>
      <c r="BD64" s="1463"/>
      <c r="BE64" s="1601"/>
      <c r="BF64" s="1602"/>
      <c r="BG64" s="610"/>
      <c r="BH64" s="38"/>
      <c r="BI64" s="581"/>
      <c r="BJ64" s="582"/>
    </row>
    <row r="65" spans="2:62" ht="30.75" thickBot="1">
      <c r="B65" s="48"/>
      <c r="C65" s="38"/>
      <c r="D65" s="611" t="str">
        <f>IF(COUNTIF(D59:D64,"n.b.")=6,"n.b.",IF(COUNTIF(D59:D64,"C")&gt;=1,"C",IF(COUNTIF(D59:D64,"B")&gt;=1,"B","A")))</f>
        <v>C</v>
      </c>
      <c r="E65" s="612" t="str">
        <f>'Evaluation-Bewertung'!E79</f>
        <v>Overall compliance EG:</v>
      </c>
      <c r="F65" s="613"/>
      <c r="G65" s="613"/>
      <c r="H65" s="613"/>
      <c r="I65" s="613"/>
      <c r="J65" s="613"/>
      <c r="K65" s="613"/>
      <c r="L65" s="613"/>
      <c r="M65" s="614"/>
      <c r="N65" s="614"/>
      <c r="O65" s="615"/>
      <c r="P65" s="615"/>
      <c r="Q65" s="615"/>
      <c r="R65" s="616"/>
      <c r="S65" s="38"/>
      <c r="T65" s="16"/>
      <c r="U65" s="16"/>
      <c r="V65" s="16"/>
      <c r="W65" s="16"/>
      <c r="X65" s="16"/>
      <c r="Y65" s="16"/>
      <c r="Z65" s="16"/>
      <c r="AA65" s="16"/>
      <c r="AB65" s="16"/>
      <c r="AC65" s="16"/>
      <c r="AD65" s="16"/>
      <c r="AE65" s="16"/>
      <c r="AF65" s="16"/>
      <c r="AG65" s="579"/>
      <c r="AH65" s="579"/>
      <c r="AI65" s="608"/>
      <c r="AJ65" s="608"/>
      <c r="AK65" s="608"/>
      <c r="AL65" s="1454" t="e">
        <f>'Evaluation-Bewertung'!AL79</f>
        <v>#N/A</v>
      </c>
      <c r="AM65" s="1454" t="e">
        <f>'Evaluation-Bewertung'!AM79</f>
        <v>#N/A</v>
      </c>
      <c r="AN65" s="1454" t="e">
        <f>'Evaluation-Bewertung'!AN79</f>
        <v>#N/A</v>
      </c>
      <c r="AO65" s="1454" t="e">
        <f>'Evaluation-Bewertung'!AO79</f>
        <v>#N/A</v>
      </c>
      <c r="AP65" s="1454" t="e">
        <f>'Evaluation-Bewertung'!AP79</f>
        <v>#N/A</v>
      </c>
      <c r="AQ65" s="1454" t="e">
        <f>'Evaluation-Bewertung'!AQ79</f>
        <v>#N/A</v>
      </c>
      <c r="AR65" s="1454" t="e">
        <f>'Evaluation-Bewertung'!AR79</f>
        <v>#N/A</v>
      </c>
      <c r="AS65" s="1454" t="e">
        <f>'Evaluation-Bewertung'!AS79</f>
        <v>#N/A</v>
      </c>
      <c r="AT65" s="1454" t="e">
        <f>'Evaluation-Bewertung'!AT79</f>
        <v>#N/A</v>
      </c>
      <c r="AU65" s="1454" t="e">
        <f>'Evaluation-Bewertung'!AU79</f>
        <v>#N/A</v>
      </c>
      <c r="AV65" s="1454" t="e">
        <f>'Evaluation-Bewertung'!AV79</f>
        <v>#N/A</v>
      </c>
      <c r="AW65" s="1454" t="e">
        <f>'Evaluation-Bewertung'!AW79</f>
        <v>#N/A</v>
      </c>
      <c r="AX65" s="1454" t="e">
        <f>'Evaluation-Bewertung'!AX79</f>
        <v>#N/A</v>
      </c>
      <c r="AY65" s="1587"/>
      <c r="AZ65" s="1587"/>
      <c r="BA65" s="741"/>
      <c r="BB65" s="490"/>
      <c r="BC65" s="38"/>
      <c r="BD65" s="38"/>
      <c r="BE65" s="38"/>
      <c r="BF65" s="38"/>
      <c r="BG65" s="610"/>
      <c r="BH65" s="38"/>
      <c r="BI65" s="581"/>
      <c r="BJ65" s="582"/>
    </row>
    <row r="66" spans="2:62" ht="19.5" customHeight="1">
      <c r="B66" s="48"/>
      <c r="C66" s="580"/>
      <c r="D66" s="604"/>
      <c r="E66" s="604"/>
      <c r="F66" s="604"/>
      <c r="G66" s="604"/>
      <c r="H66" s="604"/>
      <c r="I66" s="604"/>
      <c r="J66" s="604"/>
      <c r="K66" s="604"/>
      <c r="L66" s="604"/>
      <c r="M66" s="604"/>
      <c r="N66" s="604"/>
      <c r="O66" s="604"/>
      <c r="P66" s="604"/>
      <c r="Q66" s="604"/>
      <c r="R66" s="604"/>
      <c r="S66" s="604"/>
      <c r="T66" s="580"/>
      <c r="U66" s="579"/>
      <c r="V66" s="579"/>
      <c r="W66" s="579"/>
      <c r="X66" s="579"/>
      <c r="Y66" s="579"/>
      <c r="Z66" s="579"/>
      <c r="AA66" s="579"/>
      <c r="AB66" s="579"/>
      <c r="AC66" s="579"/>
      <c r="AD66" s="579"/>
      <c r="AE66" s="579"/>
      <c r="AF66" s="579"/>
      <c r="AG66" s="579"/>
      <c r="AH66" s="579"/>
      <c r="AI66" s="608"/>
      <c r="AJ66" s="608"/>
      <c r="AK66" s="608"/>
      <c r="AL66" s="608"/>
      <c r="AM66" s="608"/>
      <c r="AN66" s="608"/>
      <c r="AO66" s="608"/>
      <c r="AP66" s="608"/>
      <c r="AQ66" s="608"/>
      <c r="AR66" s="608"/>
      <c r="AS66" s="608"/>
      <c r="AT66" s="608"/>
      <c r="AU66" s="608"/>
      <c r="AV66" s="608"/>
      <c r="AW66" s="608"/>
      <c r="AX66" s="608"/>
      <c r="AY66" s="608"/>
      <c r="AZ66" s="38"/>
      <c r="BA66" s="38"/>
      <c r="BB66" s="38"/>
      <c r="BC66" s="38"/>
      <c r="BD66" s="610"/>
      <c r="BE66" s="38"/>
      <c r="BF66" s="38"/>
      <c r="BG66" s="38"/>
      <c r="BH66" s="38"/>
      <c r="BI66" s="581"/>
      <c r="BJ66" s="582"/>
    </row>
    <row r="67" spans="2:62" ht="15" customHeight="1">
      <c r="B67" s="48"/>
      <c r="D67" s="604"/>
      <c r="E67" s="604"/>
      <c r="F67" s="604"/>
      <c r="G67" s="604"/>
      <c r="H67" s="604"/>
      <c r="I67" s="604"/>
      <c r="J67" s="604"/>
      <c r="K67" s="604"/>
      <c r="L67" s="604"/>
      <c r="M67" s="604"/>
      <c r="N67" s="604"/>
      <c r="O67" s="604"/>
      <c r="P67" s="604"/>
      <c r="Q67" s="604"/>
      <c r="R67" s="604"/>
      <c r="S67" s="604"/>
      <c r="T67" s="31"/>
      <c r="U67" s="579"/>
      <c r="V67" s="38"/>
      <c r="W67" s="579"/>
      <c r="X67" s="579"/>
      <c r="Y67" s="579"/>
      <c r="Z67" s="579"/>
      <c r="AA67" s="579"/>
      <c r="AB67" s="579"/>
      <c r="AC67" s="579"/>
      <c r="AD67" s="579"/>
      <c r="AE67" s="579"/>
      <c r="AF67" s="579"/>
      <c r="AG67" s="579"/>
      <c r="AH67" s="579"/>
      <c r="AI67" s="1474"/>
      <c r="AJ67" s="1474"/>
      <c r="AK67" s="1474"/>
      <c r="AL67" s="1474"/>
      <c r="AM67" s="1474"/>
      <c r="AN67" s="1474"/>
      <c r="AO67" s="1474"/>
      <c r="AP67" s="1474"/>
      <c r="AQ67" s="1596"/>
      <c r="AR67" s="491"/>
      <c r="AS67" s="491"/>
      <c r="AT67" s="964"/>
      <c r="AU67" s="38"/>
      <c r="AV67" s="38"/>
      <c r="AW67" s="38"/>
      <c r="AX67" s="617"/>
      <c r="AY67" s="617"/>
      <c r="AZ67" s="38"/>
      <c r="BA67" s="38"/>
      <c r="BB67" s="38"/>
      <c r="BC67" s="38"/>
      <c r="BD67" s="38"/>
      <c r="BE67" s="606"/>
      <c r="BF67" s="617"/>
      <c r="BG67" s="617"/>
      <c r="BH67" s="617"/>
      <c r="BI67" s="618"/>
      <c r="BJ67" s="34"/>
    </row>
    <row r="68" spans="2:62" ht="14.25" customHeight="1">
      <c r="B68" s="48"/>
      <c r="C68" s="33"/>
      <c r="D68" s="31"/>
      <c r="E68" s="31"/>
      <c r="F68" s="31"/>
      <c r="G68" s="31"/>
      <c r="H68" s="31"/>
      <c r="I68" s="31"/>
      <c r="J68" s="31"/>
      <c r="K68" s="31"/>
      <c r="L68" s="31"/>
      <c r="M68" s="31"/>
      <c r="N68" s="31"/>
      <c r="O68" s="174"/>
      <c r="P68" s="31"/>
      <c r="Q68" s="31"/>
      <c r="R68" s="31"/>
      <c r="S68" s="31"/>
      <c r="T68" s="31"/>
      <c r="U68" s="31"/>
      <c r="V68" s="965"/>
      <c r="W68" s="965"/>
      <c r="X68" s="965"/>
      <c r="Y68" s="606"/>
      <c r="Z68" s="212"/>
      <c r="AA68" s="212"/>
      <c r="AB68" s="31"/>
      <c r="AC68" s="31"/>
      <c r="AD68" s="31"/>
      <c r="AE68" s="619"/>
      <c r="AF68" s="966"/>
      <c r="AG68" s="967"/>
      <c r="AH68" s="966"/>
      <c r="AI68" s="213"/>
      <c r="AJ68" s="213"/>
      <c r="AK68" s="213"/>
      <c r="AL68" s="213"/>
      <c r="AM68" s="213"/>
      <c r="AN68" s="213"/>
      <c r="AO68" s="213"/>
      <c r="AP68" s="213"/>
      <c r="AQ68" s="966"/>
      <c r="AR68" s="212"/>
      <c r="AS68" s="212"/>
      <c r="AT68" s="965"/>
      <c r="AU68" s="38"/>
      <c r="AV68" s="38"/>
      <c r="AW68" s="38"/>
      <c r="AX68" s="617"/>
      <c r="AY68" s="617"/>
      <c r="AZ68" s="38"/>
      <c r="BA68" s="38"/>
      <c r="BB68" s="38"/>
      <c r="BC68" s="38"/>
      <c r="BD68" s="38"/>
      <c r="BE68" s="38"/>
      <c r="BF68" s="617"/>
      <c r="BG68" s="617"/>
      <c r="BH68" s="617"/>
      <c r="BI68" s="618"/>
      <c r="BJ68" s="34"/>
    </row>
    <row r="69" spans="2:62" ht="15" customHeight="1">
      <c r="B69" s="48"/>
      <c r="C69" s="620" t="str">
        <f>'Evaluation-Bewertung'!C83</f>
        <v>At least 2/3 of questions must be answered for each evaluated process element and sub element</v>
      </c>
      <c r="D69" s="580"/>
      <c r="E69" s="580"/>
      <c r="F69" s="580"/>
      <c r="G69" s="580"/>
      <c r="H69" s="580"/>
      <c r="I69" s="31"/>
      <c r="J69" s="580"/>
      <c r="K69" s="580"/>
      <c r="L69" s="580"/>
      <c r="M69" s="580"/>
      <c r="N69" s="578"/>
      <c r="O69" s="621"/>
      <c r="P69" s="622"/>
      <c r="Q69" s="578"/>
      <c r="R69" s="578"/>
      <c r="S69" s="267"/>
      <c r="T69" s="267"/>
      <c r="U69" s="578"/>
      <c r="V69" s="578"/>
      <c r="W69" s="38"/>
      <c r="X69" s="578"/>
      <c r="Y69" s="578"/>
      <c r="Z69" s="578"/>
      <c r="AA69" s="580"/>
      <c r="AB69" s="580"/>
      <c r="AC69" s="580"/>
      <c r="AD69" s="580"/>
      <c r="AE69" s="38"/>
      <c r="AF69" s="38"/>
      <c r="AG69" s="272" t="str">
        <f>'Evaluation-Bewertung'!AG83</f>
        <v xml:space="preserve">Down grading rules must be applied to the classification results (A, B. C). This must be checked by the auditor! </v>
      </c>
      <c r="AH69" s="38"/>
      <c r="AI69" s="38"/>
      <c r="AJ69" s="38"/>
      <c r="AK69" s="38"/>
      <c r="AL69" s="38"/>
      <c r="AQ69" s="38"/>
      <c r="AR69" s="38"/>
      <c r="AS69" s="38"/>
      <c r="AT69" s="38"/>
      <c r="AU69" s="38"/>
      <c r="AV69" s="38"/>
      <c r="AW69" s="38"/>
      <c r="AX69" s="617"/>
      <c r="AY69" s="617"/>
      <c r="AZ69" s="617"/>
      <c r="BA69" s="617"/>
      <c r="BB69" s="617"/>
      <c r="BC69" s="617"/>
      <c r="BD69" s="617"/>
      <c r="BE69" s="617"/>
      <c r="BF69" s="617"/>
      <c r="BG69" s="617"/>
      <c r="BH69" s="617"/>
      <c r="BI69" s="581"/>
      <c r="BJ69" s="582"/>
    </row>
    <row r="70" spans="2:62" ht="7.15" customHeight="1" thickBot="1">
      <c r="B70" s="101"/>
      <c r="C70" s="623"/>
      <c r="D70" s="624"/>
      <c r="E70" s="624"/>
      <c r="F70" s="624"/>
      <c r="G70" s="624"/>
      <c r="H70" s="624"/>
      <c r="I70" s="624"/>
      <c r="J70" s="624"/>
      <c r="K70" s="624"/>
      <c r="L70" s="624"/>
      <c r="M70" s="624"/>
      <c r="N70" s="624"/>
      <c r="O70" s="624"/>
      <c r="P70" s="624"/>
      <c r="Q70" s="624"/>
      <c r="R70" s="624"/>
      <c r="S70" s="624"/>
      <c r="T70" s="624"/>
      <c r="U70" s="624"/>
      <c r="V70" s="624"/>
      <c r="W70" s="624"/>
      <c r="X70" s="624"/>
      <c r="Y70" s="624"/>
      <c r="Z70" s="624"/>
      <c r="AA70" s="624"/>
      <c r="AB70" s="624"/>
      <c r="AC70" s="624"/>
      <c r="AD70" s="624"/>
      <c r="AE70" s="624"/>
      <c r="AF70" s="624"/>
      <c r="AG70" s="624"/>
      <c r="AH70" s="624"/>
      <c r="AI70" s="624"/>
      <c r="AJ70" s="624"/>
      <c r="AK70" s="624"/>
      <c r="AL70" s="624"/>
      <c r="AM70" s="624"/>
      <c r="AN70" s="624"/>
      <c r="AO70" s="624"/>
      <c r="AP70" s="624"/>
      <c r="AQ70" s="624"/>
      <c r="AR70" s="624"/>
      <c r="AS70" s="624"/>
      <c r="AT70" s="624"/>
      <c r="AU70" s="624"/>
      <c r="AV70" s="624"/>
      <c r="AW70" s="624"/>
      <c r="AX70" s="624"/>
      <c r="AY70" s="624"/>
      <c r="AZ70" s="624"/>
      <c r="BA70" s="624"/>
      <c r="BB70" s="624"/>
      <c r="BC70" s="624"/>
      <c r="BD70" s="624"/>
      <c r="BE70" s="624"/>
      <c r="BF70" s="624"/>
      <c r="BG70" s="624"/>
      <c r="BH70" s="624"/>
      <c r="BI70" s="625"/>
      <c r="BJ70" s="582"/>
    </row>
    <row r="71" spans="2:62" ht="10.5" customHeight="1">
      <c r="C71" s="214"/>
      <c r="D71" s="215"/>
      <c r="E71" s="215"/>
      <c r="F71" s="215"/>
      <c r="G71" s="215"/>
      <c r="H71" s="215"/>
      <c r="I71" s="215"/>
      <c r="J71" s="215"/>
      <c r="K71" s="215"/>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row>
    <row r="72" spans="2:62" ht="21" customHeight="1">
      <c r="T72" s="290"/>
      <c r="U72" s="290"/>
      <c r="V72" s="290"/>
      <c r="W72" s="290"/>
      <c r="X72" s="290"/>
      <c r="Y72" s="290"/>
      <c r="Z72" s="290"/>
      <c r="AA72" s="290"/>
      <c r="AB72" s="290"/>
      <c r="AC72" s="290"/>
      <c r="AD72" s="290"/>
      <c r="AE72" s="290"/>
      <c r="AF72" s="290"/>
      <c r="AG72" s="290"/>
      <c r="AH72" s="290"/>
      <c r="AI72" s="290"/>
      <c r="AJ72" s="290"/>
      <c r="AK72" s="290"/>
      <c r="AL72" s="290"/>
      <c r="AM72" s="290"/>
      <c r="AN72" s="290"/>
      <c r="AO72" s="290"/>
      <c r="AP72" s="290"/>
      <c r="AQ72" s="290"/>
      <c r="AR72" s="290"/>
      <c r="AS72" s="290"/>
      <c r="AT72" s="290"/>
      <c r="AU72" s="290"/>
      <c r="AV72" s="290"/>
      <c r="AW72" s="1498"/>
      <c r="AX72" s="1498"/>
      <c r="AY72" s="1498"/>
      <c r="AZ72" s="1498"/>
      <c r="BA72" s="1498"/>
      <c r="BB72" s="1498"/>
      <c r="BC72" s="1498"/>
      <c r="BD72" s="1498"/>
      <c r="BE72" s="1498"/>
      <c r="BF72" s="1498"/>
      <c r="BG72" s="1498"/>
      <c r="BH72" s="1498"/>
      <c r="BI72" s="1498"/>
    </row>
    <row r="73" spans="2:62" ht="138" customHeight="1">
      <c r="D73" s="309" t="s">
        <v>76</v>
      </c>
      <c r="E73" s="310" t="s">
        <v>147</v>
      </c>
      <c r="F73" s="311"/>
      <c r="G73" s="274"/>
      <c r="H73" s="310" t="s">
        <v>153</v>
      </c>
      <c r="I73" s="312" t="s">
        <v>154</v>
      </c>
      <c r="J73" s="289"/>
      <c r="K73" s="289"/>
      <c r="L73" s="289"/>
      <c r="T73" s="290"/>
      <c r="U73" s="290"/>
      <c r="V73" s="290"/>
      <c r="W73" s="290"/>
      <c r="X73" s="290"/>
      <c r="Y73" s="290"/>
      <c r="Z73" s="290"/>
      <c r="AA73" s="290"/>
      <c r="AB73" s="290"/>
      <c r="AC73" s="290"/>
      <c r="AD73" s="290"/>
      <c r="AE73" s="290"/>
      <c r="AF73" s="289"/>
      <c r="AG73" s="289"/>
      <c r="AH73" s="289"/>
      <c r="AI73" s="289"/>
      <c r="AJ73" s="289"/>
      <c r="AK73" s="289"/>
      <c r="AL73" s="289"/>
      <c r="AM73" s="290"/>
      <c r="AN73" s="290"/>
      <c r="AO73" s="290"/>
      <c r="AP73" s="290"/>
      <c r="AQ73" s="290"/>
      <c r="AR73" s="290"/>
      <c r="AS73" s="290"/>
      <c r="AT73" s="290"/>
      <c r="AU73" s="290"/>
      <c r="AV73" s="290"/>
      <c r="AW73" s="1498"/>
      <c r="AX73" s="1498"/>
      <c r="AY73" s="1498"/>
      <c r="AZ73" s="1498"/>
      <c r="BA73" s="1498"/>
      <c r="BB73" s="1498"/>
      <c r="BC73" s="1498"/>
      <c r="BD73" s="1498"/>
      <c r="BE73" s="1498"/>
      <c r="BF73" s="1498"/>
      <c r="BG73" s="1498"/>
      <c r="BH73" s="1498"/>
      <c r="BI73" s="1498"/>
    </row>
    <row r="74" spans="2:62" ht="15.75">
      <c r="D74" s="313" t="s">
        <v>96</v>
      </c>
      <c r="E74" s="38"/>
      <c r="F74" s="38"/>
      <c r="G74" s="38"/>
      <c r="H74" s="38"/>
      <c r="I74" s="275"/>
      <c r="T74" s="290"/>
      <c r="U74" s="290"/>
      <c r="V74" s="290"/>
      <c r="W74" s="290"/>
      <c r="X74" s="290"/>
      <c r="Y74" s="290"/>
      <c r="Z74" s="290"/>
      <c r="AA74" s="290"/>
      <c r="AB74" s="290"/>
      <c r="AC74" s="290"/>
      <c r="AD74" s="290"/>
      <c r="AE74" s="290"/>
      <c r="AM74" s="290"/>
      <c r="AN74" s="290"/>
      <c r="AO74" s="290"/>
      <c r="AP74" s="290"/>
      <c r="AQ74" s="290"/>
      <c r="AR74" s="290"/>
      <c r="AS74" s="290"/>
      <c r="AT74" s="290"/>
      <c r="AU74" s="290"/>
      <c r="AV74" s="290"/>
      <c r="AW74" s="1589"/>
      <c r="AX74" s="1589"/>
      <c r="AY74" s="1589"/>
      <c r="AZ74" s="1589"/>
      <c r="BA74" s="1589"/>
      <c r="BB74" s="1589"/>
      <c r="BC74" s="1589"/>
      <c r="BD74" s="1589"/>
      <c r="BE74" s="1589"/>
      <c r="BF74" s="1589"/>
      <c r="BG74" s="1589"/>
      <c r="BH74" s="1589"/>
      <c r="BI74" s="1589"/>
    </row>
    <row r="75" spans="2:62" ht="15">
      <c r="D75" s="314" t="str">
        <f>+'Questions - Fragen'!$A13</f>
        <v>2.1</v>
      </c>
      <c r="E75" s="38"/>
      <c r="F75" s="38"/>
      <c r="G75" s="38"/>
      <c r="H75" s="38"/>
      <c r="I75" s="275"/>
      <c r="T75" s="290"/>
      <c r="U75" s="290"/>
      <c r="V75" s="290"/>
      <c r="W75" s="290"/>
      <c r="X75" s="290"/>
      <c r="Y75" s="290"/>
      <c r="Z75" s="290"/>
      <c r="AA75" s="290"/>
      <c r="AB75" s="290"/>
      <c r="AC75" s="290"/>
      <c r="AD75" s="290"/>
      <c r="AE75" s="290"/>
      <c r="AM75" s="290"/>
      <c r="AN75" s="290"/>
      <c r="AO75" s="290"/>
      <c r="AP75" s="290"/>
      <c r="AQ75" s="290"/>
      <c r="AR75" s="290"/>
      <c r="AS75" s="290"/>
      <c r="AT75" s="290"/>
      <c r="AU75" s="290"/>
      <c r="AV75" s="290"/>
      <c r="AW75" s="1589"/>
      <c r="AX75" s="1589"/>
      <c r="AY75" s="1589"/>
      <c r="AZ75" s="1589"/>
      <c r="BA75" s="1589"/>
      <c r="BB75" s="1589"/>
      <c r="BC75" s="1589"/>
      <c r="BD75" s="1589"/>
      <c r="BE75" s="1589"/>
      <c r="BF75" s="1589"/>
      <c r="BG75" s="1589"/>
      <c r="BH75" s="1589"/>
      <c r="BI75" s="1589"/>
    </row>
    <row r="76" spans="2:62" ht="15">
      <c r="D76" s="314" t="str">
        <f>+'Questions - Fragen'!$A14</f>
        <v>2.2</v>
      </c>
      <c r="E76" s="38"/>
      <c r="F76" s="38"/>
      <c r="G76" s="38"/>
      <c r="H76" s="38"/>
      <c r="I76" s="275"/>
      <c r="T76" s="290"/>
      <c r="U76" s="744"/>
      <c r="V76" s="744"/>
      <c r="W76" s="291"/>
      <c r="X76" s="744"/>
      <c r="Y76" s="744"/>
      <c r="Z76" s="744"/>
      <c r="AA76" s="744"/>
      <c r="AB76" s="744"/>
      <c r="AC76" s="744"/>
      <c r="AD76" s="744"/>
      <c r="AE76" s="744"/>
      <c r="AF76" s="744"/>
      <c r="AG76" s="744"/>
      <c r="AH76" s="744"/>
      <c r="AI76" s="744"/>
      <c r="AJ76" s="744"/>
      <c r="AK76" s="744"/>
      <c r="AL76" s="744"/>
      <c r="AM76" s="744"/>
      <c r="AN76" s="744"/>
      <c r="AO76" s="744"/>
      <c r="AP76" s="744"/>
      <c r="AQ76" s="744"/>
      <c r="AR76" s="744"/>
      <c r="AS76" s="744"/>
      <c r="AT76" s="744"/>
      <c r="AU76" s="744"/>
      <c r="AV76" s="744"/>
      <c r="AW76" s="1498"/>
      <c r="AX76" s="1498"/>
      <c r="AY76" s="1498"/>
      <c r="AZ76" s="1498"/>
      <c r="BA76" s="1498"/>
      <c r="BB76" s="1498"/>
      <c r="BC76" s="1498"/>
      <c r="BD76" s="1498"/>
      <c r="BE76" s="1498"/>
      <c r="BF76" s="1498"/>
      <c r="BG76" s="1498"/>
      <c r="BH76" s="1498"/>
      <c r="BI76" s="1498"/>
    </row>
    <row r="77" spans="2:62" ht="15">
      <c r="D77" s="314" t="str">
        <f>+'Questions - Fragen'!$A15</f>
        <v>2.3</v>
      </c>
      <c r="E77" s="38"/>
      <c r="F77" s="38"/>
      <c r="G77" s="38"/>
      <c r="H77" s="38"/>
      <c r="I77" s="275"/>
      <c r="T77" s="290"/>
      <c r="U77" s="744"/>
      <c r="V77" s="744"/>
      <c r="W77" s="744"/>
      <c r="X77" s="744"/>
      <c r="Y77" s="744"/>
      <c r="Z77" s="744"/>
      <c r="AA77" s="744"/>
      <c r="AB77" s="744"/>
      <c r="AC77" s="744"/>
      <c r="AD77" s="744"/>
      <c r="AE77" s="744"/>
      <c r="AF77" s="744"/>
      <c r="AG77" s="744"/>
      <c r="AH77" s="744"/>
      <c r="AI77" s="744"/>
      <c r="AJ77" s="744"/>
      <c r="AK77" s="744"/>
      <c r="AL77" s="744"/>
      <c r="AM77" s="744"/>
      <c r="AN77" s="744"/>
      <c r="AO77" s="744"/>
      <c r="AP77" s="744"/>
      <c r="AQ77" s="744"/>
      <c r="AR77" s="744"/>
      <c r="AS77" s="744"/>
      <c r="AT77" s="744"/>
      <c r="AU77" s="744"/>
      <c r="AV77" s="744"/>
      <c r="AW77" s="1498"/>
      <c r="AX77" s="1498"/>
      <c r="AY77" s="1498"/>
      <c r="AZ77" s="1498"/>
      <c r="BA77" s="1498"/>
      <c r="BB77" s="1498"/>
      <c r="BC77" s="1498"/>
      <c r="BD77" s="1498"/>
      <c r="BE77" s="1498"/>
      <c r="BF77" s="1498"/>
      <c r="BG77" s="1498"/>
      <c r="BH77" s="1498"/>
      <c r="BI77" s="1498"/>
    </row>
    <row r="78" spans="2:62" ht="15">
      <c r="D78" s="314" t="str">
        <f>+'Questions - Fragen'!$A16</f>
        <v>2.4</v>
      </c>
      <c r="E78" s="38"/>
      <c r="F78" s="38"/>
      <c r="G78" s="38"/>
      <c r="H78" s="38"/>
      <c r="I78" s="275"/>
      <c r="T78" s="290"/>
      <c r="U78" s="744"/>
      <c r="V78" s="744"/>
      <c r="W78" s="1479"/>
      <c r="X78" s="1480"/>
      <c r="Y78" s="1480"/>
      <c r="Z78" s="1480"/>
      <c r="AA78" s="1480"/>
      <c r="AB78" s="1480"/>
      <c r="AC78" s="1480"/>
      <c r="AD78" s="1480"/>
      <c r="AE78" s="1480"/>
      <c r="AF78" s="1480"/>
      <c r="AG78" s="1480"/>
      <c r="AH78" s="1480"/>
      <c r="AI78" s="1480"/>
      <c r="AJ78" s="1480"/>
      <c r="AK78" s="1480"/>
      <c r="AL78" s="1480"/>
      <c r="AM78" s="1480"/>
      <c r="AN78" s="1480"/>
      <c r="AO78" s="1480"/>
      <c r="AP78" s="1480"/>
      <c r="AQ78" s="1480"/>
      <c r="AR78" s="1480"/>
      <c r="AS78" s="1480"/>
      <c r="AT78" s="1480"/>
      <c r="AU78" s="1480"/>
      <c r="AV78" s="1480"/>
      <c r="AW78" s="1498"/>
      <c r="AX78" s="1498"/>
      <c r="AY78" s="1498"/>
      <c r="AZ78" s="1498"/>
      <c r="BA78" s="1498"/>
      <c r="BB78" s="1498"/>
      <c r="BC78" s="1498"/>
      <c r="BD78" s="1498"/>
      <c r="BE78" s="1498"/>
      <c r="BF78" s="1498"/>
      <c r="BG78" s="1498"/>
      <c r="BH78" s="1498"/>
      <c r="BI78" s="1498"/>
    </row>
    <row r="79" spans="2:62" ht="15">
      <c r="D79" s="314" t="str">
        <f>+'Questions - Fragen'!$A17</f>
        <v>2.5</v>
      </c>
      <c r="E79" s="38" t="str">
        <f>H8</f>
        <v>n.e.</v>
      </c>
      <c r="F79" s="38"/>
      <c r="G79" s="38"/>
      <c r="H79" s="38"/>
      <c r="I79" s="275"/>
      <c r="T79" s="290"/>
      <c r="U79" s="744"/>
      <c r="V79" s="744"/>
      <c r="W79" s="1480"/>
      <c r="X79" s="1480"/>
      <c r="Y79" s="1480"/>
      <c r="Z79" s="1480"/>
      <c r="AA79" s="1480"/>
      <c r="AB79" s="1480"/>
      <c r="AC79" s="1480"/>
      <c r="AD79" s="1480"/>
      <c r="AE79" s="1480"/>
      <c r="AF79" s="1480"/>
      <c r="AG79" s="1480"/>
      <c r="AH79" s="1480"/>
      <c r="AI79" s="1480"/>
      <c r="AJ79" s="1480"/>
      <c r="AK79" s="1480"/>
      <c r="AL79" s="1480"/>
      <c r="AM79" s="1480"/>
      <c r="AN79" s="1480"/>
      <c r="AO79" s="1480"/>
      <c r="AP79" s="1480"/>
      <c r="AQ79" s="1480"/>
      <c r="AR79" s="1480"/>
      <c r="AS79" s="1480"/>
      <c r="AT79" s="1480"/>
      <c r="AU79" s="1480"/>
      <c r="AV79" s="1480"/>
      <c r="AW79" s="1498"/>
      <c r="AX79" s="1498"/>
      <c r="AY79" s="1498"/>
      <c r="AZ79" s="1498"/>
      <c r="BA79" s="1498"/>
      <c r="BB79" s="1498"/>
      <c r="BC79" s="1498"/>
      <c r="BD79" s="1498"/>
      <c r="BE79" s="1498"/>
      <c r="BF79" s="1498"/>
      <c r="BG79" s="1498"/>
      <c r="BH79" s="1498"/>
      <c r="BI79" s="1498"/>
    </row>
    <row r="80" spans="2:62" ht="15">
      <c r="D80" s="314" t="str">
        <f>+'Questions - Fragen'!$A18</f>
        <v>2.6</v>
      </c>
      <c r="E80" s="38" t="str">
        <f>I8</f>
        <v>n.e.</v>
      </c>
      <c r="F80" s="38"/>
      <c r="G80" s="38"/>
      <c r="H80" s="38"/>
      <c r="I80" s="275"/>
      <c r="T80" s="290"/>
      <c r="U80" s="744"/>
      <c r="V80" s="744"/>
      <c r="W80" s="1476"/>
      <c r="X80" s="1477"/>
      <c r="Y80" s="1477"/>
      <c r="Z80" s="1477"/>
      <c r="AA80" s="1477"/>
      <c r="AB80" s="1477"/>
      <c r="AC80" s="1477"/>
      <c r="AD80" s="1477"/>
      <c r="AE80" s="1477"/>
      <c r="AF80" s="1477"/>
      <c r="AG80" s="1477"/>
      <c r="AH80" s="1477"/>
      <c r="AI80" s="1477"/>
      <c r="AJ80" s="1477"/>
      <c r="AK80" s="1477"/>
      <c r="AL80" s="1477"/>
      <c r="AM80" s="1477"/>
      <c r="AN80" s="1477"/>
      <c r="AO80" s="1477"/>
      <c r="AP80" s="1477"/>
      <c r="AQ80" s="1477"/>
      <c r="AR80" s="1477"/>
      <c r="AS80" s="1477"/>
      <c r="AT80" s="1477"/>
      <c r="AU80" s="1477"/>
      <c r="AV80" s="1477"/>
      <c r="AW80" s="1498"/>
      <c r="AX80" s="1498"/>
      <c r="AY80" s="1498"/>
      <c r="AZ80" s="1498"/>
      <c r="BA80" s="1498"/>
      <c r="BB80" s="1498"/>
      <c r="BC80" s="1498"/>
      <c r="BD80" s="1498"/>
      <c r="BE80" s="1498"/>
      <c r="BF80" s="1498"/>
      <c r="BG80" s="1498"/>
      <c r="BH80" s="1498"/>
      <c r="BI80" s="1498"/>
    </row>
    <row r="81" spans="4:61" ht="15">
      <c r="D81" s="314" t="str">
        <f>+'Questions - Fragen'!$A19</f>
        <v>2.7</v>
      </c>
      <c r="E81" s="38"/>
      <c r="F81" s="38"/>
      <c r="G81" s="38"/>
      <c r="H81" s="38"/>
      <c r="I81" s="275"/>
      <c r="T81" s="290"/>
      <c r="U81" s="744"/>
      <c r="V81" s="744"/>
      <c r="W81" s="1477"/>
      <c r="X81" s="1477"/>
      <c r="Y81" s="1477"/>
      <c r="Z81" s="1477"/>
      <c r="AA81" s="1477"/>
      <c r="AB81" s="1477"/>
      <c r="AC81" s="1477"/>
      <c r="AD81" s="1477"/>
      <c r="AE81" s="1477"/>
      <c r="AF81" s="1477"/>
      <c r="AG81" s="1477"/>
      <c r="AH81" s="1477"/>
      <c r="AI81" s="1477"/>
      <c r="AJ81" s="1477"/>
      <c r="AK81" s="1477"/>
      <c r="AL81" s="1477"/>
      <c r="AM81" s="1477"/>
      <c r="AN81" s="1477"/>
      <c r="AO81" s="1477"/>
      <c r="AP81" s="1477"/>
      <c r="AQ81" s="1477"/>
      <c r="AR81" s="1477"/>
      <c r="AS81" s="1477"/>
      <c r="AT81" s="1477"/>
      <c r="AU81" s="1477"/>
      <c r="AV81" s="1477"/>
      <c r="AW81" s="1498"/>
      <c r="AX81" s="1498"/>
      <c r="AY81" s="1498"/>
      <c r="AZ81" s="1498"/>
      <c r="BA81" s="1498"/>
      <c r="BB81" s="1498"/>
      <c r="BC81" s="1498"/>
      <c r="BD81" s="1498"/>
      <c r="BE81" s="1498"/>
      <c r="BF81" s="1498"/>
      <c r="BG81" s="1498"/>
      <c r="BH81" s="1498"/>
      <c r="BI81" s="1498"/>
    </row>
    <row r="82" spans="4:61" ht="15.75">
      <c r="D82" s="315" t="str">
        <f>+'Questions - Fragen'!$A20</f>
        <v>P3</v>
      </c>
      <c r="E82" s="38"/>
      <c r="F82" s="38"/>
      <c r="G82" s="272" t="s">
        <v>96</v>
      </c>
      <c r="H82" s="38" t="str">
        <f>+IF(COUNT(E75:E81)=0,"n.b.",+IF(MIN(E75:E81)=0,"C",+IF(MIN(E75:E81)=4,"B","A")))</f>
        <v>n.b.</v>
      </c>
      <c r="I82" s="275" t="str">
        <f>+A8</f>
        <v>n.e.</v>
      </c>
      <c r="T82" s="290"/>
      <c r="U82" s="744"/>
      <c r="V82" s="744"/>
      <c r="W82" s="1477"/>
      <c r="X82" s="1477"/>
      <c r="Y82" s="1477"/>
      <c r="Z82" s="1477"/>
      <c r="AA82" s="1477"/>
      <c r="AB82" s="1477"/>
      <c r="AC82" s="1477"/>
      <c r="AD82" s="1477"/>
      <c r="AE82" s="1477"/>
      <c r="AF82" s="1477"/>
      <c r="AG82" s="1477"/>
      <c r="AH82" s="1477"/>
      <c r="AI82" s="1477"/>
      <c r="AJ82" s="1477"/>
      <c r="AK82" s="1477"/>
      <c r="AL82" s="1477"/>
      <c r="AM82" s="1477"/>
      <c r="AN82" s="1477"/>
      <c r="AO82" s="1477"/>
      <c r="AP82" s="1477"/>
      <c r="AQ82" s="1477"/>
      <c r="AR82" s="1477"/>
      <c r="AS82" s="1477"/>
      <c r="AT82" s="1477"/>
      <c r="AU82" s="1477"/>
      <c r="AV82" s="1477"/>
      <c r="AW82" s="1482"/>
      <c r="AX82" s="1482"/>
      <c r="AY82" s="1482"/>
      <c r="AZ82" s="1482"/>
      <c r="BA82" s="1482"/>
      <c r="BB82" s="1482"/>
      <c r="BC82" s="1482"/>
      <c r="BD82" s="1482"/>
      <c r="BE82" s="1482"/>
      <c r="BF82" s="1482"/>
      <c r="BG82" s="1482"/>
      <c r="BH82" s="1482"/>
      <c r="BI82" s="1482"/>
    </row>
    <row r="83" spans="4:61" ht="15">
      <c r="D83" s="314" t="str">
        <f>+'Questions - Fragen'!$A22</f>
        <v>3.1</v>
      </c>
      <c r="E83" s="38"/>
      <c r="F83" s="38"/>
      <c r="G83" s="38"/>
      <c r="H83" s="38"/>
      <c r="I83" s="275"/>
      <c r="T83" s="290"/>
      <c r="U83" s="744"/>
      <c r="V83" s="744"/>
      <c r="W83" s="1476"/>
      <c r="X83" s="1477"/>
      <c r="Y83" s="1477"/>
      <c r="Z83" s="1477"/>
      <c r="AA83" s="1477"/>
      <c r="AB83" s="1477"/>
      <c r="AC83" s="1477"/>
      <c r="AD83" s="1477"/>
      <c r="AE83" s="1477"/>
      <c r="AF83" s="1477"/>
      <c r="AG83" s="1477"/>
      <c r="AH83" s="1477"/>
      <c r="AI83" s="1477"/>
      <c r="AJ83" s="1477"/>
      <c r="AK83" s="1477"/>
      <c r="AL83" s="1477"/>
      <c r="AM83" s="1477"/>
      <c r="AN83" s="1477"/>
      <c r="AO83" s="1477"/>
      <c r="AP83" s="1477"/>
      <c r="AQ83" s="1477"/>
      <c r="AR83" s="1477"/>
      <c r="AS83" s="1477"/>
      <c r="AT83" s="1477"/>
      <c r="AU83" s="1477"/>
      <c r="AV83" s="1477"/>
      <c r="AW83" s="1481"/>
      <c r="AX83" s="1482"/>
      <c r="AY83" s="1482"/>
      <c r="AZ83" s="1482"/>
      <c r="BA83" s="1482"/>
      <c r="BB83" s="1482"/>
      <c r="BC83" s="1482"/>
      <c r="BD83" s="1482"/>
      <c r="BE83" s="1482"/>
      <c r="BF83" s="1482"/>
      <c r="BG83" s="1482"/>
      <c r="BH83" s="1482"/>
      <c r="BI83" s="1482"/>
    </row>
    <row r="84" spans="4:61" ht="15">
      <c r="D84" s="314" t="str">
        <f>+'Questions - Fragen'!$A25</f>
        <v>3.2</v>
      </c>
      <c r="E84" s="38" t="str">
        <f>IF(COUNT(J84:K84)&gt;0,MIN(J84:K84),"n.b")</f>
        <v>n.b</v>
      </c>
      <c r="F84" s="38"/>
      <c r="G84" s="38"/>
      <c r="H84" s="38"/>
      <c r="I84" s="275"/>
      <c r="J84" s="167" t="str">
        <f>E14</f>
        <v>n.e.</v>
      </c>
      <c r="K84" s="167" t="str">
        <f>P14</f>
        <v>n.e.</v>
      </c>
      <c r="T84" s="290"/>
      <c r="U84" s="744"/>
      <c r="V84" s="744"/>
      <c r="W84" s="1477"/>
      <c r="X84" s="1477"/>
      <c r="Y84" s="1477"/>
      <c r="Z84" s="1477"/>
      <c r="AA84" s="1477"/>
      <c r="AB84" s="1477"/>
      <c r="AC84" s="1477"/>
      <c r="AD84" s="1477"/>
      <c r="AE84" s="1477"/>
      <c r="AF84" s="1477"/>
      <c r="AG84" s="1477"/>
      <c r="AH84" s="1477"/>
      <c r="AI84" s="1477"/>
      <c r="AJ84" s="1477"/>
      <c r="AK84" s="1477"/>
      <c r="AL84" s="1477"/>
      <c r="AM84" s="1477"/>
      <c r="AN84" s="1477"/>
      <c r="AO84" s="1477"/>
      <c r="AP84" s="1477"/>
      <c r="AQ84" s="1477"/>
      <c r="AR84" s="1477"/>
      <c r="AS84" s="1477"/>
      <c r="AT84" s="1477"/>
      <c r="AU84" s="1477"/>
      <c r="AV84" s="1477"/>
      <c r="AW84" s="1482"/>
      <c r="AX84" s="1482"/>
      <c r="AY84" s="1482"/>
      <c r="AZ84" s="1482"/>
      <c r="BA84" s="1482"/>
      <c r="BB84" s="1482"/>
      <c r="BC84" s="1482"/>
      <c r="BD84" s="1482"/>
      <c r="BE84" s="1482"/>
      <c r="BF84" s="1482"/>
      <c r="BG84" s="1482"/>
      <c r="BH84" s="1482"/>
      <c r="BI84" s="1482"/>
    </row>
    <row r="85" spans="4:61" ht="15">
      <c r="D85" s="314" t="str">
        <f>+'Questions - Fragen'!$A28</f>
        <v>3.3</v>
      </c>
      <c r="E85" s="38"/>
      <c r="F85" s="38"/>
      <c r="G85" s="38"/>
      <c r="H85" s="38"/>
      <c r="I85" s="275"/>
      <c r="J85" s="167"/>
      <c r="K85" s="167"/>
      <c r="T85" s="290"/>
      <c r="U85" s="744"/>
      <c r="V85" s="744"/>
      <c r="W85" s="1588"/>
      <c r="X85" s="1588"/>
      <c r="Y85" s="1588"/>
      <c r="Z85" s="1588"/>
      <c r="AA85" s="1588"/>
      <c r="AB85" s="1588"/>
      <c r="AC85" s="1588"/>
      <c r="AD85" s="1588"/>
      <c r="AE85" s="1588"/>
      <c r="AF85" s="1588"/>
      <c r="AG85" s="1588"/>
      <c r="AH85" s="1588"/>
      <c r="AI85" s="1588"/>
      <c r="AJ85" s="1588"/>
      <c r="AK85" s="1588"/>
      <c r="AL85" s="1588"/>
      <c r="AM85" s="1588"/>
      <c r="AN85" s="1588"/>
      <c r="AO85" s="1588"/>
      <c r="AP85" s="1588"/>
      <c r="AQ85" s="1588"/>
      <c r="AR85" s="1588"/>
      <c r="AS85" s="1588"/>
      <c r="AT85" s="1588"/>
      <c r="AU85" s="1588"/>
      <c r="AV85" s="1588"/>
      <c r="AW85" s="1481"/>
      <c r="AX85" s="1482"/>
      <c r="AY85" s="1482"/>
      <c r="AZ85" s="1482"/>
      <c r="BA85" s="1482"/>
      <c r="BB85" s="1482"/>
      <c r="BC85" s="1482"/>
      <c r="BD85" s="1482"/>
      <c r="BE85" s="1482"/>
      <c r="BF85" s="1482"/>
      <c r="BG85" s="1482"/>
      <c r="BH85" s="1482"/>
      <c r="BI85" s="1482"/>
    </row>
    <row r="86" spans="4:61" ht="15">
      <c r="D86" s="314" t="str">
        <f>+'Questions - Fragen'!$A31</f>
        <v>3.4</v>
      </c>
      <c r="E86" s="38"/>
      <c r="F86" s="38"/>
      <c r="G86" s="38"/>
      <c r="H86" s="38"/>
      <c r="I86" s="275"/>
      <c r="J86" s="167"/>
      <c r="K86" s="167"/>
      <c r="T86" s="290"/>
      <c r="U86" s="744"/>
      <c r="V86" s="744"/>
      <c r="W86" s="1588"/>
      <c r="X86" s="1588"/>
      <c r="Y86" s="1588"/>
      <c r="Z86" s="1588"/>
      <c r="AA86" s="1588"/>
      <c r="AB86" s="1588"/>
      <c r="AC86" s="1588"/>
      <c r="AD86" s="1588"/>
      <c r="AE86" s="1588"/>
      <c r="AF86" s="1588"/>
      <c r="AG86" s="1588"/>
      <c r="AH86" s="1588"/>
      <c r="AI86" s="1588"/>
      <c r="AJ86" s="1588"/>
      <c r="AK86" s="1588"/>
      <c r="AL86" s="1588"/>
      <c r="AM86" s="1588"/>
      <c r="AN86" s="1588"/>
      <c r="AO86" s="1588"/>
      <c r="AP86" s="1588"/>
      <c r="AQ86" s="1588"/>
      <c r="AR86" s="1588"/>
      <c r="AS86" s="1588"/>
      <c r="AT86" s="1588"/>
      <c r="AU86" s="1588"/>
      <c r="AV86" s="1588"/>
      <c r="AW86" s="1482"/>
      <c r="AX86" s="1482"/>
      <c r="AY86" s="1482"/>
      <c r="AZ86" s="1482"/>
      <c r="BA86" s="1482"/>
      <c r="BB86" s="1482"/>
      <c r="BC86" s="1482"/>
      <c r="BD86" s="1482"/>
      <c r="BE86" s="1482"/>
      <c r="BF86" s="1482"/>
      <c r="BG86" s="1482"/>
      <c r="BH86" s="1482"/>
      <c r="BI86" s="1482"/>
    </row>
    <row r="87" spans="4:61">
      <c r="D87" s="314" t="str">
        <f>+'Questions - Fragen'!$A34</f>
        <v>3.5</v>
      </c>
      <c r="E87" s="38"/>
      <c r="F87" s="38"/>
      <c r="G87" s="38"/>
      <c r="H87" s="38"/>
      <c r="I87" s="275"/>
      <c r="J87" s="167"/>
      <c r="K87" s="167"/>
      <c r="T87" s="260"/>
      <c r="U87" s="1497"/>
      <c r="V87" s="1497"/>
      <c r="W87" s="1497"/>
      <c r="X87" s="1497"/>
      <c r="Y87" s="1497"/>
      <c r="Z87" s="1497"/>
      <c r="AA87" s="1497"/>
      <c r="AB87" s="1497"/>
      <c r="AC87" s="1497"/>
      <c r="AD87" s="1497"/>
      <c r="AE87" s="1497"/>
      <c r="AF87" s="1497"/>
      <c r="AG87" s="1497"/>
      <c r="AH87" s="1497"/>
      <c r="AI87" s="1497"/>
      <c r="AJ87" s="1497"/>
      <c r="AK87" s="1497"/>
      <c r="AL87" s="1497"/>
      <c r="AM87" s="1497"/>
      <c r="AN87" s="1497"/>
      <c r="AO87" s="1497"/>
      <c r="AP87" s="1497"/>
      <c r="AQ87" s="1497"/>
      <c r="AR87" s="1497"/>
      <c r="AS87" s="1497"/>
      <c r="AT87" s="1497"/>
      <c r="AU87" s="1497"/>
      <c r="AV87" s="1497"/>
      <c r="AW87" s="1482"/>
      <c r="AX87" s="1482"/>
      <c r="AY87" s="1482"/>
      <c r="AZ87" s="1482"/>
      <c r="BA87" s="1482"/>
      <c r="BB87" s="1482"/>
      <c r="BC87" s="1482"/>
      <c r="BD87" s="1482"/>
      <c r="BE87" s="1482"/>
      <c r="BF87" s="1482"/>
      <c r="BG87" s="1482"/>
      <c r="BH87" s="1482"/>
      <c r="BI87" s="1482"/>
    </row>
    <row r="88" spans="4:61" ht="15">
      <c r="D88" s="315" t="str">
        <f>+'Questions - Fragen'!$A37</f>
        <v>P4</v>
      </c>
      <c r="E88" s="38"/>
      <c r="F88" s="38"/>
      <c r="G88" s="272" t="s">
        <v>97</v>
      </c>
      <c r="H88" s="38" t="str">
        <f>+IF(COUNT(E82:E87)=0,"n.b.",+IF(MIN(E82:E87)=0,"C",+IF(MIN(E82:E87)=4,"B","A")))</f>
        <v>n.b.</v>
      </c>
      <c r="I88" s="275" t="str">
        <f>+A14</f>
        <v>n.e.</v>
      </c>
      <c r="J88" s="167"/>
      <c r="K88" s="167"/>
      <c r="T88" s="260"/>
      <c r="U88" s="1497"/>
      <c r="V88" s="1497"/>
      <c r="W88" s="1497"/>
      <c r="X88" s="1497"/>
      <c r="Y88" s="1497"/>
      <c r="Z88" s="1497"/>
      <c r="AA88" s="1497"/>
      <c r="AB88" s="1497"/>
      <c r="AC88" s="1497"/>
      <c r="AD88" s="1497"/>
      <c r="AE88" s="1497"/>
      <c r="AF88" s="1497"/>
      <c r="AG88" s="1497"/>
      <c r="AH88" s="1497"/>
      <c r="AI88" s="1497"/>
      <c r="AJ88" s="1497"/>
      <c r="AK88" s="1497"/>
      <c r="AL88" s="1497"/>
      <c r="AM88" s="1497"/>
      <c r="AN88" s="1497"/>
      <c r="AO88" s="1497"/>
      <c r="AP88" s="1497"/>
      <c r="AQ88" s="1497"/>
      <c r="AR88" s="1497"/>
      <c r="AS88" s="1497"/>
      <c r="AT88" s="1497"/>
      <c r="AU88" s="1497"/>
      <c r="AV88" s="1497"/>
      <c r="AW88" s="1482"/>
      <c r="AX88" s="1482"/>
      <c r="AY88" s="1482"/>
      <c r="AZ88" s="1482"/>
      <c r="BA88" s="1482"/>
      <c r="BB88" s="1482"/>
      <c r="BC88" s="1482"/>
      <c r="BD88" s="1482"/>
      <c r="BE88" s="1482"/>
      <c r="BF88" s="1482"/>
      <c r="BG88" s="1482"/>
      <c r="BH88" s="1482"/>
      <c r="BI88" s="1482"/>
    </row>
    <row r="89" spans="4:61">
      <c r="D89" s="314" t="str">
        <f>+'Questions - Fragen'!$A39</f>
        <v>4.1</v>
      </c>
      <c r="E89" s="38" t="str">
        <f>IF(COUNT(J89:K89)&gt;0,MIN(J89:K89),"n.b")</f>
        <v>n.b</v>
      </c>
      <c r="F89" s="38"/>
      <c r="G89" s="38"/>
      <c r="H89" s="38"/>
      <c r="I89" s="275"/>
      <c r="J89" s="167" t="str">
        <f>D22</f>
        <v>n.e.</v>
      </c>
      <c r="K89" s="167" t="str">
        <f>Q22</f>
        <v>n.e.</v>
      </c>
      <c r="T89" s="260"/>
      <c r="U89" s="1497"/>
      <c r="V89" s="1497"/>
      <c r="W89" s="1497"/>
      <c r="X89" s="1497"/>
      <c r="Y89" s="1497"/>
      <c r="Z89" s="1497"/>
      <c r="AA89" s="1497"/>
      <c r="AB89" s="1497"/>
      <c r="AC89" s="1497"/>
      <c r="AD89" s="1497"/>
      <c r="AE89" s="1497"/>
      <c r="AF89" s="1497"/>
      <c r="AG89" s="1497"/>
      <c r="AH89" s="1497"/>
      <c r="AI89" s="1497"/>
      <c r="AJ89" s="1497"/>
      <c r="AK89" s="1497"/>
      <c r="AL89" s="1497"/>
      <c r="AM89" s="1497"/>
      <c r="AN89" s="1497"/>
      <c r="AO89" s="1497"/>
      <c r="AP89" s="1497"/>
      <c r="AQ89" s="1497"/>
      <c r="AR89" s="1497"/>
      <c r="AS89" s="1497"/>
      <c r="AT89" s="1497"/>
      <c r="AU89" s="1497"/>
      <c r="AV89" s="1497"/>
      <c r="AW89" s="1482"/>
      <c r="AX89" s="1482"/>
      <c r="AY89" s="1482"/>
      <c r="AZ89" s="1482"/>
      <c r="BA89" s="1482"/>
      <c r="BB89" s="1482"/>
      <c r="BC89" s="1482"/>
      <c r="BD89" s="1482"/>
      <c r="BE89" s="1482"/>
      <c r="BF89" s="1482"/>
      <c r="BG89" s="1482"/>
      <c r="BH89" s="1482"/>
      <c r="BI89" s="1482"/>
    </row>
    <row r="90" spans="4:61">
      <c r="D90" s="314" t="str">
        <f>+'Questions - Fragen'!$A42</f>
        <v>4.2</v>
      </c>
      <c r="E90" s="38"/>
      <c r="F90" s="38"/>
      <c r="G90" s="38"/>
      <c r="H90" s="38"/>
      <c r="I90" s="275"/>
      <c r="J90" s="167"/>
      <c r="K90" s="167"/>
      <c r="T90" s="260"/>
      <c r="U90" s="1497"/>
      <c r="V90" s="1497"/>
      <c r="W90" s="1497"/>
      <c r="X90" s="1497"/>
      <c r="Y90" s="1497"/>
      <c r="Z90" s="1497"/>
      <c r="AA90" s="1497"/>
      <c r="AB90" s="1497"/>
      <c r="AC90" s="1497"/>
      <c r="AD90" s="1497"/>
      <c r="AE90" s="1497"/>
      <c r="AF90" s="1497"/>
      <c r="AG90" s="1497"/>
      <c r="AH90" s="1497"/>
      <c r="AI90" s="1497"/>
      <c r="AJ90" s="1497"/>
      <c r="AK90" s="1497"/>
      <c r="AL90" s="1497"/>
      <c r="AM90" s="1497"/>
      <c r="AN90" s="1497"/>
      <c r="AO90" s="1497"/>
      <c r="AP90" s="1497"/>
      <c r="AQ90" s="1497"/>
      <c r="AR90" s="1497"/>
      <c r="AS90" s="1497"/>
      <c r="AT90" s="1497"/>
      <c r="AU90" s="1497"/>
      <c r="AV90" s="1497"/>
      <c r="AW90" s="1482"/>
      <c r="AX90" s="1482"/>
      <c r="AY90" s="1482"/>
      <c r="AZ90" s="1482"/>
      <c r="BA90" s="1482"/>
      <c r="BB90" s="1482"/>
      <c r="BC90" s="1482"/>
      <c r="BD90" s="1482"/>
      <c r="BE90" s="1482"/>
      <c r="BF90" s="1482"/>
      <c r="BG90" s="1482"/>
      <c r="BH90" s="1482"/>
      <c r="BI90" s="1482"/>
    </row>
    <row r="91" spans="4:61">
      <c r="D91" s="314" t="str">
        <f>+'Questions - Fragen'!$A45</f>
        <v>4.3</v>
      </c>
      <c r="E91" s="38"/>
      <c r="F91" s="38"/>
      <c r="G91" s="38"/>
      <c r="H91" s="38"/>
      <c r="I91" s="275"/>
      <c r="J91" s="167"/>
      <c r="K91" s="167"/>
      <c r="T91" s="260"/>
      <c r="U91" s="1497"/>
      <c r="V91" s="1497"/>
      <c r="W91" s="1497"/>
      <c r="X91" s="1497"/>
      <c r="Y91" s="1497"/>
      <c r="Z91" s="1497"/>
      <c r="AA91" s="1497"/>
      <c r="AB91" s="1497"/>
      <c r="AC91" s="1497"/>
      <c r="AD91" s="1497"/>
      <c r="AE91" s="1497"/>
      <c r="AF91" s="1497"/>
      <c r="AG91" s="1497"/>
      <c r="AH91" s="1497"/>
      <c r="AI91" s="1497"/>
      <c r="AJ91" s="1497"/>
      <c r="AK91" s="1497"/>
      <c r="AL91" s="1497"/>
      <c r="AM91" s="1497"/>
      <c r="AN91" s="1497"/>
      <c r="AO91" s="1497"/>
      <c r="AP91" s="1497"/>
      <c r="AQ91" s="1497"/>
      <c r="AR91" s="1497"/>
      <c r="AS91" s="1497"/>
      <c r="AT91" s="1497"/>
      <c r="AU91" s="1497"/>
      <c r="AV91" s="1497"/>
      <c r="AW91" s="1482"/>
      <c r="AX91" s="1482"/>
      <c r="AY91" s="1482"/>
      <c r="AZ91" s="1482"/>
      <c r="BA91" s="1482"/>
      <c r="BB91" s="1482"/>
      <c r="BC91" s="1482"/>
      <c r="BD91" s="1482"/>
      <c r="BE91" s="1482"/>
      <c r="BF91" s="1482"/>
      <c r="BG91" s="1482"/>
      <c r="BH91" s="1482"/>
      <c r="BI91" s="1482"/>
    </row>
    <row r="92" spans="4:61">
      <c r="D92" s="314" t="str">
        <f>+'Questions - Fragen'!$A48</f>
        <v>4.4</v>
      </c>
      <c r="E92" s="38" t="str">
        <f>IF(COUNT(J92:K92)&gt;0,MIN(J92:K92),"n.b")</f>
        <v>n.b</v>
      </c>
      <c r="F92" s="38"/>
      <c r="G92" s="38"/>
      <c r="H92" s="38"/>
      <c r="I92" s="275"/>
      <c r="J92" s="167" t="str">
        <f>G22</f>
        <v>n.e.</v>
      </c>
      <c r="K92" s="167" t="str">
        <f>T22</f>
        <v>n.e.</v>
      </c>
      <c r="T92" s="260"/>
      <c r="U92" s="1497"/>
      <c r="V92" s="1497"/>
      <c r="W92" s="1497"/>
      <c r="X92" s="1497"/>
      <c r="Y92" s="1497"/>
      <c r="Z92" s="1497"/>
      <c r="AA92" s="1497"/>
      <c r="AB92" s="1497"/>
      <c r="AC92" s="1497"/>
      <c r="AD92" s="1497"/>
      <c r="AE92" s="1497"/>
      <c r="AF92" s="1497"/>
      <c r="AG92" s="1497"/>
      <c r="AH92" s="1497"/>
      <c r="AI92" s="1497"/>
      <c r="AJ92" s="1497"/>
      <c r="AK92" s="1497"/>
      <c r="AL92" s="1497"/>
      <c r="AM92" s="1497"/>
      <c r="AN92" s="1497"/>
      <c r="AO92" s="1497"/>
      <c r="AP92" s="1497"/>
      <c r="AQ92" s="1497"/>
      <c r="AR92" s="1497"/>
      <c r="AS92" s="1497"/>
      <c r="AT92" s="1497"/>
      <c r="AU92" s="1497"/>
      <c r="AV92" s="1497"/>
      <c r="AW92" s="1482"/>
      <c r="AX92" s="1482"/>
      <c r="AY92" s="1482"/>
      <c r="AZ92" s="1482"/>
      <c r="BA92" s="1482"/>
      <c r="BB92" s="1482"/>
      <c r="BC92" s="1482"/>
      <c r="BD92" s="1482"/>
      <c r="BE92" s="1482"/>
      <c r="BF92" s="1482"/>
      <c r="BG92" s="1482"/>
      <c r="BH92" s="1482"/>
      <c r="BI92" s="1482"/>
    </row>
    <row r="93" spans="4:61">
      <c r="D93" s="314" t="str">
        <f>+'Questions - Fragen'!$A51</f>
        <v>4.5</v>
      </c>
      <c r="E93" s="38"/>
      <c r="F93" s="38"/>
      <c r="G93" s="38"/>
      <c r="H93" s="38"/>
      <c r="I93" s="275"/>
      <c r="J93" s="167"/>
      <c r="K93" s="167"/>
      <c r="T93" s="260"/>
      <c r="U93" s="1497"/>
      <c r="V93" s="1497"/>
      <c r="W93" s="1497"/>
      <c r="X93" s="1497"/>
      <c r="Y93" s="1497"/>
      <c r="Z93" s="1497"/>
      <c r="AA93" s="1497"/>
      <c r="AB93" s="1497"/>
      <c r="AC93" s="1497"/>
      <c r="AD93" s="1497"/>
      <c r="AE93" s="1497"/>
      <c r="AF93" s="1497"/>
      <c r="AG93" s="1497"/>
      <c r="AH93" s="1497"/>
      <c r="AI93" s="1497"/>
      <c r="AJ93" s="1497"/>
      <c r="AK93" s="1497"/>
      <c r="AL93" s="1497"/>
      <c r="AM93" s="1497"/>
      <c r="AN93" s="1497"/>
      <c r="AO93" s="1497"/>
      <c r="AP93" s="1497"/>
      <c r="AQ93" s="1497"/>
      <c r="AR93" s="1497"/>
      <c r="AS93" s="1497"/>
      <c r="AT93" s="1497"/>
      <c r="AU93" s="1497"/>
      <c r="AV93" s="1497"/>
      <c r="AW93" s="1482"/>
      <c r="AX93" s="1482"/>
      <c r="AY93" s="1482"/>
      <c r="AZ93" s="1482"/>
      <c r="BA93" s="1482"/>
      <c r="BB93" s="1482"/>
      <c r="BC93" s="1482"/>
      <c r="BD93" s="1482"/>
      <c r="BE93" s="1482"/>
      <c r="BF93" s="1482"/>
      <c r="BG93" s="1482"/>
      <c r="BH93" s="1482"/>
      <c r="BI93" s="1482"/>
    </row>
    <row r="94" spans="4:61">
      <c r="D94" s="314" t="str">
        <f>+'Questions - Fragen'!$A54</f>
        <v>4.6</v>
      </c>
      <c r="E94" s="38"/>
      <c r="F94" s="38"/>
      <c r="G94" s="38"/>
      <c r="H94" s="38"/>
      <c r="I94" s="275"/>
      <c r="J94" s="167"/>
      <c r="K94" s="167"/>
      <c r="T94" s="260"/>
      <c r="U94" s="1497"/>
      <c r="V94" s="1497"/>
      <c r="W94" s="1497"/>
      <c r="X94" s="1497"/>
      <c r="Y94" s="1497"/>
      <c r="Z94" s="1497"/>
      <c r="AA94" s="1497"/>
      <c r="AB94" s="1497"/>
      <c r="AC94" s="1497"/>
      <c r="AD94" s="1497"/>
      <c r="AE94" s="1497"/>
      <c r="AF94" s="1497"/>
      <c r="AG94" s="1497"/>
      <c r="AH94" s="1497"/>
      <c r="AI94" s="1497"/>
      <c r="AJ94" s="1497"/>
      <c r="AK94" s="1497"/>
      <c r="AL94" s="1497"/>
      <c r="AM94" s="1497"/>
      <c r="AN94" s="1497"/>
      <c r="AO94" s="1497"/>
      <c r="AP94" s="1497"/>
      <c r="AQ94" s="1497"/>
      <c r="AR94" s="1497"/>
      <c r="AS94" s="1497"/>
      <c r="AT94" s="1497"/>
      <c r="AU94" s="1497"/>
      <c r="AV94" s="1497"/>
      <c r="AW94" s="1482"/>
      <c r="AX94" s="1482"/>
      <c r="AY94" s="1482"/>
      <c r="AZ94" s="1482"/>
      <c r="BA94" s="1482"/>
      <c r="BB94" s="1482"/>
      <c r="BC94" s="1482"/>
      <c r="BD94" s="1482"/>
      <c r="BE94" s="1482"/>
      <c r="BF94" s="1482"/>
      <c r="BG94" s="1482"/>
      <c r="BH94" s="1482"/>
      <c r="BI94" s="1482"/>
    </row>
    <row r="95" spans="4:61" ht="15">
      <c r="D95" s="398" t="str">
        <f>+'Questions - Fragen'!$A56</f>
        <v>4.7</v>
      </c>
      <c r="E95" s="38"/>
      <c r="F95" s="38"/>
      <c r="G95" s="38"/>
      <c r="H95" s="38"/>
      <c r="I95" s="275"/>
      <c r="J95" s="167"/>
      <c r="K95" s="167"/>
      <c r="T95" s="260"/>
      <c r="U95" s="1022"/>
      <c r="V95" s="1022"/>
      <c r="W95" s="1022"/>
      <c r="X95" s="1022"/>
      <c r="Y95" s="1022"/>
      <c r="Z95" s="1022"/>
      <c r="AA95" s="1022"/>
      <c r="AB95" s="1022"/>
      <c r="AC95" s="1022"/>
      <c r="AD95" s="1022"/>
      <c r="AE95" s="1022"/>
      <c r="AF95" s="1022"/>
      <c r="AG95" s="1022"/>
      <c r="AH95" s="1022"/>
      <c r="AI95" s="1022"/>
      <c r="AJ95" s="1022"/>
      <c r="AK95" s="1022"/>
      <c r="AL95" s="1022"/>
      <c r="AM95" s="1022"/>
      <c r="AN95" s="1022"/>
      <c r="AO95" s="1022"/>
      <c r="AP95" s="1022"/>
      <c r="AQ95" s="1022"/>
      <c r="AR95" s="1022"/>
      <c r="AS95" s="1022"/>
      <c r="AT95" s="1022"/>
      <c r="AU95" s="1022"/>
      <c r="AV95" s="1022"/>
      <c r="AW95" s="1021"/>
      <c r="AX95" s="1021"/>
      <c r="AY95" s="1021"/>
      <c r="AZ95" s="1021"/>
      <c r="BA95" s="1021"/>
      <c r="BB95" s="1021"/>
      <c r="BC95" s="1021"/>
      <c r="BD95" s="1021"/>
      <c r="BE95" s="1021"/>
      <c r="BF95" s="1021"/>
      <c r="BG95" s="1021"/>
      <c r="BH95" s="1021"/>
      <c r="BI95" s="1021"/>
    </row>
    <row r="96" spans="4:61" ht="15">
      <c r="D96" s="314" t="str">
        <f>+'Questions - Fragen'!$A58</f>
        <v>4.8</v>
      </c>
      <c r="E96" s="38" t="str">
        <f>IF(COUNT(J96:K96)&gt;0,MIN(J96:K96),"n.b")</f>
        <v>n.b</v>
      </c>
      <c r="F96" s="38"/>
      <c r="G96" s="38"/>
      <c r="H96" s="38"/>
      <c r="I96" s="275"/>
      <c r="J96" s="167" t="str">
        <f>K22</f>
        <v>n.e.</v>
      </c>
      <c r="K96" s="167" t="str">
        <f>X22</f>
        <v>n.e.</v>
      </c>
      <c r="T96" s="260"/>
      <c r="U96" s="1497"/>
      <c r="V96" s="1497"/>
      <c r="W96" s="1497"/>
      <c r="X96" s="1497"/>
      <c r="Y96" s="1497"/>
      <c r="Z96" s="1497"/>
      <c r="AA96" s="1497"/>
      <c r="AB96" s="1497"/>
      <c r="AC96" s="1497"/>
      <c r="AD96" s="1497"/>
      <c r="AE96" s="1497"/>
      <c r="AF96" s="1497"/>
      <c r="AG96" s="1497"/>
      <c r="AH96" s="1497"/>
      <c r="AI96" s="1497"/>
      <c r="AJ96" s="1497"/>
      <c r="AK96" s="1497"/>
      <c r="AL96" s="1497"/>
      <c r="AM96" s="1497"/>
      <c r="AN96" s="1497"/>
      <c r="AO96" s="1497"/>
      <c r="AP96" s="1497"/>
      <c r="AQ96" s="1497"/>
      <c r="AR96" s="1497"/>
      <c r="AS96" s="1497"/>
      <c r="AT96" s="1497"/>
      <c r="AU96" s="1497"/>
      <c r="AV96" s="1497"/>
      <c r="AW96" s="1482"/>
      <c r="AX96" s="1482"/>
      <c r="AY96" s="1482"/>
      <c r="AZ96" s="1482"/>
      <c r="BA96" s="1482"/>
      <c r="BB96" s="1482"/>
      <c r="BC96" s="1482"/>
      <c r="BD96" s="1482"/>
      <c r="BE96" s="1482"/>
      <c r="BF96" s="1482"/>
      <c r="BG96" s="1482"/>
      <c r="BH96" s="1482"/>
      <c r="BI96" s="1482"/>
    </row>
    <row r="97" spans="4:20" ht="15">
      <c r="D97" s="315" t="str">
        <f>+'Questions - Fragen'!$A61</f>
        <v>P5</v>
      </c>
      <c r="E97" s="38"/>
      <c r="F97" s="38"/>
      <c r="G97" s="272" t="s">
        <v>98</v>
      </c>
      <c r="H97" s="38" t="str">
        <f>+IF(COUNT(E89:E96)=0,"n.b.",+IF(MIN(E89:E96)=0,"C",+IF(MIN(E89:E96)=4,"B","A")))</f>
        <v>n.b.</v>
      </c>
      <c r="I97" s="275" t="str">
        <f>+A22</f>
        <v>n.e.</v>
      </c>
    </row>
    <row r="98" spans="4:20">
      <c r="D98" s="314" t="str">
        <f>+'Questions - Fragen'!$A62</f>
        <v>5.1</v>
      </c>
      <c r="E98" s="38"/>
      <c r="F98" s="38"/>
      <c r="G98" s="38"/>
      <c r="H98" s="38"/>
      <c r="I98" s="275"/>
    </row>
    <row r="99" spans="4:20">
      <c r="D99" s="314" t="str">
        <f>+'Questions - Fragen'!$A63</f>
        <v>5.2</v>
      </c>
      <c r="E99" s="38"/>
      <c r="F99" s="38"/>
      <c r="G99" s="38"/>
      <c r="H99" s="38"/>
      <c r="I99" s="275"/>
    </row>
    <row r="100" spans="4:20">
      <c r="D100" s="314" t="str">
        <f>+'Questions - Fragen'!$A64</f>
        <v>5.3</v>
      </c>
      <c r="E100" s="38"/>
      <c r="F100" s="38"/>
      <c r="G100" s="38"/>
      <c r="H100" s="38"/>
      <c r="I100" s="275"/>
    </row>
    <row r="101" spans="4:20">
      <c r="D101" s="314" t="str">
        <f>+'Questions - Fragen'!$A65</f>
        <v>5.4</v>
      </c>
      <c r="E101" s="38" t="str">
        <f>O29</f>
        <v>n.e.</v>
      </c>
      <c r="F101" s="38"/>
      <c r="G101" s="38"/>
      <c r="H101" s="38"/>
      <c r="I101" s="275"/>
    </row>
    <row r="102" spans="4:20">
      <c r="D102" s="314" t="str">
        <f>+'Questions - Fragen'!$A66</f>
        <v>5.5</v>
      </c>
      <c r="E102" s="38" t="str">
        <f>P29</f>
        <v>n.e.</v>
      </c>
      <c r="F102" s="38"/>
      <c r="G102" s="38"/>
      <c r="H102" s="38"/>
      <c r="I102" s="275"/>
    </row>
    <row r="103" spans="4:20">
      <c r="D103" s="314" t="str">
        <f>+'Questions - Fragen'!$A67</f>
        <v>5.6</v>
      </c>
      <c r="E103" s="38"/>
      <c r="F103" s="38"/>
      <c r="G103" s="38"/>
      <c r="H103" s="38"/>
      <c r="I103" s="275"/>
    </row>
    <row r="104" spans="4:20">
      <c r="D104" s="314" t="str">
        <f>+'Questions - Fragen'!$A68</f>
        <v>5.7</v>
      </c>
      <c r="E104" s="38"/>
      <c r="F104" s="38"/>
      <c r="G104" s="272" t="s">
        <v>99</v>
      </c>
      <c r="H104" s="186" t="str">
        <f>+IF(COUNT(E98:E104)=0,"n.b.",+IF(MIN(E98:E104)=0,"C",+IF(MIN(E98:E104)=4,"B","A")))</f>
        <v>n.b.</v>
      </c>
      <c r="I104" s="275" t="str">
        <f>+A29</f>
        <v>n.e.</v>
      </c>
    </row>
    <row r="105" spans="4:20" ht="15">
      <c r="D105" s="315" t="str">
        <f>+'Questions - Fragen'!$A69</f>
        <v>P6</v>
      </c>
      <c r="E105" s="272" t="s">
        <v>162</v>
      </c>
      <c r="F105" s="38"/>
      <c r="G105" s="38"/>
      <c r="H105" s="38"/>
      <c r="I105" s="275"/>
      <c r="J105" s="32">
        <f>'Input Form - EingabeMaske'!D54</f>
        <v>0</v>
      </c>
      <c r="K105" s="32">
        <f>'Input Form - EingabeMaske'!D55</f>
        <v>0</v>
      </c>
      <c r="L105" s="32">
        <f>'Input Form - EingabeMaske'!D56</f>
        <v>0</v>
      </c>
      <c r="T105" s="32" t="s">
        <v>306</v>
      </c>
    </row>
    <row r="106" spans="4:20">
      <c r="D106" s="314" t="str">
        <f>+'Questions - Fragen'!$A70</f>
        <v>6.1</v>
      </c>
      <c r="E106" s="272" t="s">
        <v>162</v>
      </c>
      <c r="F106" s="38"/>
      <c r="G106" s="38"/>
      <c r="H106" s="38"/>
      <c r="I106" s="275"/>
      <c r="J106" s="32" t="s">
        <v>197</v>
      </c>
      <c r="K106" s="32" t="s">
        <v>198</v>
      </c>
      <c r="L106" s="32" t="s">
        <v>199</v>
      </c>
    </row>
    <row r="107" spans="4:20">
      <c r="D107" s="314" t="str">
        <f>+'Questions - Fragen'!$A71</f>
        <v>6.1.1</v>
      </c>
      <c r="E107" s="38" t="s">
        <v>210</v>
      </c>
      <c r="F107" s="38"/>
      <c r="G107" s="38"/>
      <c r="H107" s="38"/>
      <c r="I107" s="275"/>
      <c r="J107" s="177"/>
      <c r="K107" s="177"/>
      <c r="L107" s="177"/>
      <c r="M107" s="177"/>
      <c r="N107" s="177"/>
      <c r="O107" s="177"/>
      <c r="P107" s="177"/>
      <c r="Q107" s="177"/>
      <c r="R107" s="177"/>
      <c r="S107" s="177"/>
    </row>
    <row r="108" spans="4:20">
      <c r="D108" s="314" t="str">
        <f>+'Questions - Fragen'!$A82</f>
        <v>6.1.2</v>
      </c>
      <c r="E108" s="38" t="str">
        <f>+IF('Questions - Fragen'!B82&lt;&gt;"x","kein *",+IF(ISERROR(AVERAGE('Questions - Fragen'!D83:D85)),"n.b.",+MIN('Questions - Fragen'!D83:D85)))</f>
        <v>kein *</v>
      </c>
      <c r="F108" s="38"/>
      <c r="G108" s="38"/>
      <c r="H108" s="38"/>
      <c r="I108" s="275"/>
      <c r="J108" s="177"/>
      <c r="K108" s="177"/>
      <c r="L108" s="177"/>
      <c r="M108" s="177"/>
      <c r="N108" s="177"/>
      <c r="O108" s="177"/>
      <c r="P108" s="177"/>
      <c r="Q108" s="177"/>
      <c r="R108" s="177"/>
      <c r="S108" s="177"/>
    </row>
    <row r="109" spans="4:20">
      <c r="D109" s="314" t="str">
        <f>+'Questions - Fragen'!$A93</f>
        <v>6.1.3</v>
      </c>
      <c r="E109" s="38" t="str">
        <f>+IF('Questions - Fragen'!B93&lt;&gt;"x","kein *",+IF(ISERROR(AVERAGE('Questions - Fragen'!D94:D96)),"n.b.",+MIN('Questions - Fragen'!D94:D96)))</f>
        <v>kein *</v>
      </c>
      <c r="F109" s="38"/>
      <c r="G109" s="38"/>
      <c r="H109" s="38"/>
      <c r="I109" s="275"/>
      <c r="J109" s="177"/>
      <c r="K109" s="177"/>
      <c r="L109" s="177"/>
      <c r="M109" s="177"/>
      <c r="N109" s="177"/>
      <c r="O109" s="177"/>
      <c r="P109" s="177"/>
      <c r="Q109" s="177"/>
      <c r="R109" s="177"/>
      <c r="S109" s="177"/>
    </row>
    <row r="110" spans="4:20">
      <c r="D110" s="314" t="str">
        <f>+'Questions - Fragen'!$A104</f>
        <v>6.1.4</v>
      </c>
      <c r="E110" s="38" t="str">
        <f>+IF('Questions - Fragen'!B104&lt;&gt;"x","kein *",+IF(ISERROR(AVERAGE('Questions - Fragen'!D105:D107)),"n.b.",+MIN('Questions - Fragen'!D105:D107)))</f>
        <v>kein *</v>
      </c>
      <c r="F110" s="38"/>
      <c r="G110" s="38"/>
      <c r="H110" s="38"/>
      <c r="I110" s="275"/>
      <c r="J110" s="177"/>
      <c r="K110" s="177"/>
      <c r="L110" s="177"/>
      <c r="M110" s="177"/>
      <c r="N110" s="177"/>
      <c r="O110" s="177"/>
      <c r="P110" s="177"/>
      <c r="Q110" s="177"/>
      <c r="R110" s="177"/>
      <c r="S110" s="177"/>
    </row>
    <row r="111" spans="4:20">
      <c r="D111" s="314" t="str">
        <f>+'Questions - Fragen'!$A115</f>
        <v>6.1.5</v>
      </c>
      <c r="E111" s="38" t="str">
        <f>IF(COUNT(J111:S111)&gt;0,MIN(J111:S111),"n.b")</f>
        <v>n.b</v>
      </c>
      <c r="F111" s="38"/>
      <c r="G111" s="38"/>
      <c r="H111" s="38"/>
      <c r="I111" s="275"/>
      <c r="J111" s="177" t="str">
        <f>IF(OR(J$105=0,ISBLANK('Questions - Fragen'!$D$116)),"--",'Questions - Fragen'!$D$116)</f>
        <v>--</v>
      </c>
      <c r="K111" s="177" t="str">
        <f>IF(OR(K$105=0,ISBLANK('Questions - Fragen'!$D$117)),"--",'Questions - Fragen'!$D$117)</f>
        <v>--</v>
      </c>
      <c r="L111" s="177" t="str">
        <f>IF(OR(L$105=0,ISBLANK('Questions - Fragen'!$D$118)),"--",'Questions - Fragen'!$D$118)</f>
        <v>--</v>
      </c>
      <c r="M111" s="177"/>
      <c r="N111" s="177"/>
      <c r="O111" s="177"/>
      <c r="P111" s="177"/>
      <c r="Q111" s="177"/>
      <c r="R111" s="177"/>
      <c r="S111" s="177"/>
    </row>
    <row r="112" spans="4:20">
      <c r="D112" s="314" t="str">
        <f>+'Questions - Fragen'!$A126</f>
        <v>6.2</v>
      </c>
      <c r="E112" s="272" t="s">
        <v>162</v>
      </c>
      <c r="F112" s="38"/>
      <c r="G112" s="38"/>
      <c r="H112" s="38"/>
      <c r="I112" s="275"/>
      <c r="J112" s="177"/>
      <c r="K112" s="177"/>
      <c r="L112" s="177"/>
      <c r="M112" s="177"/>
      <c r="N112" s="177"/>
      <c r="O112" s="177"/>
      <c r="P112" s="177"/>
      <c r="Q112" s="177"/>
      <c r="R112" s="177"/>
      <c r="S112" s="177"/>
    </row>
    <row r="113" spans="4:19">
      <c r="D113" s="314" t="str">
        <f>+'Questions - Fragen'!$A127</f>
        <v>6.2.1</v>
      </c>
      <c r="E113" s="38" t="s">
        <v>210</v>
      </c>
      <c r="F113" s="38"/>
      <c r="G113" s="38"/>
      <c r="H113" s="38"/>
      <c r="I113" s="275"/>
      <c r="J113" s="177"/>
      <c r="K113" s="177"/>
      <c r="L113" s="177"/>
      <c r="M113" s="177"/>
      <c r="N113" s="177"/>
      <c r="O113" s="177"/>
      <c r="P113" s="177"/>
      <c r="Q113" s="177"/>
      <c r="R113" s="177"/>
      <c r="S113" s="177"/>
    </row>
    <row r="114" spans="4:19">
      <c r="D114" s="314" t="str">
        <f>+'Questions - Fragen'!$A138</f>
        <v>6.2.2</v>
      </c>
      <c r="E114" s="38" t="s">
        <v>210</v>
      </c>
      <c r="F114" s="38"/>
      <c r="G114" s="38"/>
      <c r="H114" s="38"/>
      <c r="I114" s="275"/>
      <c r="J114" s="177"/>
      <c r="K114" s="177"/>
      <c r="L114" s="177"/>
      <c r="M114" s="177"/>
      <c r="N114" s="177"/>
      <c r="O114" s="177"/>
      <c r="P114" s="177"/>
      <c r="Q114" s="177"/>
      <c r="R114" s="177"/>
      <c r="S114" s="177"/>
    </row>
    <row r="115" spans="4:19">
      <c r="D115" s="314" t="str">
        <f>+'Questions - Fragen'!$A149</f>
        <v>6.2.3</v>
      </c>
      <c r="E115" s="38" t="str">
        <f>IF(COUNT(J115:S115)&gt;0,MIN(J115:S115),"n.b")</f>
        <v>n.b</v>
      </c>
      <c r="F115" s="38"/>
      <c r="G115" s="38"/>
      <c r="H115" s="38"/>
      <c r="I115" s="275"/>
      <c r="J115" s="177" t="str">
        <f>IF(OR(J$105=0,ISBLANK('Questions - Fragen'!$D$150)),"--",'Questions - Fragen'!$D$150)</f>
        <v>--</v>
      </c>
      <c r="K115" s="177" t="str">
        <f>IF(OR(K$105=0,ISBLANK('Questions - Fragen'!$D$151)),"--",'Questions - Fragen'!$D$151)</f>
        <v>--</v>
      </c>
      <c r="L115" s="177" t="str">
        <f>IF(OR(L$105=0,ISBLANK('Questions - Fragen'!$D$152)),"--",'Questions - Fragen'!$D$152)</f>
        <v>--</v>
      </c>
      <c r="M115" s="177"/>
      <c r="N115" s="177"/>
      <c r="O115" s="177"/>
      <c r="P115" s="177"/>
      <c r="Q115" s="177"/>
      <c r="R115" s="177"/>
      <c r="S115" s="177"/>
    </row>
    <row r="116" spans="4:19">
      <c r="D116" s="314" t="str">
        <f>+'Questions - Fragen'!$A160</f>
        <v>6.2.4</v>
      </c>
      <c r="E116" s="38" t="str">
        <f>IF(COUNT(J116:S116)&gt;0,MIN(J116:S116),"n.b")</f>
        <v>n.b</v>
      </c>
      <c r="F116" s="38"/>
      <c r="G116" s="38"/>
      <c r="H116" s="38"/>
      <c r="I116" s="275"/>
      <c r="J116" s="177" t="str">
        <f>IF(OR(J$105=0,ISBLANK('Questions - Fragen'!$D$161)),"--",'Questions - Fragen'!$D$161)</f>
        <v>--</v>
      </c>
      <c r="K116" s="177" t="str">
        <f>IF(OR(K$105=0,ISBLANK('Questions - Fragen'!$D$162)),"--",'Questions - Fragen'!$D$162)</f>
        <v>--</v>
      </c>
      <c r="L116" s="177" t="str">
        <f>IF(OR(L$105=0,ISBLANK('Questions - Fragen'!$D$163)),"--",'Questions - Fragen'!$D$163)</f>
        <v>--</v>
      </c>
      <c r="M116" s="177"/>
      <c r="N116" s="177"/>
      <c r="O116" s="177"/>
      <c r="P116" s="177"/>
      <c r="Q116" s="177"/>
      <c r="R116" s="177"/>
      <c r="S116" s="177"/>
    </row>
    <row r="117" spans="4:19">
      <c r="D117" s="314" t="str">
        <f>+'Questions - Fragen'!$A171</f>
        <v>6.2.5</v>
      </c>
      <c r="E117" s="38" t="str">
        <f>+IF('Questions - Fragen'!B171&lt;&gt;"x","kein *",+IF(ISERROR(AVERAGE('Questions - Fragen'!D172:D174)),"n.b.",+MIN('Questions - Fragen'!D172:D174)))</f>
        <v>kein *</v>
      </c>
      <c r="F117" s="38"/>
      <c r="G117" s="38"/>
      <c r="H117" s="38"/>
      <c r="I117" s="275"/>
      <c r="J117" s="177"/>
      <c r="K117" s="177"/>
      <c r="L117" s="177"/>
      <c r="M117" s="177"/>
      <c r="N117" s="177"/>
      <c r="O117" s="177"/>
      <c r="P117" s="177"/>
      <c r="Q117" s="177"/>
      <c r="R117" s="177"/>
      <c r="S117" s="177"/>
    </row>
    <row r="118" spans="4:19">
      <c r="D118" s="314" t="str">
        <f>+'Questions - Fragen'!$A182</f>
        <v>6.3</v>
      </c>
      <c r="E118" s="272" t="s">
        <v>162</v>
      </c>
      <c r="F118" s="38"/>
      <c r="G118" s="38"/>
      <c r="H118" s="38"/>
      <c r="I118" s="275"/>
      <c r="J118" s="177"/>
      <c r="K118" s="177"/>
      <c r="L118" s="177"/>
      <c r="M118" s="177"/>
      <c r="N118" s="177"/>
      <c r="O118" s="177"/>
      <c r="P118" s="177"/>
      <c r="Q118" s="177"/>
      <c r="R118" s="177"/>
      <c r="S118" s="177"/>
    </row>
    <row r="119" spans="4:19">
      <c r="D119" s="314" t="str">
        <f>+'Questions - Fragen'!$A183</f>
        <v>6.3.1</v>
      </c>
      <c r="E119" s="38" t="str">
        <f>IF(COUNT(J119:S119)&gt;0,MIN(J119:S119),"n.b")</f>
        <v>n.b</v>
      </c>
      <c r="F119" s="38"/>
      <c r="G119" s="38"/>
      <c r="H119" s="38"/>
      <c r="I119" s="275"/>
      <c r="J119" s="177" t="str">
        <f>IF(OR(J$105=0,ISBLANK('Questions - Fragen'!$D$184)),"--",'Questions - Fragen'!$D$184)</f>
        <v>--</v>
      </c>
      <c r="K119" s="177" t="str">
        <f>IF(OR(K$105=0,ISBLANK('Questions - Fragen'!$D$185)),"--",'Questions - Fragen'!$D$185)</f>
        <v>--</v>
      </c>
      <c r="L119" s="177" t="str">
        <f>IF(OR(L$105=0,ISBLANK('Questions - Fragen'!$D$186)),"--",'Questions - Fragen'!$D$186)</f>
        <v>--</v>
      </c>
      <c r="M119" s="177"/>
      <c r="N119" s="177"/>
      <c r="O119" s="177"/>
      <c r="P119" s="177"/>
      <c r="Q119" s="177"/>
      <c r="R119" s="177"/>
      <c r="S119" s="177"/>
    </row>
    <row r="120" spans="4:19">
      <c r="D120" s="314" t="str">
        <f>+'Questions - Fragen'!$A194</f>
        <v>6.3.2</v>
      </c>
      <c r="E120" s="38" t="s">
        <v>210</v>
      </c>
      <c r="F120" s="38"/>
      <c r="G120" s="38"/>
      <c r="H120" s="38"/>
      <c r="I120" s="275"/>
      <c r="J120" s="177"/>
      <c r="K120" s="177"/>
      <c r="L120" s="177"/>
      <c r="M120" s="177"/>
      <c r="N120" s="177"/>
      <c r="O120" s="177"/>
      <c r="P120" s="177"/>
      <c r="Q120" s="177"/>
      <c r="R120" s="177"/>
      <c r="S120" s="177"/>
    </row>
    <row r="121" spans="4:19">
      <c r="D121" s="314" t="str">
        <f>+'Questions - Fragen'!$A205</f>
        <v>6.3.3</v>
      </c>
      <c r="E121" s="38" t="str">
        <f>+IF('Questions - Fragen'!B205&lt;&gt;"x","kein *",+IF(ISERROR(AVERAGE('Questions - Fragen'!D206:D208)),"n.b.",+MIN('Questions - Fragen'!D206:D208)))</f>
        <v>kein *</v>
      </c>
      <c r="F121" s="38"/>
      <c r="G121" s="38"/>
      <c r="H121" s="38"/>
      <c r="I121" s="275"/>
      <c r="J121" s="177"/>
      <c r="K121" s="177"/>
      <c r="L121" s="177"/>
      <c r="M121" s="177"/>
      <c r="N121" s="177"/>
      <c r="O121" s="177"/>
      <c r="P121" s="177"/>
      <c r="Q121" s="177"/>
      <c r="R121" s="177"/>
      <c r="S121" s="177"/>
    </row>
    <row r="122" spans="4:19">
      <c r="D122" s="314" t="str">
        <f>+'Questions - Fragen'!$A216</f>
        <v>6.4</v>
      </c>
      <c r="E122" s="272" t="s">
        <v>162</v>
      </c>
      <c r="F122" s="38"/>
      <c r="G122" s="38"/>
      <c r="H122" s="38"/>
      <c r="I122" s="275"/>
      <c r="J122" s="177"/>
      <c r="K122" s="177"/>
      <c r="L122" s="177"/>
      <c r="M122" s="177"/>
      <c r="N122" s="177"/>
      <c r="O122" s="177"/>
      <c r="P122" s="177"/>
      <c r="Q122" s="177"/>
      <c r="R122" s="177"/>
      <c r="S122" s="177"/>
    </row>
    <row r="123" spans="4:19">
      <c r="D123" s="314" t="str">
        <f>+'Questions - Fragen'!$A217</f>
        <v>6.4.1</v>
      </c>
      <c r="E123" s="38" t="str">
        <f>IF(COUNT(J123:S123)&gt;0,MIN(J123:S123),"n.b")</f>
        <v>n.b</v>
      </c>
      <c r="F123" s="38"/>
      <c r="G123" s="38"/>
      <c r="H123" s="38"/>
      <c r="I123" s="275"/>
      <c r="J123" s="177" t="str">
        <f>IF(OR(J$105=0,ISBLANK('Questions - Fragen'!$D$218)),"--",'Questions - Fragen'!$D$218)</f>
        <v>--</v>
      </c>
      <c r="K123" s="177" t="str">
        <f>IF(OR(K$105=0,ISBLANK('Questions - Fragen'!$D$219)),"--",'Questions - Fragen'!$D$219)</f>
        <v>--</v>
      </c>
      <c r="L123" s="177" t="str">
        <f>IF(OR(L$105=0,ISBLANK('Questions - Fragen'!$D$220)),"--",'Questions - Fragen'!$D$220)</f>
        <v>--</v>
      </c>
      <c r="M123" s="177"/>
      <c r="N123" s="177"/>
      <c r="O123" s="177"/>
      <c r="P123" s="177"/>
      <c r="Q123" s="177"/>
      <c r="R123" s="177"/>
      <c r="S123" s="177"/>
    </row>
    <row r="124" spans="4:19">
      <c r="D124" s="314" t="str">
        <f>+'Questions - Fragen'!$A228</f>
        <v>6.4.2</v>
      </c>
      <c r="E124" s="38" t="s">
        <v>210</v>
      </c>
      <c r="F124" s="38"/>
      <c r="G124" s="38"/>
      <c r="H124" s="38"/>
      <c r="I124" s="275"/>
      <c r="J124" s="177"/>
      <c r="K124" s="177"/>
      <c r="L124" s="177"/>
      <c r="M124" s="177"/>
      <c r="N124" s="177"/>
      <c r="O124" s="177"/>
      <c r="P124" s="177"/>
      <c r="Q124" s="177"/>
      <c r="R124" s="177"/>
      <c r="S124" s="177"/>
    </row>
    <row r="125" spans="4:19">
      <c r="D125" s="314" t="str">
        <f>+'Questions - Fragen'!$A239</f>
        <v>6.4.3</v>
      </c>
      <c r="E125" s="38" t="str">
        <f>IF(COUNT(J125:S125)&gt;0,MIN(J125:S125),"n.b")</f>
        <v>n.b</v>
      </c>
      <c r="F125" s="38"/>
      <c r="G125" s="38"/>
      <c r="H125" s="38"/>
      <c r="I125" s="275"/>
      <c r="J125" s="177" t="str">
        <f>IF(OR(J$105=0,ISBLANK('Questions - Fragen'!$D$240)),"--",'Questions - Fragen'!$D$240)</f>
        <v>--</v>
      </c>
      <c r="K125" s="177" t="str">
        <f>IF(OR(K$105=0,ISBLANK('Questions - Fragen'!$D$241)),"--",'Questions - Fragen'!$D$241)</f>
        <v>--</v>
      </c>
      <c r="L125" s="177" t="str">
        <f>IF(OR(L$105=0,ISBLANK('Questions - Fragen'!$D$242)),"--",'Questions - Fragen'!$D$242)</f>
        <v>--</v>
      </c>
      <c r="M125" s="177"/>
      <c r="N125" s="177"/>
      <c r="O125" s="177"/>
      <c r="P125" s="177"/>
      <c r="Q125" s="177"/>
      <c r="R125" s="177"/>
      <c r="S125" s="177"/>
    </row>
    <row r="126" spans="4:19">
      <c r="D126" s="314" t="str">
        <f>+'Questions - Fragen'!$A250</f>
        <v>6.4.4</v>
      </c>
      <c r="E126" s="38" t="str">
        <f>+IF('Questions - Fragen'!B250&lt;&gt;"x","kein *",+IF(ISERROR(AVERAGE('Questions - Fragen'!D251:D253)),"n.b.",+MIN('Questions - Fragen'!D251:D253)))</f>
        <v>kein *</v>
      </c>
      <c r="F126" s="38"/>
      <c r="G126" s="38"/>
      <c r="H126" s="38"/>
      <c r="I126" s="275"/>
      <c r="J126" s="177"/>
      <c r="K126" s="177"/>
      <c r="L126" s="177"/>
      <c r="M126" s="177"/>
      <c r="N126" s="177"/>
      <c r="O126" s="177"/>
      <c r="P126" s="177"/>
      <c r="Q126" s="177"/>
      <c r="R126" s="177"/>
      <c r="S126" s="177"/>
    </row>
    <row r="127" spans="4:19">
      <c r="D127" s="398" t="str">
        <f>'Questions - Fragen'!A261</f>
        <v>6.4.5</v>
      </c>
      <c r="E127" s="38" t="s">
        <v>210</v>
      </c>
      <c r="F127" s="38"/>
      <c r="G127" s="38"/>
      <c r="H127" s="38"/>
      <c r="I127" s="275"/>
      <c r="J127" s="177"/>
      <c r="K127" s="177"/>
      <c r="L127" s="177"/>
      <c r="M127" s="177"/>
      <c r="N127" s="177"/>
      <c r="O127" s="177"/>
      <c r="P127" s="177"/>
      <c r="Q127" s="177"/>
      <c r="R127" s="177"/>
      <c r="S127" s="177"/>
    </row>
    <row r="128" spans="4:19">
      <c r="D128" s="314" t="str">
        <f>+'Questions - Fragen'!$A272</f>
        <v>6.5</v>
      </c>
      <c r="E128" s="272" t="s">
        <v>162</v>
      </c>
      <c r="F128" s="38"/>
      <c r="G128" s="38"/>
      <c r="H128" s="38"/>
      <c r="I128" s="275"/>
      <c r="J128" s="177"/>
      <c r="K128" s="177"/>
      <c r="L128" s="177"/>
      <c r="M128" s="177"/>
      <c r="N128" s="177"/>
      <c r="O128" s="177"/>
      <c r="P128" s="177"/>
      <c r="Q128" s="177"/>
      <c r="R128" s="177"/>
      <c r="S128" s="177"/>
    </row>
    <row r="129" spans="4:19">
      <c r="D129" s="314" t="str">
        <f>+'Questions - Fragen'!$A273</f>
        <v>6.5.1</v>
      </c>
      <c r="E129" s="38" t="str">
        <f>+IF('Questions - Fragen'!B273&lt;&gt;"x","kein *",+IF(ISERROR(AVERAGE('Questions - Fragen'!D274:D276)),"n.b.",+MIN('Questions - Fragen'!D274:D276)))</f>
        <v>kein *</v>
      </c>
      <c r="F129" s="38"/>
      <c r="G129" s="38"/>
      <c r="H129" s="38"/>
      <c r="I129" s="275"/>
      <c r="J129" s="177"/>
      <c r="K129" s="177"/>
      <c r="L129" s="177"/>
      <c r="M129" s="177"/>
      <c r="N129" s="177"/>
      <c r="O129" s="177"/>
      <c r="P129" s="177"/>
      <c r="Q129" s="177"/>
      <c r="R129" s="177"/>
      <c r="S129" s="177"/>
    </row>
    <row r="130" spans="4:19">
      <c r="D130" s="314" t="str">
        <f>+'Questions - Fragen'!$A284</f>
        <v>6.5.2</v>
      </c>
      <c r="E130" s="38" t="str">
        <f>+IF('Questions - Fragen'!B284&lt;&gt;"x","kein *",+IF(ISERROR(AVERAGE('Questions - Fragen'!D285:D287)),"n.b.",+MIN('Questions - Fragen'!D285:D287)))</f>
        <v>kein *</v>
      </c>
      <c r="F130" s="38"/>
      <c r="G130" s="38"/>
      <c r="H130" s="38"/>
      <c r="I130" s="275"/>
      <c r="J130" s="177"/>
      <c r="K130" s="177"/>
      <c r="L130" s="177"/>
      <c r="M130" s="177"/>
      <c r="N130" s="177"/>
      <c r="O130" s="177"/>
      <c r="P130" s="177"/>
      <c r="Q130" s="177"/>
      <c r="R130" s="177"/>
      <c r="S130" s="177"/>
    </row>
    <row r="131" spans="4:19">
      <c r="D131" s="314" t="str">
        <f>+'Questions - Fragen'!$A295</f>
        <v>6.5.3</v>
      </c>
      <c r="E131" s="38">
        <f>IF(COUNT(J131:S131)&gt;0,MIN(J131:S131),"n.b")</f>
        <v>10</v>
      </c>
      <c r="F131" s="38"/>
      <c r="G131" s="38"/>
      <c r="H131" s="38"/>
      <c r="I131" s="275"/>
      <c r="J131" s="177">
        <f>IF('Questions - Fragen'!$B295&lt;&gt;"x","kein *",IF(ISBLANK('Questions - Fragen'!D296),"--",'Questions - Fragen'!D296))</f>
        <v>10</v>
      </c>
      <c r="K131" s="177">
        <f>IF('Questions - Fragen'!$B295&lt;&gt;"x","kein *",IF(ISBLANK('Questions - Fragen'!D297),"--",'Questions - Fragen'!D297))</f>
        <v>10</v>
      </c>
      <c r="L131" s="177" t="str">
        <f>IF('Questions - Fragen'!$B295&lt;&gt;"x","kein *",IF(ISBLANK('Questions - Fragen'!D298),"--",'Questions - Fragen'!D298))</f>
        <v>n.e.</v>
      </c>
      <c r="M131" s="177"/>
      <c r="N131" s="177"/>
      <c r="O131" s="177"/>
      <c r="P131" s="177"/>
      <c r="Q131" s="177"/>
      <c r="R131" s="177"/>
      <c r="S131" s="177"/>
    </row>
    <row r="132" spans="4:19">
      <c r="D132" s="314" t="str">
        <f>+'Questions - Fragen'!$A306</f>
        <v>6.5.4</v>
      </c>
      <c r="E132" s="38" t="s">
        <v>210</v>
      </c>
      <c r="F132" s="38"/>
      <c r="G132" s="38"/>
      <c r="H132" s="38"/>
      <c r="I132" s="275"/>
      <c r="J132" s="177"/>
      <c r="K132" s="177"/>
      <c r="L132" s="177"/>
      <c r="M132" s="177"/>
      <c r="N132" s="177"/>
      <c r="O132" s="177"/>
      <c r="P132" s="177"/>
      <c r="Q132" s="177"/>
      <c r="R132" s="177"/>
      <c r="S132" s="177"/>
    </row>
    <row r="133" spans="4:19">
      <c r="D133" s="314" t="str">
        <f>+'Questions - Fragen'!$A317</f>
        <v>6.6</v>
      </c>
      <c r="E133" s="272" t="s">
        <v>162</v>
      </c>
      <c r="F133" s="38"/>
      <c r="G133" s="38"/>
      <c r="H133" s="38"/>
      <c r="I133" s="275"/>
      <c r="J133" s="177"/>
      <c r="K133" s="177"/>
      <c r="L133" s="177"/>
      <c r="M133" s="177"/>
      <c r="N133" s="177"/>
      <c r="O133" s="177"/>
      <c r="P133" s="177"/>
      <c r="Q133" s="177"/>
      <c r="R133" s="177"/>
      <c r="S133" s="177"/>
    </row>
    <row r="134" spans="4:19">
      <c r="D134" s="314" t="str">
        <f>+'Questions - Fragen'!$A318</f>
        <v>6.6.1</v>
      </c>
      <c r="E134" s="38" t="s">
        <v>210</v>
      </c>
      <c r="F134" s="38"/>
      <c r="G134" s="38"/>
      <c r="H134" s="38"/>
      <c r="I134" s="275"/>
      <c r="J134" s="177"/>
      <c r="K134" s="177"/>
      <c r="L134" s="177"/>
      <c r="M134" s="177"/>
      <c r="N134" s="177"/>
      <c r="O134" s="177"/>
      <c r="P134" s="177"/>
      <c r="Q134" s="177"/>
      <c r="R134" s="177"/>
      <c r="S134" s="177"/>
    </row>
    <row r="135" spans="4:19">
      <c r="D135" s="314" t="str">
        <f>+'Questions - Fragen'!$A329</f>
        <v>6.6.2</v>
      </c>
      <c r="E135" s="38" t="str">
        <f>+IF('Questions - Fragen'!B329&lt;&gt;"x","kein *",+IF(ISERROR(AVERAGE('Questions - Fragen'!D330:D332)),"n.b.",+MIN('Questions - Fragen'!D330:D332)))</f>
        <v>kein *</v>
      </c>
      <c r="F135" s="38"/>
      <c r="G135" s="38"/>
      <c r="H135" s="38"/>
      <c r="I135" s="275"/>
      <c r="J135" s="177"/>
      <c r="K135" s="177"/>
      <c r="L135" s="177"/>
      <c r="M135" s="177"/>
      <c r="N135" s="177"/>
      <c r="O135" s="177"/>
      <c r="P135" s="177"/>
      <c r="Q135" s="177"/>
      <c r="R135" s="177"/>
      <c r="S135" s="177"/>
    </row>
    <row r="136" spans="4:19">
      <c r="D136" s="314" t="str">
        <f>+'Questions - Fragen'!$A340</f>
        <v>6.6.3</v>
      </c>
      <c r="E136" s="38" t="str">
        <f>+IF('Questions - Fragen'!B340&lt;&gt;"x","kein *",+IF(ISERROR(AVERAGE('Questions - Fragen'!D341:D343)),"n.b.",+MIN('Questions - Fragen'!D341:D343)))</f>
        <v>kein *</v>
      </c>
      <c r="F136" s="38"/>
      <c r="G136" s="38"/>
      <c r="H136" s="38"/>
      <c r="I136" s="275"/>
      <c r="J136" s="177"/>
      <c r="K136" s="177"/>
      <c r="L136" s="177"/>
      <c r="M136" s="177"/>
      <c r="N136" s="177"/>
      <c r="O136" s="177"/>
      <c r="P136" s="177"/>
      <c r="Q136" s="177"/>
      <c r="R136" s="177"/>
      <c r="S136" s="177"/>
    </row>
    <row r="137" spans="4:19">
      <c r="D137" s="314" t="str">
        <f>+'Questions - Fragen'!$A351</f>
        <v>6.6.4</v>
      </c>
      <c r="E137" s="38" t="str">
        <f>IF(COUNT(J137:S137)&gt;0,MIN(J137:S137),"n.b")</f>
        <v>n.b</v>
      </c>
      <c r="F137" s="38"/>
      <c r="G137" s="38"/>
      <c r="H137" s="38"/>
      <c r="I137" s="275"/>
      <c r="J137" s="177" t="str">
        <f>IF(OR(J$105=0,ISBLANK('Questions - Fragen'!$D$352)),"--",'Questions - Fragen'!$D$352)</f>
        <v>--</v>
      </c>
      <c r="K137" s="177" t="str">
        <f>IF(OR(K$105=0,ISBLANK('Questions - Fragen'!$D$353)),"--",'Questions - Fragen'!$D$353)</f>
        <v>--</v>
      </c>
      <c r="L137" s="177" t="str">
        <f>IF(OR(L$105=0,ISBLANK('Questions - Fragen'!$D$354)),"--",'Questions - Fragen'!$D$354)</f>
        <v>--</v>
      </c>
      <c r="M137" s="177"/>
      <c r="N137" s="177"/>
      <c r="O137" s="177"/>
      <c r="P137" s="177"/>
      <c r="Q137" s="177"/>
      <c r="R137" s="177"/>
      <c r="S137" s="177"/>
    </row>
    <row r="138" spans="4:19" ht="15">
      <c r="D138" s="315" t="str">
        <f>+'Questions - Fragen'!$A362</f>
        <v>P7</v>
      </c>
      <c r="E138" s="272" t="s">
        <v>162</v>
      </c>
      <c r="F138" s="38"/>
      <c r="G138" s="272" t="s">
        <v>100</v>
      </c>
      <c r="H138" s="273" t="str">
        <f>IF(COUNT(E106:E137)=0,"n.b.",IF(MIN(E106:E137)=0,"C",IF(MIN(E106:E137)=4,"B","A")))</f>
        <v>A</v>
      </c>
      <c r="I138" s="292" t="str">
        <f>+A42</f>
        <v>A</v>
      </c>
      <c r="J138" s="273" t="str">
        <f>+IF(COUNTIFS('Questions - Fragen'!$A$72:$A$354,J106,'Questions - Fragen'!$D$72:$D$354,"n.b.")=26,"n.b.",+IF(MIN(J107:J137)=0,"C",+IF(MIN(J107:J137)=4,"B","A")))</f>
        <v>A</v>
      </c>
      <c r="K138" s="273" t="str">
        <f>+IF(COUNTIFS('Questions - Fragen'!$A$72:$A$354,K106,'Questions - Fragen'!$D$72:$D$354,"n.b.")=26,"n.b.",+IF(MIN(K107:K137)=0,"C",+IF(MIN(K107:K137)=4,"B","A")))</f>
        <v>A</v>
      </c>
      <c r="L138" s="273" t="str">
        <f>+IF(COUNTIFS('Questions - Fragen'!$A$72:$A$354,L106,'Questions - Fragen'!$D$72:$D$354,"n.b.")=26,"n.b.",+IF(MIN(L107:L137)=0,"C",+IF(MIN(L107:L137)=4,"B","A")))</f>
        <v>C</v>
      </c>
    </row>
    <row r="139" spans="4:19">
      <c r="D139" s="314" t="str">
        <f>+'Questions - Fragen'!$A363</f>
        <v>7.1</v>
      </c>
      <c r="E139" s="38"/>
      <c r="F139" s="38"/>
      <c r="G139" s="38"/>
      <c r="H139" s="38"/>
      <c r="I139" s="275"/>
      <c r="J139" s="32">
        <v>1</v>
      </c>
      <c r="K139" s="32">
        <v>2</v>
      </c>
      <c r="L139" s="32">
        <v>3</v>
      </c>
    </row>
    <row r="140" spans="4:19">
      <c r="D140" s="314" t="str">
        <f>+'Questions - Fragen'!$A364</f>
        <v>7.2</v>
      </c>
      <c r="E140" s="38"/>
      <c r="F140" s="38"/>
      <c r="G140" s="38"/>
      <c r="H140" s="38"/>
      <c r="I140" s="275"/>
    </row>
    <row r="141" spans="4:19">
      <c r="D141" s="314" t="str">
        <f>+'Questions - Fragen'!$A365</f>
        <v>7.3</v>
      </c>
      <c r="E141" s="38" t="str">
        <f>W52</f>
        <v>n.e.</v>
      </c>
      <c r="F141" s="38"/>
      <c r="G141" s="38"/>
      <c r="H141" s="38"/>
      <c r="I141" s="275"/>
    </row>
    <row r="142" spans="4:19">
      <c r="D142" s="314" t="str">
        <f>+'Questions - Fragen'!$A366</f>
        <v>7.4</v>
      </c>
      <c r="E142" s="38" t="str">
        <f>X52</f>
        <v>n.e.</v>
      </c>
      <c r="F142" s="38"/>
      <c r="G142" s="38"/>
      <c r="H142" s="38"/>
      <c r="I142" s="275"/>
    </row>
    <row r="143" spans="4:19">
      <c r="D143" s="314" t="str">
        <f>+'Questions - Fragen'!$A367</f>
        <v>7.5</v>
      </c>
      <c r="E143" s="38"/>
      <c r="F143" s="38"/>
      <c r="G143" s="38"/>
      <c r="H143" s="38"/>
      <c r="I143" s="275"/>
    </row>
    <row r="144" spans="4:19">
      <c r="D144" s="316"/>
      <c r="E144" s="276"/>
      <c r="F144" s="276"/>
      <c r="G144" s="317" t="s">
        <v>101</v>
      </c>
      <c r="H144" s="325" t="str">
        <f>IF(COUNT(E139:E143)=0,"n.b.",+IF(MIN(E139:E143)=0,"C",+IF(MIN(E139:E143)=4,"B","A")))</f>
        <v>n.b.</v>
      </c>
      <c r="I144" s="248" t="str">
        <f>+A52</f>
        <v>n.e.</v>
      </c>
    </row>
    <row r="145" spans="2:31" ht="15" thickBot="1">
      <c r="D145" s="304" t="s">
        <v>148</v>
      </c>
      <c r="E145" s="305">
        <f>+COUNT((E75:E143))</f>
        <v>1</v>
      </c>
      <c r="F145" s="305">
        <f>+COUNTIF(E75:E143,0)</f>
        <v>0</v>
      </c>
      <c r="G145" s="305">
        <f>+IF(COUNT(E75:E143)=0,"n.b.",+MIN(E75:E143))</f>
        <v>10</v>
      </c>
      <c r="H145" s="305"/>
      <c r="I145" s="306"/>
      <c r="Z145" s="177" t="s">
        <v>165</v>
      </c>
      <c r="AA145" s="177" t="s">
        <v>163</v>
      </c>
      <c r="AB145" s="195" t="str">
        <f>+G48</f>
        <v>n.e.</v>
      </c>
    </row>
    <row r="146" spans="2:31" ht="15" thickBot="1">
      <c r="D146" s="307" t="s">
        <v>149</v>
      </c>
      <c r="E146" s="303" t="str">
        <f>+IF(E145=0,"n.b.",(+IF(F145&gt;=1,"C",(+IF(F146&gt;=1,"B","A")))))</f>
        <v>A</v>
      </c>
      <c r="F146" s="302">
        <f>+COUNTIF(E75:E143,4)</f>
        <v>0</v>
      </c>
      <c r="G146" s="302" t="str">
        <f>+IF(G145="n.b.","n.b.",+IF(G145=0,"C",+IF(G145=4,"B","A")))</f>
        <v>A</v>
      </c>
      <c r="H146" s="302"/>
      <c r="I146" s="308"/>
      <c r="Z146" s="177" t="s">
        <v>166</v>
      </c>
      <c r="AA146" s="177" t="s">
        <v>164</v>
      </c>
      <c r="AB146" s="195" t="str">
        <f>+M48</f>
        <v>n.e.</v>
      </c>
    </row>
    <row r="147" spans="2:31" ht="18">
      <c r="D147" s="236"/>
      <c r="G147" s="282"/>
      <c r="H147" s="260"/>
      <c r="I147" s="260"/>
      <c r="J147" s="283"/>
      <c r="K147" s="281"/>
      <c r="L147" s="268"/>
      <c r="M147" s="318" t="s">
        <v>183</v>
      </c>
      <c r="N147" s="268"/>
      <c r="O147" s="268"/>
      <c r="P147" s="268"/>
      <c r="Q147" s="268"/>
      <c r="R147" s="268"/>
      <c r="S147" s="268"/>
      <c r="T147" s="268"/>
      <c r="U147" s="268"/>
      <c r="V147" s="269"/>
      <c r="X147" s="177"/>
      <c r="Z147" s="177" t="s">
        <v>167</v>
      </c>
      <c r="AA147" s="177" t="s">
        <v>188</v>
      </c>
      <c r="AB147" s="195" t="str">
        <f>+Q48</f>
        <v>n.e.</v>
      </c>
    </row>
    <row r="148" spans="2:31">
      <c r="D148" s="236"/>
      <c r="G148" s="284"/>
      <c r="H148" s="260"/>
      <c r="I148" s="260"/>
      <c r="J148" s="283"/>
      <c r="K148" s="48"/>
      <c r="L148" s="38"/>
      <c r="M148" s="38"/>
      <c r="N148" s="38"/>
      <c r="O148" s="38"/>
      <c r="P148" s="38"/>
      <c r="Q148" s="38"/>
      <c r="R148" s="38"/>
      <c r="S148" s="38"/>
      <c r="T148" s="38"/>
      <c r="U148" s="38"/>
      <c r="V148" s="54"/>
      <c r="Z148" s="177" t="s">
        <v>168</v>
      </c>
      <c r="AA148" s="177" t="s">
        <v>190</v>
      </c>
      <c r="AB148" s="195" t="str">
        <f>+W48</f>
        <v>n.e.</v>
      </c>
    </row>
    <row r="149" spans="2:31">
      <c r="D149" s="236"/>
      <c r="G149" s="260"/>
      <c r="H149" s="260"/>
      <c r="I149" s="260"/>
      <c r="J149" s="283"/>
      <c r="K149" s="278" t="str">
        <f>BB62</f>
        <v>n.e.</v>
      </c>
      <c r="L149" s="277" t="str">
        <f>+IF(K149="n.b.","n.b.",+IF(K149&lt;80%,"C",+IF(K149&lt;90%,"B","A")))</f>
        <v>A</v>
      </c>
      <c r="M149" s="319" t="s">
        <v>181</v>
      </c>
      <c r="N149" s="319"/>
      <c r="O149" s="319"/>
      <c r="P149" s="319"/>
      <c r="Q149" s="319"/>
      <c r="R149" s="319"/>
      <c r="S149" s="319"/>
      <c r="T149" s="319"/>
      <c r="U149" s="260"/>
      <c r="V149" s="283"/>
      <c r="Z149" s="177" t="s">
        <v>169</v>
      </c>
      <c r="AA149" s="177" t="s">
        <v>191</v>
      </c>
      <c r="AB149" s="195" t="str">
        <f>+AB48</f>
        <v>n.e.</v>
      </c>
    </row>
    <row r="150" spans="2:31">
      <c r="B150" s="16"/>
      <c r="C150" s="16"/>
      <c r="D150" s="16"/>
      <c r="E150" s="16"/>
      <c r="F150" s="16"/>
      <c r="G150" s="16"/>
      <c r="H150" s="260"/>
      <c r="I150" s="285"/>
      <c r="J150" s="286"/>
      <c r="K150" s="279"/>
      <c r="L150" s="270" t="str">
        <f>+E146</f>
        <v>A</v>
      </c>
      <c r="M150" s="319" t="s">
        <v>182</v>
      </c>
      <c r="N150" s="319"/>
      <c r="O150" s="319"/>
      <c r="P150" s="319"/>
      <c r="Q150" s="319"/>
      <c r="R150" s="319"/>
      <c r="S150" s="319"/>
      <c r="T150" s="319"/>
      <c r="U150" s="260"/>
      <c r="V150" s="283"/>
      <c r="Z150" s="177" t="s">
        <v>170</v>
      </c>
      <c r="AA150" s="177" t="s">
        <v>192</v>
      </c>
      <c r="AB150" s="195" t="str">
        <f>+AG48</f>
        <v>n.e.</v>
      </c>
    </row>
    <row r="151" spans="2:31">
      <c r="B151" s="16"/>
      <c r="C151" s="16"/>
      <c r="D151" s="16"/>
      <c r="E151" s="16"/>
      <c r="F151" s="16"/>
      <c r="G151" s="16"/>
      <c r="H151" s="287"/>
      <c r="I151" s="260"/>
      <c r="J151" s="283"/>
      <c r="K151" s="279"/>
      <c r="L151" s="270" t="str">
        <f>IF(COUNT((A8:A52)=0),"n.b.",+IF(COUNTIF((A8:A52),"C")&gt;=1,"C",+IF(+COUNTIF((A8:A52),"B")&gt;=1,"B","A")))</f>
        <v>A</v>
      </c>
      <c r="M151" s="319" t="s">
        <v>185</v>
      </c>
      <c r="N151" s="319"/>
      <c r="O151" s="319"/>
      <c r="P151" s="319"/>
      <c r="Q151" s="319"/>
      <c r="R151" s="319"/>
      <c r="S151" s="319"/>
      <c r="T151" s="319"/>
      <c r="U151" s="260"/>
      <c r="V151" s="283"/>
      <c r="Z151" s="177" t="s">
        <v>171</v>
      </c>
      <c r="AA151" s="177" t="s">
        <v>193</v>
      </c>
      <c r="AB151" s="195" t="e">
        <f>+BD48</f>
        <v>#DIV/0!</v>
      </c>
    </row>
    <row r="152" spans="2:31">
      <c r="B152" s="16"/>
      <c r="C152" s="16"/>
      <c r="D152" s="16"/>
      <c r="E152" s="16"/>
      <c r="F152" s="16"/>
      <c r="G152" s="16"/>
      <c r="H152" s="260"/>
      <c r="I152" s="260"/>
      <c r="J152" s="283"/>
      <c r="K152" s="279"/>
      <c r="L152" s="270" t="e">
        <f>+AD152</f>
        <v>#DIV/0!</v>
      </c>
      <c r="M152" s="319" t="s">
        <v>431</v>
      </c>
      <c r="N152" s="319"/>
      <c r="O152" s="319"/>
      <c r="P152" s="319"/>
      <c r="Q152" s="319"/>
      <c r="R152" s="319"/>
      <c r="S152" s="319"/>
      <c r="T152" s="319"/>
      <c r="U152" s="260"/>
      <c r="V152" s="283"/>
      <c r="AA152" s="177"/>
      <c r="AB152" s="32">
        <f>+COUNTIF(AB145:AB151,"n.b.")</f>
        <v>0</v>
      </c>
      <c r="AD152" s="327" t="e">
        <f>+IF(AB152=7,$AI$35,+IF(MIN(G48,M48,Q48,W48,AB48,AG48,BD48)&lt;80%,"B","A"))</f>
        <v>#DIV/0!</v>
      </c>
      <c r="AE152" s="32">
        <f>+COUNTIF((AB145:AB151),"=&lt;80")</f>
        <v>0</v>
      </c>
    </row>
    <row r="153" spans="2:31">
      <c r="B153" s="16"/>
      <c r="C153" s="16"/>
      <c r="D153" s="16"/>
      <c r="E153" s="16"/>
      <c r="F153" s="16"/>
      <c r="G153" s="16"/>
      <c r="H153" s="260"/>
      <c r="I153" s="260"/>
      <c r="J153" s="283"/>
      <c r="K153" s="279"/>
      <c r="L153" s="270" t="str">
        <f>+AD167</f>
        <v>C</v>
      </c>
      <c r="M153" s="319" t="s">
        <v>150</v>
      </c>
      <c r="N153" s="319"/>
      <c r="O153" s="319"/>
      <c r="P153" s="319"/>
      <c r="Q153" s="319"/>
      <c r="R153" s="319"/>
      <c r="S153" s="319"/>
      <c r="T153" s="319"/>
      <c r="U153" s="260"/>
      <c r="V153" s="283"/>
      <c r="AA153" s="177"/>
    </row>
    <row r="154" spans="2:31" ht="15" thickBot="1">
      <c r="B154" s="16"/>
      <c r="C154" s="16"/>
      <c r="D154" s="16"/>
      <c r="E154" s="16"/>
      <c r="F154" s="16"/>
      <c r="G154" s="16"/>
      <c r="H154" s="260"/>
      <c r="I154" s="260"/>
      <c r="J154" s="283"/>
      <c r="K154" s="48"/>
      <c r="L154" s="270" t="e">
        <f>++IF(K149="n.b.","n.b.",+IF(MIN(epm,ede,epe,elm,ek,epg)&lt;70%,"C",+IF(MIN(epm,ede,epe,elm,ek,epg)&lt;80%,"B","kA")))</f>
        <v>#DIV/0!</v>
      </c>
      <c r="M154" s="320" t="s">
        <v>194</v>
      </c>
      <c r="N154" s="319"/>
      <c r="O154" s="319"/>
      <c r="P154" s="319"/>
      <c r="Q154" s="319"/>
      <c r="R154" s="319"/>
      <c r="S154" s="319"/>
      <c r="T154" s="319"/>
      <c r="U154" s="260"/>
      <c r="V154" s="283"/>
      <c r="AA154" s="177"/>
    </row>
    <row r="155" spans="2:31" ht="15" thickBot="1">
      <c r="B155" s="16"/>
      <c r="C155" s="16"/>
      <c r="D155" s="16"/>
      <c r="E155" s="16"/>
      <c r="F155" s="16"/>
      <c r="G155" s="16"/>
      <c r="H155" s="260"/>
      <c r="I155" s="260"/>
      <c r="J155" s="283"/>
      <c r="K155" s="279"/>
      <c r="L155" s="288" t="str">
        <f>IF(COUNTIF(L149:L154,"n.b.")=6,"n.b.",IF(COUNTIF(L149:L154,"C")&gt;=1,"C",IF(COUNTIF(L149:L154,"B")&gt;=1,"B","A")))</f>
        <v>C</v>
      </c>
      <c r="M155" s="321" t="s">
        <v>151</v>
      </c>
      <c r="N155" s="321"/>
      <c r="O155" s="322"/>
      <c r="P155" s="319"/>
      <c r="Q155" s="319"/>
      <c r="R155" s="319"/>
      <c r="S155" s="319"/>
      <c r="T155" s="319"/>
      <c r="U155" s="260"/>
      <c r="V155" s="283"/>
    </row>
    <row r="156" spans="2:31">
      <c r="B156" s="16"/>
      <c r="C156" s="16"/>
      <c r="D156" s="16"/>
      <c r="E156" s="16"/>
      <c r="F156" s="16"/>
      <c r="G156" s="16"/>
      <c r="H156" s="260"/>
      <c r="I156" s="260"/>
      <c r="J156" s="283"/>
      <c r="K156" s="279"/>
      <c r="L156" s="271"/>
      <c r="M156" s="319"/>
      <c r="N156" s="319"/>
      <c r="O156" s="319"/>
      <c r="P156" s="319"/>
      <c r="Q156" s="319"/>
      <c r="R156" s="319"/>
      <c r="S156" s="319"/>
      <c r="T156" s="319"/>
      <c r="U156" s="260"/>
      <c r="V156" s="283"/>
      <c r="Z156" s="177" t="s">
        <v>189</v>
      </c>
    </row>
    <row r="157" spans="2:31">
      <c r="B157" s="16"/>
      <c r="C157" s="16"/>
      <c r="D157" s="16"/>
      <c r="E157" s="16"/>
      <c r="F157" s="16"/>
      <c r="G157" s="16"/>
      <c r="H157" s="260"/>
      <c r="I157" s="260"/>
      <c r="J157" s="283"/>
      <c r="K157" s="279"/>
      <c r="L157" s="271"/>
      <c r="M157" s="319"/>
      <c r="N157" s="319"/>
      <c r="O157" s="319"/>
      <c r="P157" s="319"/>
      <c r="Q157" s="319"/>
      <c r="R157" s="319"/>
      <c r="S157" s="319"/>
      <c r="T157" s="319"/>
      <c r="U157" s="260"/>
      <c r="V157" s="283"/>
      <c r="Y157" s="237"/>
      <c r="Z157" s="177" t="s">
        <v>12</v>
      </c>
      <c r="AA157" s="177" t="s">
        <v>172</v>
      </c>
      <c r="AB157" s="195" t="str">
        <f>+AS36</f>
        <v>xx</v>
      </c>
    </row>
    <row r="158" spans="2:31">
      <c r="B158" s="16"/>
      <c r="C158" s="16"/>
      <c r="D158" s="16"/>
      <c r="E158" s="16"/>
      <c r="F158" s="16"/>
      <c r="G158" s="16"/>
      <c r="H158" s="260"/>
      <c r="I158" s="260"/>
      <c r="J158" s="283"/>
      <c r="K158" s="278" t="str">
        <f>+IF(ISERROR(+AVERAGE(epm,ede,epe)),"n.b.",+ROUND((+AVERAGE(epm,ede,epe)),2))</f>
        <v>n.b.</v>
      </c>
      <c r="L158" s="277" t="str">
        <f>+IF(K158="n.b.","n.b.",(+IF(K158&lt;80%,"C",+IF(K158&lt;90%,"B","A"))))</f>
        <v>n.b.</v>
      </c>
      <c r="M158" s="319" t="s">
        <v>155</v>
      </c>
      <c r="N158" s="319"/>
      <c r="O158" s="319"/>
      <c r="P158" s="319"/>
      <c r="Q158" s="319"/>
      <c r="R158" s="319"/>
      <c r="S158" s="319"/>
      <c r="T158" s="319"/>
      <c r="U158" s="260"/>
      <c r="V158" s="283"/>
      <c r="Y158" s="237"/>
      <c r="Z158" s="177" t="s">
        <v>13</v>
      </c>
      <c r="AA158" s="177" t="s">
        <v>173</v>
      </c>
      <c r="AB158" s="195" t="str">
        <f>+AS38</f>
        <v>xx</v>
      </c>
    </row>
    <row r="159" spans="2:31">
      <c r="B159" s="16"/>
      <c r="C159" s="16"/>
      <c r="D159" s="16"/>
      <c r="E159" s="16"/>
      <c r="F159" s="16"/>
      <c r="G159" s="16"/>
      <c r="H159" s="260"/>
      <c r="I159" s="260"/>
      <c r="J159" s="283"/>
      <c r="K159" s="279"/>
      <c r="L159" s="270" t="str">
        <f>+IF(COUNTIF(H82:H97,"n.b.")=3,"n.b.",+IF(COUNTIF((H82:H97),"C")&gt;=1,"C",+IF(+COUNTIF((H82:H97),"B")&gt;=1,"B","A")))</f>
        <v>n.b.</v>
      </c>
      <c r="M159" s="319" t="s">
        <v>184</v>
      </c>
      <c r="N159" s="319"/>
      <c r="O159" s="319"/>
      <c r="P159" s="319"/>
      <c r="Q159" s="319"/>
      <c r="R159" s="319"/>
      <c r="S159" s="319"/>
      <c r="T159" s="319"/>
      <c r="U159" s="260"/>
      <c r="V159" s="283"/>
      <c r="Y159" s="237"/>
      <c r="Z159" s="177" t="s">
        <v>14</v>
      </c>
      <c r="AA159" s="177" t="s">
        <v>174</v>
      </c>
      <c r="AB159" s="195" t="str">
        <f>+AS40</f>
        <v>xx</v>
      </c>
    </row>
    <row r="160" spans="2:31">
      <c r="B160" s="16"/>
      <c r="C160" s="16"/>
      <c r="D160" s="16"/>
      <c r="E160" s="16"/>
      <c r="F160" s="16"/>
      <c r="G160" s="16"/>
      <c r="H160" s="260"/>
      <c r="I160" s="260"/>
      <c r="J160" s="283"/>
      <c r="K160" s="48"/>
      <c r="L160" s="270" t="str">
        <f>++IF(K158="n.b.","n.b.",+IF(MIN(epm,ede,epe)&lt;70%,"C",+IF(MIN(epm,ede,epe)&lt;80%,"B","kA")))</f>
        <v>n.b.</v>
      </c>
      <c r="M160" s="320" t="s">
        <v>187</v>
      </c>
      <c r="N160" s="319"/>
      <c r="O160" s="319"/>
      <c r="P160" s="260"/>
      <c r="Q160" s="319"/>
      <c r="R160" s="319"/>
      <c r="S160" s="319"/>
      <c r="T160" s="319"/>
      <c r="U160" s="260"/>
      <c r="V160" s="283"/>
      <c r="Y160" s="237"/>
      <c r="Z160" s="177"/>
      <c r="AA160" s="177"/>
      <c r="AB160" s="195"/>
    </row>
    <row r="161" spans="2:30" ht="15" thickBot="1">
      <c r="B161" s="16"/>
      <c r="C161" s="16"/>
      <c r="D161" s="16"/>
      <c r="E161" s="16"/>
      <c r="F161" s="16"/>
      <c r="G161" s="16"/>
      <c r="H161" s="260"/>
      <c r="I161" s="260"/>
      <c r="J161" s="283"/>
      <c r="K161" s="48"/>
      <c r="L161" s="270" t="str">
        <f>IF(COUNT((A8:A22)=0),"n.b.",+IF(+COUNTIF((A8:A22),"C")&gt;=1,"C",+IF(+COUNTIF((A8:A22),"B")&gt;=1,"B","A")))</f>
        <v>A</v>
      </c>
      <c r="M161" s="320" t="s">
        <v>180</v>
      </c>
      <c r="N161" s="319"/>
      <c r="O161" s="319"/>
      <c r="P161" s="260"/>
      <c r="Q161" s="319"/>
      <c r="R161" s="319"/>
      <c r="S161" s="319"/>
      <c r="T161" s="319"/>
      <c r="U161" s="260"/>
      <c r="V161" s="283"/>
      <c r="Y161" s="237"/>
      <c r="Z161" s="177"/>
      <c r="AA161" s="177"/>
      <c r="AB161" s="195"/>
    </row>
    <row r="162" spans="2:30" ht="15" thickBot="1">
      <c r="B162" s="16"/>
      <c r="C162" s="16"/>
      <c r="D162" s="16"/>
      <c r="E162" s="16"/>
      <c r="F162" s="16"/>
      <c r="G162" s="16"/>
      <c r="H162" s="260"/>
      <c r="I162" s="260"/>
      <c r="J162" s="283"/>
      <c r="K162" s="279"/>
      <c r="L162" s="288" t="str">
        <f>+IF(L158="n.b.","n.b.",+IF(COUNTIF(L158:L161,"C")&gt;=1,"C",+IF(COUNTIF(L158:L161,"B")&gt;=1,"B","A")))</f>
        <v>n.b.</v>
      </c>
      <c r="M162" s="321" t="s">
        <v>156</v>
      </c>
      <c r="N162" s="322"/>
      <c r="O162" s="319"/>
      <c r="P162" s="319"/>
      <c r="Q162" s="319"/>
      <c r="R162" s="319"/>
      <c r="S162" s="319"/>
      <c r="T162" s="319"/>
      <c r="U162" s="260"/>
      <c r="V162" s="283"/>
      <c r="Y162" s="237"/>
      <c r="Z162" s="177"/>
      <c r="AA162" s="177"/>
      <c r="AB162" s="195"/>
    </row>
    <row r="163" spans="2:30">
      <c r="B163" s="16"/>
      <c r="C163" s="16"/>
      <c r="D163" s="16"/>
      <c r="E163" s="16"/>
      <c r="F163" s="16"/>
      <c r="G163" s="16"/>
      <c r="H163" s="260"/>
      <c r="I163" s="260"/>
      <c r="J163" s="283"/>
      <c r="K163" s="279"/>
      <c r="L163" s="271"/>
      <c r="M163" s="319"/>
      <c r="N163" s="319"/>
      <c r="O163" s="319"/>
      <c r="P163" s="319"/>
      <c r="Q163" s="319"/>
      <c r="R163" s="319"/>
      <c r="S163" s="319"/>
      <c r="T163" s="319"/>
      <c r="U163" s="260"/>
      <c r="V163" s="283"/>
      <c r="Y163" s="237"/>
      <c r="Z163" s="177"/>
      <c r="AA163" s="177"/>
      <c r="AB163" s="195"/>
    </row>
    <row r="164" spans="2:30">
      <c r="B164" s="16"/>
      <c r="C164" s="16"/>
      <c r="D164" s="16"/>
      <c r="E164" s="16"/>
      <c r="F164" s="16"/>
      <c r="G164" s="16"/>
      <c r="H164" s="260"/>
      <c r="I164" s="260"/>
      <c r="J164" s="283"/>
      <c r="K164" s="278" t="str">
        <f>++IF(ISERROR(AVERAGE(ez,epg,ek)),"n.b.",+ROUND((+AVERAGE(ez,epg,ek)),2))</f>
        <v>n.b.</v>
      </c>
      <c r="L164" s="277" t="str">
        <f>+IF(K164="n.b.","n.b.",+IF(K164&lt;80%,"C",+IF(K164&lt;90%,"B","A")))</f>
        <v>n.b.</v>
      </c>
      <c r="M164" s="319" t="s">
        <v>157</v>
      </c>
      <c r="N164" s="319"/>
      <c r="O164" s="319"/>
      <c r="P164" s="319"/>
      <c r="Q164" s="319"/>
      <c r="R164" s="319"/>
      <c r="S164" s="319"/>
      <c r="T164" s="319"/>
      <c r="U164" s="260"/>
      <c r="V164" s="283"/>
      <c r="Y164" s="237"/>
      <c r="Z164" s="177"/>
      <c r="AA164" s="177"/>
      <c r="AB164" s="195"/>
    </row>
    <row r="165" spans="2:30">
      <c r="B165" s="16"/>
      <c r="C165" s="16"/>
      <c r="D165" s="16"/>
      <c r="E165" s="16"/>
      <c r="F165" s="16"/>
      <c r="G165" s="16"/>
      <c r="H165" s="260"/>
      <c r="I165" s="260"/>
      <c r="J165" s="283"/>
      <c r="K165" s="279"/>
      <c r="L165" s="270" t="str">
        <f>+IF(K164="n.b.","n.b.",+IF(MIN(elm,epg,ek,AS36:AS40,G48,M48,Q48,W48,AB48,AG48,BD48)&lt;70%,"C",IF(MIN(elm,epg,ek,AS36:AS40,G48,M48,Q48,W48,AB48,AG48,BD48)&lt;80%,"B","A")))</f>
        <v>n.b.</v>
      </c>
      <c r="M165" s="319" t="s">
        <v>195</v>
      </c>
      <c r="N165" s="319"/>
      <c r="O165" s="319"/>
      <c r="P165" s="319"/>
      <c r="Q165" s="319"/>
      <c r="R165" s="319"/>
      <c r="S165" s="319"/>
      <c r="T165" s="319"/>
      <c r="U165" s="260"/>
      <c r="V165" s="283"/>
      <c r="Y165" s="195"/>
      <c r="Z165" s="177"/>
      <c r="AA165" s="177"/>
      <c r="AB165" s="195"/>
    </row>
    <row r="166" spans="2:30">
      <c r="B166" s="16"/>
      <c r="C166" s="16"/>
      <c r="D166" s="16"/>
      <c r="E166" s="16"/>
      <c r="F166" s="16"/>
      <c r="G166" s="16"/>
      <c r="H166" s="260"/>
      <c r="I166" s="260"/>
      <c r="J166" s="283"/>
      <c r="K166" s="48"/>
      <c r="L166" s="270" t="str">
        <f>IF(COUNT((A29:A52)=0),"n.b.",+IF(+COUNTIF((A29:A52),"C")&gt;=1,"C",+IF(+COUNTIF((A29:A52),"B")&gt;=1,"B","A")))</f>
        <v>A</v>
      </c>
      <c r="M166" s="320" t="s">
        <v>179</v>
      </c>
      <c r="N166" s="319"/>
      <c r="O166" s="319"/>
      <c r="P166" s="319"/>
      <c r="Q166" s="319"/>
      <c r="R166" s="319"/>
      <c r="S166" s="319"/>
      <c r="T166" s="319"/>
      <c r="U166" s="260"/>
      <c r="V166" s="283"/>
      <c r="Y166" s="195"/>
      <c r="Z166" s="177"/>
      <c r="AA166" s="177"/>
      <c r="AB166" s="195"/>
    </row>
    <row r="167" spans="2:30" ht="15" thickBot="1">
      <c r="B167" s="16"/>
      <c r="C167" s="16"/>
      <c r="D167" s="16"/>
      <c r="E167" s="16"/>
      <c r="F167" s="16"/>
      <c r="G167" s="16"/>
      <c r="H167" s="260"/>
      <c r="I167" s="260"/>
      <c r="J167" s="283"/>
      <c r="K167" s="279"/>
      <c r="L167" s="270" t="str">
        <f>+IF(K164="n.b.","n.b.",+IF(COUNTIF((H104:H144),"C")&gt;=1,"C",+IF(+COUNTIF((H104:H144),"B")&gt;=1,"B","A")))</f>
        <v>n.b.</v>
      </c>
      <c r="M167" s="319" t="s">
        <v>178</v>
      </c>
      <c r="N167" s="319"/>
      <c r="O167" s="319"/>
      <c r="P167" s="319"/>
      <c r="Q167" s="319"/>
      <c r="R167" s="319"/>
      <c r="S167" s="319"/>
      <c r="T167" s="319"/>
      <c r="U167" s="260"/>
      <c r="V167" s="283"/>
      <c r="AB167" s="32">
        <f>+COUNTIF(AB157:AB166,"n.b.")</f>
        <v>0</v>
      </c>
      <c r="AD167" s="327" t="str">
        <f>+IF(AB167=3,"n.b.",+IF(MIN(AB157:AB159)&lt;70%,"C",+IF(MIN(AB157:AB159)&lt;80%,"B","A")))</f>
        <v>C</v>
      </c>
    </row>
    <row r="168" spans="2:30" ht="15" thickBot="1">
      <c r="B168" s="16"/>
      <c r="C168" s="16"/>
      <c r="D168" s="16"/>
      <c r="E168" s="16"/>
      <c r="F168" s="16"/>
      <c r="G168" s="16"/>
      <c r="H168" s="260"/>
      <c r="I168" s="260"/>
      <c r="J168" s="283"/>
      <c r="K168" s="280"/>
      <c r="L168" s="288" t="str">
        <f>++IF(K164="n.b.","n.b.",+IF(ISERROR(K164),"n.b.",+IF(COUNTIF(L164:L167,"C")&gt;=1,"C",+IF(COUNTIF(L164:L167,"B")&gt;=1,"B","A"))))</f>
        <v>n.b.</v>
      </c>
      <c r="M168" s="321" t="s">
        <v>186</v>
      </c>
      <c r="N168" s="322"/>
      <c r="O168" s="323"/>
      <c r="P168" s="323"/>
      <c r="Q168" s="323"/>
      <c r="R168" s="323"/>
      <c r="S168" s="323"/>
      <c r="T168" s="323"/>
      <c r="U168" s="328"/>
      <c r="V168" s="324"/>
    </row>
    <row r="169" spans="2:30">
      <c r="B169" s="16"/>
      <c r="C169" s="16"/>
      <c r="D169" s="16"/>
      <c r="E169" s="16"/>
      <c r="F169" s="16"/>
      <c r="G169" s="16"/>
      <c r="K169" s="192"/>
      <c r="L169" s="192"/>
      <c r="M169" s="192"/>
      <c r="N169" s="192"/>
      <c r="O169" s="192"/>
      <c r="P169" s="192"/>
      <c r="Q169" s="192"/>
      <c r="R169" s="192"/>
      <c r="S169" s="192"/>
      <c r="T169" s="192"/>
    </row>
    <row r="171" spans="2:30">
      <c r="K171" s="293" t="s">
        <v>176</v>
      </c>
      <c r="L171" s="294"/>
      <c r="M171" s="294"/>
      <c r="N171" s="294"/>
      <c r="O171" s="294"/>
      <c r="P171" s="295"/>
    </row>
    <row r="172" spans="2:30">
      <c r="K172" s="296" t="s">
        <v>175</v>
      </c>
      <c r="L172" s="297"/>
      <c r="M172" s="297"/>
      <c r="N172" s="297"/>
      <c r="O172" s="297"/>
      <c r="P172" s="298"/>
      <c r="R172" s="192"/>
      <c r="S172" s="177" t="s">
        <v>158</v>
      </c>
      <c r="T172" s="192"/>
    </row>
    <row r="173" spans="2:30">
      <c r="G173" s="38"/>
      <c r="H173" s="38"/>
      <c r="I173" s="38"/>
      <c r="J173" s="38"/>
      <c r="K173" s="299" t="s">
        <v>177</v>
      </c>
      <c r="L173" s="300"/>
      <c r="M173" s="300"/>
      <c r="N173" s="300"/>
      <c r="O173" s="300"/>
      <c r="P173" s="301"/>
      <c r="S173" s="32">
        <v>1</v>
      </c>
      <c r="T173" s="32">
        <v>2</v>
      </c>
      <c r="U173" s="32">
        <v>3</v>
      </c>
    </row>
    <row r="174" spans="2:30">
      <c r="G174" s="38"/>
      <c r="H174" s="38"/>
      <c r="I174" s="38"/>
      <c r="J174" s="38"/>
      <c r="K174" s="38"/>
      <c r="L174" s="38"/>
      <c r="M174" s="272"/>
      <c r="N174" s="38"/>
      <c r="O174" s="38"/>
      <c r="P174" s="177" t="s">
        <v>159</v>
      </c>
      <c r="S174" s="32" t="str">
        <f t="shared" ref="S174:U174" si="14">+J138</f>
        <v>A</v>
      </c>
      <c r="T174" s="32" t="str">
        <f t="shared" si="14"/>
        <v>A</v>
      </c>
      <c r="U174" s="32" t="str">
        <f t="shared" si="14"/>
        <v>C</v>
      </c>
    </row>
    <row r="175" spans="2:30">
      <c r="G175" s="38"/>
      <c r="H175" s="38"/>
      <c r="I175" s="38"/>
      <c r="J175" s="38"/>
      <c r="K175" s="38"/>
      <c r="L175" s="38"/>
      <c r="M175" s="38"/>
      <c r="N175" s="38"/>
      <c r="O175" s="38"/>
      <c r="P175" s="177"/>
      <c r="R175" s="177" t="s">
        <v>24</v>
      </c>
      <c r="S175" s="32" t="str">
        <f>+IF(ISERROR(AVERAGE(D36:H36)),"n.b.",(+IF(AVERAGE(D36:H36)&lt;70%,"C",+IF(AVERAGE(D36:H36)&lt;80%,"B","A"))))</f>
        <v>n.b.</v>
      </c>
      <c r="T175" s="32" t="str">
        <f>+IF(ISERROR(AVERAGE(D38:H38)),"n.b.",(+IF(AVERAGE(D38:H38)&lt;70%,"C",+IF(AVERAGE(D38:H38)&lt;80%,"B","A"))))</f>
        <v>n.b.</v>
      </c>
      <c r="U175" s="32" t="str">
        <f>+IF(ISERROR(AVERAGE(D40:H40)),"n.b.",(+IF(AVERAGE(D40:H40)&lt;70%,"C",+IF(AVERAGE(D40:H40)&lt;80%,"B","A"))))</f>
        <v>n.b.</v>
      </c>
    </row>
    <row r="176" spans="2:30">
      <c r="G176" s="38"/>
      <c r="H176" s="38"/>
      <c r="I176" s="38"/>
      <c r="J176" s="38"/>
      <c r="K176" s="38"/>
      <c r="L176" s="38"/>
      <c r="M176" s="38"/>
      <c r="N176" s="38"/>
      <c r="O176" s="38"/>
      <c r="P176" s="177"/>
      <c r="R176" s="177" t="s">
        <v>25</v>
      </c>
      <c r="S176" s="32" t="str">
        <f>+IF(ISERROR(AVERAGE(J36:O36)),"n.b.",(+IF(AVERAGE(J36:O36)&lt;70%,"C",+IF(AVERAGE(J36:O36)&lt;80%,"B","A"))))</f>
        <v>n.b.</v>
      </c>
      <c r="T176" s="32" t="str">
        <f>+IF(ISERROR(AVERAGE(J38:O38)),"n.b.",(+IF(AVERAGE(J38:O38)&lt;70%,"C",+IF(AVERAGE(J38:O38)&lt;80%,"B","A"))))</f>
        <v>n.b.</v>
      </c>
      <c r="U176" s="32" t="str">
        <f>+IF(ISERROR(AVERAGE(J40:O40)),"n.b.",(+IF(AVERAGE(J40:O40)&lt;70%,"C",+IF(AVERAGE(J40:O40)&lt;80%,"B","A"))))</f>
        <v>n.b.</v>
      </c>
    </row>
    <row r="177" spans="1:62">
      <c r="R177" s="177" t="s">
        <v>26</v>
      </c>
      <c r="S177" s="32" t="str">
        <f>+IF(ISERROR(AVERAGE(P36:R36)),"n.b.",(+IF(AVERAGE(P36:R36)&lt;70%,"C",+IF(AVERAGE(P36:R36)&lt;80%,"B","A"))))</f>
        <v>n.b.</v>
      </c>
      <c r="T177" s="32" t="str">
        <f>+IF(ISERROR(AVERAGE(P38:R38)),"n.b.",(+IF(AVERAGE(P38:R38)&lt;70%,"C",+IF(AVERAGE(P38:R38)&lt;80%,"B","A"))))</f>
        <v>n.b.</v>
      </c>
      <c r="U177" s="32" t="str">
        <f>+IF(ISERROR(AVERAGE(P40:R40)),"n.b.",(+IF(AVERAGE(P40:R40)&lt;70%,"C",+IF(AVERAGE(P40:R40)&lt;80%,"B","A"))))</f>
        <v>n.b.</v>
      </c>
    </row>
    <row r="178" spans="1:62">
      <c r="R178" s="177" t="s">
        <v>27</v>
      </c>
      <c r="S178" s="32" t="str">
        <f>+IF(ISERROR(AVERAGE($T36:$V36)),"n.b.",(+IF(AVERAGE($T36:$V36)&lt;70%,"C",+IF(AVERAGE($T36:$V36)&lt;80%,"B","A"))))</f>
        <v>n.b.</v>
      </c>
      <c r="T178" s="32" t="str">
        <f>+IF(ISERROR(AVERAGE($T38:$V38)),"n.b.",(+IF(AVERAGE($T38:$V38)&lt;70%,"C",+IF(AVERAGE($T38:$V38)&lt;80%,"B","A"))))</f>
        <v>n.b.</v>
      </c>
      <c r="U178" s="32" t="str">
        <f>+IF(ISERROR(AVERAGE($T40:$V40)),"n.b.",(+IF(AVERAGE($T40:$V40)&lt;70%,"C",+IF(AVERAGE($T40:$V40)&lt;80%,"B","A"))))</f>
        <v>n.b.</v>
      </c>
    </row>
    <row r="179" spans="1:62">
      <c r="R179" s="177" t="s">
        <v>102</v>
      </c>
      <c r="S179" s="32" t="str">
        <f>+IF(ISERROR(AVERAGE($Z36:$AC36)),"n.b.",(+IF(AVERAGE($Z36:$AC36)&lt;70%,"C",+IF(AVERAGE($Z36:$AC36)&lt;80%,"B","A"))))</f>
        <v>n.b.</v>
      </c>
      <c r="T179" s="32" t="str">
        <f>+IF(ISERROR(AVERAGE($Z38:$AC38)),"n.b.",(+IF(AVERAGE($Z38:$AC38)&lt;70%,"C",+IF(AVERAGE($Z38:$AC38)&lt;80%,"B","A"))))</f>
        <v>n.b.</v>
      </c>
      <c r="U179" s="32" t="str">
        <f>+IF(ISERROR(AVERAGE($Z40:$AC40)),"n.b.",(+IF(AVERAGE($Z40:$AC40)&lt;70%,"C",+IF(AVERAGE($Z40:$AC40)&lt;80%,"B","A"))))</f>
        <v>n.b.</v>
      </c>
    </row>
    <row r="180" spans="1:62">
      <c r="R180" s="177" t="s">
        <v>103</v>
      </c>
      <c r="S180" s="32" t="str">
        <f>+IF(ISERROR(AVERAGE($AE36:$AH36)),"n.b.",(+IF(AVERAGE($AE36:$AH36)&lt;70%,"C",+IF(AVERAGE($AE36:$AH36)&lt;80%,"B","A"))))</f>
        <v>n.b.</v>
      </c>
      <c r="T180" s="32" t="str">
        <f>+IF(ISERROR(AVERAGE($AE38:$AH38)),"n.b.",(+IF(AVERAGE($AE38:$AH38)&lt;70%,"C",+IF(AVERAGE($AE38:$AH38)&lt;80%,"B","A"))))</f>
        <v>n.b.</v>
      </c>
      <c r="U180" s="32" t="str">
        <f>+IF(ISERROR(AVERAGE($AE40:$AH40)),"n.b.",(+IF(AVERAGE($AE40:$AH40)&lt;70%,"C",+IF(AVERAGE($AE40:$AH40)&lt;80%,"B","A"))))</f>
        <v>n.b.</v>
      </c>
    </row>
    <row r="181" spans="1:62">
      <c r="R181" s="177" t="s">
        <v>143</v>
      </c>
      <c r="S181" s="32" t="str">
        <f>+IF(ISERROR(AVERAGE($AX36:$BE36)),"n.b.",(+IF(AVERAGE($AX36:$BE36)&lt;70%,"C",+IF(AVERAGE($AX36:$BE36)&lt;80%,"B","A"))))</f>
        <v>n.b.</v>
      </c>
      <c r="T181" s="32" t="str">
        <f>+IF(ISERROR(AVERAGE($AX38:$BE38)),"n.b.",(+IF(AVERAGE($AX38:$BE38)&lt;70%,"C",+IF(AVERAGE($AX38:$BE38)&lt;80%,"B","A"))))</f>
        <v>n.b.</v>
      </c>
      <c r="U181" s="32" t="str">
        <f>+IF(ISERROR(AVERAGE($AX40:$BE40)),"n.b.",(+IF(AVERAGE($AX40:$BE40)&lt;70%,"C",+IF(AVERAGE($AX40:$BE40)&lt;80%,"B","A"))))</f>
        <v>n.b.</v>
      </c>
    </row>
    <row r="182" spans="1:62">
      <c r="R182" s="177"/>
    </row>
    <row r="183" spans="1:62">
      <c r="K183" s="237"/>
      <c r="Q183" s="177"/>
      <c r="R183" s="177"/>
      <c r="S183" s="177"/>
      <c r="T183" s="177"/>
      <c r="U183" s="177"/>
      <c r="V183" s="177"/>
      <c r="W183" s="177"/>
      <c r="X183" s="177"/>
      <c r="Y183" s="177"/>
      <c r="Z183" s="177"/>
    </row>
    <row r="184" spans="1:62">
      <c r="K184" s="237"/>
      <c r="L184" s="192"/>
      <c r="M184" s="177"/>
    </row>
    <row r="185" spans="1:62">
      <c r="B185" s="48"/>
      <c r="C185" s="33"/>
      <c r="D185" s="31"/>
      <c r="E185" s="31"/>
      <c r="F185" s="31"/>
      <c r="G185" s="31"/>
      <c r="H185" s="31"/>
      <c r="I185" s="31"/>
      <c r="J185" s="31"/>
      <c r="K185" s="31"/>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16"/>
      <c r="BF185" s="16"/>
      <c r="BG185" s="16"/>
      <c r="BH185" s="16"/>
      <c r="BI185" s="49"/>
      <c r="BJ185" s="34"/>
    </row>
    <row r="186" spans="1:62">
      <c r="A186" s="254"/>
      <c r="B186" s="48"/>
      <c r="C186" s="262"/>
      <c r="D186" s="258"/>
      <c r="E186" s="258"/>
      <c r="F186" s="258"/>
      <c r="G186" s="258"/>
      <c r="H186" s="258"/>
      <c r="I186" s="258"/>
      <c r="J186" s="258"/>
      <c r="K186" s="258"/>
      <c r="L186" s="258"/>
      <c r="M186" s="258"/>
      <c r="N186" s="258"/>
      <c r="O186" s="258"/>
      <c r="P186" s="258"/>
      <c r="Q186" s="258"/>
      <c r="R186" s="258"/>
      <c r="S186" s="258"/>
      <c r="T186" s="258"/>
      <c r="U186" s="258"/>
      <c r="V186" s="258"/>
      <c r="W186" s="258"/>
      <c r="X186" s="258"/>
      <c r="Y186" s="258"/>
      <c r="Z186" s="258"/>
      <c r="AA186" s="258"/>
      <c r="AB186" s="258"/>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6"/>
      <c r="BF186" s="16"/>
      <c r="BG186" s="16"/>
      <c r="BH186" s="16"/>
      <c r="BI186" s="51"/>
      <c r="BJ186" s="16"/>
    </row>
    <row r="187" spans="1:62">
      <c r="B187" s="48"/>
      <c r="C187" s="258"/>
      <c r="D187" s="258"/>
      <c r="E187" s="258"/>
      <c r="F187" s="258"/>
      <c r="G187" s="258"/>
      <c r="H187" s="258"/>
      <c r="I187" s="258"/>
      <c r="J187" s="258"/>
      <c r="K187" s="258"/>
      <c r="L187" s="258"/>
      <c r="M187" s="258"/>
      <c r="N187" s="258"/>
      <c r="O187" s="258"/>
      <c r="P187" s="258"/>
      <c r="Q187" s="258"/>
      <c r="R187" s="258"/>
      <c r="S187" s="258"/>
      <c r="T187" s="258"/>
      <c r="U187" s="258"/>
      <c r="V187" s="258"/>
      <c r="W187" s="258"/>
      <c r="X187" s="258"/>
      <c r="Y187" s="258"/>
      <c r="Z187" s="258"/>
      <c r="AA187" s="258"/>
      <c r="AB187" s="258"/>
      <c r="AC187" s="15"/>
      <c r="AD187" s="15"/>
      <c r="AE187" s="15"/>
      <c r="AF187" s="15"/>
      <c r="AG187" s="15"/>
      <c r="AH187" s="15"/>
      <c r="AI187" s="15"/>
      <c r="AJ187" s="15"/>
      <c r="AK187" s="15"/>
      <c r="AL187" s="15"/>
      <c r="AM187" s="15"/>
      <c r="AN187" s="15"/>
      <c r="AO187" s="15"/>
      <c r="AP187" s="15"/>
      <c r="AQ187" s="15"/>
      <c r="AR187" s="15"/>
      <c r="AS187" s="15"/>
      <c r="AT187" s="15"/>
      <c r="AU187" s="15"/>
      <c r="AV187" s="15"/>
      <c r="BE187" s="16"/>
      <c r="BF187" s="16"/>
      <c r="BG187" s="16"/>
      <c r="BH187" s="16"/>
      <c r="BI187" s="51"/>
      <c r="BJ187" s="16"/>
    </row>
    <row r="188" spans="1:62" s="493" customFormat="1" ht="28.5">
      <c r="A188" s="242" t="s">
        <v>152</v>
      </c>
      <c r="B188" s="48"/>
      <c r="C188" s="263"/>
      <c r="D188" s="1517"/>
      <c r="E188" s="1517"/>
      <c r="F188" s="1517"/>
      <c r="G188" s="1517"/>
      <c r="H188" s="1517"/>
      <c r="I188" s="1473"/>
      <c r="J188" s="1473"/>
      <c r="K188" s="1473"/>
      <c r="L188" s="1473"/>
      <c r="M188" s="1473"/>
      <c r="N188" s="1473"/>
      <c r="O188" s="1473"/>
      <c r="P188" s="1473"/>
      <c r="Q188" s="1473"/>
      <c r="R188" s="1473"/>
      <c r="S188" s="1473"/>
      <c r="T188" s="1473"/>
      <c r="U188" s="1473"/>
      <c r="V188" s="1473"/>
      <c r="W188" s="1473"/>
      <c r="X188" s="1473"/>
      <c r="Y188" s="264"/>
      <c r="Z188" s="264"/>
      <c r="AA188" s="264"/>
      <c r="AB188" s="742"/>
      <c r="AC188" s="205"/>
      <c r="AD188" s="205"/>
      <c r="AE188" s="1524"/>
      <c r="AF188" s="1524"/>
      <c r="AG188" s="1524"/>
      <c r="AH188" s="1524"/>
      <c r="AI188" s="1524"/>
      <c r="AJ188" s="1524"/>
      <c r="AK188" s="1524"/>
      <c r="AL188" s="1524"/>
      <c r="AM188" s="1524"/>
      <c r="AN188" s="1524"/>
      <c r="AO188" s="1524"/>
      <c r="AP188" s="1524"/>
      <c r="AQ188" s="1524"/>
      <c r="AR188" s="1524"/>
      <c r="AS188" s="1524"/>
      <c r="AT188" s="1524"/>
      <c r="AU188" s="206"/>
      <c r="AV188" s="206"/>
      <c r="AW188" s="1580"/>
      <c r="AX188" s="1580"/>
      <c r="AY188" s="1580"/>
      <c r="AZ188" s="1580"/>
      <c r="BA188" s="1580"/>
      <c r="BB188" s="1580"/>
      <c r="BC188" s="1580"/>
      <c r="BD188" s="229"/>
      <c r="BE188" s="16"/>
      <c r="BF188" s="16"/>
      <c r="BG188" s="16"/>
      <c r="BH188" s="16"/>
      <c r="BI188" s="45"/>
      <c r="BJ188" s="44"/>
    </row>
    <row r="189" spans="1:62" ht="21" customHeight="1">
      <c r="A189" s="243" t="e">
        <f>IF(COUNTIF(G48,"n.b.")+COUNTIF(M48,"n.b.")+COUNTIF(M48,"n.b.")+COUNTIF(Q48,"n.b.")+COUNTIF(W48,"n.b.")+COUNTIF(AB48,"n.b.")+COUNTIF(AG48,"n.b.")+COUNTIF(BD48,"n.b.")=7,"n.b.",IF(MIN(G48,M48,Q48,W48,AB48,AG48,BD48)&lt;70%,"C",IF(MIN(G48,M48,Q48,W48,AB48,AG48,BD48)&lt;80%,"B","A")))</f>
        <v>#DIV/0!</v>
      </c>
      <c r="B189" s="48"/>
      <c r="C189" s="258"/>
      <c r="D189" s="1517"/>
      <c r="E189" s="1517"/>
      <c r="F189" s="1517"/>
      <c r="G189" s="1517"/>
      <c r="H189" s="1517"/>
      <c r="I189" s="1496"/>
      <c r="J189" s="1496"/>
      <c r="K189" s="1496"/>
      <c r="L189" s="1496"/>
      <c r="M189" s="1496"/>
      <c r="N189" s="1496"/>
      <c r="O189" s="1496"/>
      <c r="P189" s="1496"/>
      <c r="Q189" s="1496"/>
      <c r="R189" s="1496"/>
      <c r="S189" s="1496"/>
      <c r="T189" s="1496"/>
      <c r="U189" s="1496"/>
      <c r="V189" s="1496"/>
      <c r="W189" s="1496"/>
      <c r="X189" s="1496"/>
      <c r="Y189" s="265"/>
      <c r="Z189" s="265"/>
      <c r="AA189" s="265"/>
      <c r="AB189" s="743"/>
      <c r="AC189" s="207"/>
      <c r="AD189" s="207"/>
      <c r="AE189" s="1524"/>
      <c r="AF189" s="1524"/>
      <c r="AG189" s="1524"/>
      <c r="AH189" s="1524"/>
      <c r="AI189" s="1524"/>
      <c r="AJ189" s="1524"/>
      <c r="AK189" s="1524"/>
      <c r="AL189" s="1524"/>
      <c r="AM189" s="1524"/>
      <c r="AN189" s="1524"/>
      <c r="AO189" s="1524"/>
      <c r="AP189" s="1524"/>
      <c r="AQ189" s="1524"/>
      <c r="AR189" s="1524"/>
      <c r="AS189" s="1524"/>
      <c r="AT189" s="1524"/>
      <c r="AW189" s="1580"/>
      <c r="AX189" s="1580"/>
      <c r="AY189" s="1580"/>
      <c r="AZ189" s="1580"/>
      <c r="BA189" s="1580"/>
      <c r="BB189" s="1580"/>
      <c r="BC189" s="1580"/>
      <c r="BD189" s="229"/>
      <c r="BE189" s="16"/>
      <c r="BF189" s="16"/>
      <c r="BG189" s="16"/>
      <c r="BH189" s="16"/>
      <c r="BI189" s="51"/>
      <c r="BJ189" s="16"/>
    </row>
    <row r="190" spans="1:62" ht="5.0999999999999996" customHeight="1">
      <c r="B190" s="48"/>
      <c r="C190" s="258"/>
      <c r="D190" s="258"/>
      <c r="E190" s="258"/>
      <c r="F190" s="258"/>
      <c r="G190" s="258"/>
      <c r="H190" s="258"/>
      <c r="I190" s="258"/>
      <c r="J190" s="258"/>
      <c r="K190" s="258"/>
      <c r="L190" s="258"/>
      <c r="M190" s="258"/>
      <c r="N190" s="258"/>
      <c r="O190" s="258"/>
      <c r="P190" s="258"/>
      <c r="Q190" s="258"/>
      <c r="R190" s="258"/>
      <c r="S190" s="258"/>
      <c r="T190" s="258"/>
      <c r="U190" s="258"/>
      <c r="V190" s="258"/>
      <c r="W190" s="258"/>
      <c r="X190" s="258"/>
      <c r="Y190" s="258"/>
      <c r="Z190" s="258"/>
      <c r="AA190" s="258"/>
      <c r="AB190" s="258"/>
      <c r="AC190" s="15"/>
      <c r="AD190" s="15"/>
      <c r="AE190" s="1524"/>
      <c r="AF190" s="1524"/>
      <c r="AG190" s="1524"/>
      <c r="AH190" s="1524"/>
      <c r="AI190" s="1524"/>
      <c r="AJ190" s="1524"/>
      <c r="AK190" s="1524"/>
      <c r="AL190" s="1524"/>
      <c r="AM190" s="1524"/>
      <c r="AN190" s="1524"/>
      <c r="AO190" s="1524"/>
      <c r="AP190" s="1524"/>
      <c r="AQ190" s="1524"/>
      <c r="AR190" s="1524"/>
      <c r="AS190" s="1524"/>
      <c r="AT190" s="1524"/>
      <c r="AU190" s="199"/>
      <c r="AV190" s="199"/>
      <c r="AW190" s="1580"/>
      <c r="AX190" s="1580"/>
      <c r="AY190" s="1580"/>
      <c r="AZ190" s="1580"/>
      <c r="BA190" s="1580"/>
      <c r="BB190" s="1580"/>
      <c r="BC190" s="1580"/>
      <c r="BD190" s="229"/>
      <c r="BE190" s="16"/>
      <c r="BF190" s="16"/>
      <c r="BG190" s="16"/>
      <c r="BH190" s="16"/>
      <c r="BI190" s="51"/>
      <c r="BJ190" s="16"/>
    </row>
    <row r="191" spans="1:62" ht="13.5" customHeight="1">
      <c r="B191" s="48"/>
      <c r="C191" s="258"/>
      <c r="D191" s="266"/>
      <c r="E191" s="258"/>
      <c r="F191" s="258"/>
      <c r="G191" s="258"/>
      <c r="H191" s="258"/>
      <c r="I191" s="258"/>
      <c r="J191" s="1478"/>
      <c r="K191" s="1478"/>
      <c r="L191" s="258"/>
      <c r="M191" s="258"/>
      <c r="N191" s="1478"/>
      <c r="O191" s="1478"/>
      <c r="P191" s="258"/>
      <c r="Q191" s="258"/>
      <c r="R191" s="1478"/>
      <c r="S191" s="1478"/>
      <c r="T191" s="258"/>
      <c r="U191" s="258"/>
      <c r="V191" s="1478"/>
      <c r="W191" s="1478"/>
      <c r="X191" s="257"/>
      <c r="Y191" s="1478"/>
      <c r="Z191" s="1478"/>
      <c r="AA191" s="257"/>
      <c r="AB191" s="257"/>
      <c r="AC191" s="209"/>
      <c r="AD191" s="209"/>
      <c r="AE191" s="257"/>
      <c r="AF191" s="258"/>
      <c r="AG191" s="259"/>
      <c r="AH191" s="260"/>
      <c r="AI191" s="260"/>
      <c r="AJ191" s="260"/>
      <c r="AK191" s="260"/>
      <c r="AL191" s="260"/>
      <c r="AM191" s="259"/>
      <c r="AN191" s="259"/>
      <c r="AO191" s="259"/>
      <c r="AP191" s="259"/>
      <c r="AQ191" s="259"/>
      <c r="AR191" s="261"/>
      <c r="AS191" s="261"/>
      <c r="AT191" s="259"/>
      <c r="AU191" s="199"/>
      <c r="AV191" s="199"/>
      <c r="AW191" s="199"/>
      <c r="AX191" s="199"/>
      <c r="AY191" s="199"/>
      <c r="AZ191" s="199"/>
      <c r="BA191" s="199"/>
      <c r="BB191" s="199"/>
      <c r="BC191" s="199"/>
      <c r="BD191" s="199"/>
      <c r="BE191" s="256"/>
      <c r="BF191" s="199"/>
      <c r="BG191" s="199"/>
      <c r="BH191" s="199"/>
      <c r="BI191" s="51"/>
      <c r="BJ191" s="16"/>
    </row>
    <row r="192" spans="1:62" ht="21" customHeight="1">
      <c r="A192" s="242" t="s">
        <v>146</v>
      </c>
      <c r="B192" s="48"/>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78"/>
      <c r="AF192" s="1579"/>
      <c r="AG192" s="1579"/>
      <c r="AH192" s="1579"/>
      <c r="AI192" s="1578"/>
      <c r="AJ192" s="1578"/>
      <c r="AK192" s="1578"/>
      <c r="AL192" s="1578"/>
      <c r="AM192" s="1578"/>
      <c r="AN192" s="1578"/>
      <c r="AO192" s="1578"/>
      <c r="AP192" s="1578"/>
      <c r="AQ192" s="1578"/>
      <c r="AR192" s="16"/>
      <c r="AS192" s="16"/>
      <c r="AT192" s="16"/>
      <c r="AU192" s="16"/>
      <c r="AV192" s="16"/>
      <c r="AW192" s="16"/>
      <c r="AX192" s="16"/>
      <c r="AY192" s="16"/>
      <c r="AZ192" s="16"/>
      <c r="BA192" s="16"/>
      <c r="BB192" s="16"/>
      <c r="BC192" s="16"/>
      <c r="BD192" s="16"/>
      <c r="BE192" s="16"/>
      <c r="BF192" s="16"/>
      <c r="BG192" s="16"/>
      <c r="BH192" s="16"/>
      <c r="BI192" s="16"/>
      <c r="BJ192" s="16"/>
    </row>
    <row r="193" spans="1:62" ht="15.2" customHeight="1" thickBot="1">
      <c r="A193" s="243" t="str">
        <f>IF(MIN(AT36:AT40)&lt;70%,"C",IF(MIN(AT36:AT40)&lt;80%,"B","A"))</f>
        <v>C</v>
      </c>
      <c r="B193" s="48"/>
      <c r="D193" s="15"/>
      <c r="E193" s="15"/>
      <c r="F193" s="15"/>
      <c r="G193" s="15"/>
      <c r="H193" s="15"/>
      <c r="I193" s="15"/>
      <c r="J193" s="15"/>
      <c r="K193" s="15"/>
      <c r="L193" s="15"/>
      <c r="M193" s="15"/>
      <c r="N193" s="15"/>
      <c r="O193" s="15"/>
      <c r="P193" s="15"/>
      <c r="Q193" s="15"/>
      <c r="R193" s="15"/>
      <c r="S193" s="15"/>
      <c r="T193" s="15"/>
      <c r="U193" s="15"/>
      <c r="V193" s="498"/>
      <c r="W193" s="15"/>
      <c r="X193" s="15"/>
      <c r="Y193" s="498" t="s">
        <v>49</v>
      </c>
      <c r="Z193" s="15"/>
      <c r="AB193" s="222" t="s">
        <v>65</v>
      </c>
      <c r="AC193" s="15"/>
      <c r="AD193" s="15"/>
      <c r="AE193" s="1579"/>
      <c r="AF193" s="1579"/>
      <c r="AG193" s="1579"/>
      <c r="AH193" s="1579"/>
      <c r="AI193" s="1579"/>
      <c r="AJ193" s="1579"/>
      <c r="AK193" s="1579"/>
      <c r="AL193" s="1579"/>
      <c r="AM193" s="1579"/>
      <c r="AN193" s="1579"/>
      <c r="AO193" s="1579"/>
      <c r="AP193" s="1579"/>
      <c r="AQ193" s="1579"/>
      <c r="AR193" s="16"/>
      <c r="AS193" s="16"/>
      <c r="AT193" s="16"/>
      <c r="AU193" s="16"/>
      <c r="AV193" s="16"/>
      <c r="AW193" s="16"/>
      <c r="AX193" s="16"/>
      <c r="AY193" s="16"/>
      <c r="AZ193" s="16"/>
      <c r="BA193" s="16"/>
      <c r="BB193" s="16"/>
      <c r="BC193" s="16"/>
      <c r="BD193" s="16"/>
      <c r="BE193" s="16"/>
      <c r="BF193" s="16"/>
      <c r="BG193" s="16"/>
      <c r="BH193" s="16"/>
      <c r="BI193" s="16"/>
      <c r="BJ193" s="16"/>
    </row>
    <row r="194" spans="1:62" ht="15" customHeight="1">
      <c r="B194" s="48"/>
      <c r="C194" s="15"/>
      <c r="D194" s="15"/>
      <c r="E194" s="15"/>
      <c r="F194" s="15"/>
      <c r="G194" s="15"/>
      <c r="H194" s="15"/>
      <c r="I194" s="15"/>
      <c r="J194" s="15"/>
      <c r="K194" s="15"/>
      <c r="L194" s="15"/>
      <c r="M194" s="15"/>
      <c r="N194" s="15"/>
      <c r="O194" s="15"/>
      <c r="P194" s="15"/>
      <c r="Q194" s="15"/>
      <c r="R194" s="15"/>
      <c r="S194" s="15"/>
      <c r="T194" s="15"/>
      <c r="U194" s="15"/>
      <c r="V194" s="1483" t="s">
        <v>72</v>
      </c>
      <c r="W194" s="1484"/>
      <c r="X194" s="1485"/>
      <c r="Y194" s="1489" t="str">
        <f>IF(ISERROR(AVERAGE(epm,epp,epr)),"n.b.",ROUND(AVERAGE(D8:J8,D14:H14,O14:S14,D22:K22,Q22:X22)/10,2))</f>
        <v>n.b.</v>
      </c>
      <c r="Z194" s="1490"/>
      <c r="AA194" s="1491"/>
      <c r="AB194" s="1581" t="str">
        <f>+L162</f>
        <v>n.b.</v>
      </c>
      <c r="AC194" s="1582"/>
      <c r="AD194" s="15"/>
      <c r="AE194" s="1576"/>
      <c r="AF194" s="1577"/>
      <c r="AG194" s="1577"/>
      <c r="AH194" s="1577"/>
      <c r="AI194" s="1474"/>
      <c r="AJ194" s="1474"/>
      <c r="AK194" s="1474"/>
      <c r="AL194" s="1474"/>
      <c r="AM194" s="1474"/>
      <c r="AN194" s="1474"/>
      <c r="AO194" s="1474"/>
      <c r="AP194" s="1474"/>
      <c r="AQ194" s="1475"/>
      <c r="AR194" s="16"/>
      <c r="AS194" s="16"/>
      <c r="AT194" s="16"/>
      <c r="AU194" s="16"/>
      <c r="AV194" s="16"/>
      <c r="AW194" s="16"/>
      <c r="AX194" s="16"/>
      <c r="AY194" s="16"/>
      <c r="AZ194" s="16"/>
      <c r="BA194" s="16"/>
      <c r="BB194" s="16"/>
      <c r="BC194" s="16"/>
      <c r="BD194" s="16"/>
      <c r="BE194" s="16"/>
      <c r="BF194" s="16"/>
      <c r="BG194" s="16"/>
      <c r="BH194" s="16"/>
      <c r="BI194" s="16"/>
      <c r="BJ194" s="16"/>
    </row>
    <row r="195" spans="1:62" ht="19.5" customHeight="1" thickBot="1">
      <c r="B195" s="48"/>
      <c r="C195" s="15"/>
      <c r="D195" s="15"/>
      <c r="E195" s="15"/>
      <c r="F195" s="73"/>
      <c r="G195" s="15"/>
      <c r="I195" s="15"/>
      <c r="J195" s="230"/>
      <c r="K195" s="204"/>
      <c r="L195" s="15"/>
      <c r="M195" s="15"/>
      <c r="N195" s="15"/>
      <c r="O195" s="15"/>
      <c r="P195" s="15"/>
      <c r="Q195" s="15"/>
      <c r="R195" s="15"/>
      <c r="S195" s="15"/>
      <c r="T195" s="15"/>
      <c r="U195" s="15"/>
      <c r="V195" s="1486"/>
      <c r="W195" s="1487"/>
      <c r="X195" s="1488"/>
      <c r="Y195" s="1492"/>
      <c r="Z195" s="1493"/>
      <c r="AA195" s="1494"/>
      <c r="AB195" s="1583"/>
      <c r="AC195" s="1584"/>
      <c r="AD195" s="15"/>
      <c r="AE195" s="1576"/>
      <c r="AF195" s="1577"/>
      <c r="AG195" s="1577"/>
      <c r="AH195" s="1577"/>
      <c r="AI195" s="1474"/>
      <c r="AJ195" s="1474"/>
      <c r="AK195" s="1474"/>
      <c r="AL195" s="1474"/>
      <c r="AM195" s="1474"/>
      <c r="AN195" s="1474"/>
      <c r="AO195" s="1474"/>
      <c r="AP195" s="1474"/>
      <c r="AQ195" s="1475"/>
      <c r="AR195" s="16"/>
      <c r="AS195" s="16"/>
      <c r="AT195" s="16"/>
      <c r="AU195" s="16"/>
      <c r="AV195" s="16"/>
      <c r="AW195" s="16"/>
      <c r="AX195" s="16"/>
      <c r="AY195" s="16"/>
      <c r="AZ195" s="16"/>
      <c r="BA195" s="16"/>
      <c r="BB195" s="16"/>
      <c r="BC195" s="16"/>
      <c r="BD195" s="16"/>
      <c r="BE195" s="16"/>
      <c r="BF195" s="16"/>
      <c r="BG195" s="16"/>
      <c r="BH195" s="16"/>
      <c r="BI195" s="16"/>
      <c r="BJ195" s="16"/>
    </row>
    <row r="196" spans="1:62" ht="15" customHeight="1" thickBot="1">
      <c r="B196" s="48"/>
      <c r="C196" s="15"/>
      <c r="D196" s="15"/>
      <c r="E196" s="15"/>
      <c r="F196" s="15"/>
      <c r="G196" s="15"/>
      <c r="H196" s="15"/>
      <c r="I196" s="15"/>
      <c r="J196" s="15"/>
      <c r="K196" s="204"/>
      <c r="L196" s="15"/>
      <c r="M196" s="15"/>
      <c r="N196" s="15"/>
      <c r="O196" s="15"/>
      <c r="P196" s="15"/>
      <c r="Q196" s="15"/>
      <c r="R196" s="15"/>
      <c r="S196" s="15"/>
      <c r="T196" s="15"/>
      <c r="U196" s="15"/>
      <c r="V196" s="15"/>
      <c r="W196" s="15"/>
      <c r="X196" s="15"/>
      <c r="Y196" s="256"/>
      <c r="Z196" s="15"/>
      <c r="AA196" s="15"/>
      <c r="AB196" s="15"/>
      <c r="AC196" s="15"/>
      <c r="AD196" s="15"/>
      <c r="AE196" s="1576"/>
      <c r="AF196" s="1577"/>
      <c r="AG196" s="1577"/>
      <c r="AH196" s="1577"/>
      <c r="AI196" s="1474"/>
      <c r="AJ196" s="1474"/>
      <c r="AK196" s="1474"/>
      <c r="AL196" s="1474"/>
      <c r="AM196" s="1474"/>
      <c r="AN196" s="1474"/>
      <c r="AO196" s="1474"/>
      <c r="AP196" s="1474"/>
      <c r="AQ196" s="1475"/>
      <c r="AR196" s="16"/>
      <c r="AS196" s="16"/>
      <c r="AT196" s="16"/>
      <c r="AU196" s="16"/>
      <c r="AV196" s="16"/>
      <c r="AW196" s="16"/>
      <c r="AX196" s="16"/>
      <c r="AY196" s="16"/>
      <c r="AZ196" s="16"/>
      <c r="BA196" s="16"/>
      <c r="BB196" s="16"/>
      <c r="BC196" s="16"/>
      <c r="BD196" s="16"/>
      <c r="BE196" s="16"/>
      <c r="BF196" s="16"/>
      <c r="BG196" s="16"/>
      <c r="BH196" s="16"/>
      <c r="BI196" s="16"/>
      <c r="BJ196" s="16"/>
    </row>
    <row r="197" spans="1:62" ht="19.5" customHeight="1">
      <c r="B197" s="48"/>
      <c r="C197" s="15"/>
      <c r="D197" s="15"/>
      <c r="E197" s="15"/>
      <c r="F197" s="73"/>
      <c r="G197" s="15"/>
      <c r="H197" s="15"/>
      <c r="I197" s="15"/>
      <c r="J197" s="230"/>
      <c r="K197" s="204"/>
      <c r="L197" s="15"/>
      <c r="M197" s="15"/>
      <c r="N197" s="15"/>
      <c r="O197" s="15"/>
      <c r="P197" s="15"/>
      <c r="Q197" s="15"/>
      <c r="R197" s="15"/>
      <c r="S197" s="15"/>
      <c r="T197" s="15"/>
      <c r="U197" s="15"/>
      <c r="V197" s="1483" t="s">
        <v>73</v>
      </c>
      <c r="W197" s="1484"/>
      <c r="X197" s="1485"/>
      <c r="Y197" s="1489" t="str">
        <f>IF(ISERROR(AVERAGE(ez,epg,ek)),"n.b.",ROUND(AVERAGE(L29:R29,D36:AH40,U52:Y52)/10,2))</f>
        <v>n.b.</v>
      </c>
      <c r="Z197" s="1490"/>
      <c r="AA197" s="1491"/>
      <c r="AB197" s="1581" t="str">
        <f>+L168</f>
        <v>n.b.</v>
      </c>
      <c r="AC197" s="1582"/>
      <c r="AD197" s="15"/>
      <c r="AE197" s="1576"/>
      <c r="AF197" s="1577"/>
      <c r="AG197" s="1577"/>
      <c r="AH197" s="1577"/>
      <c r="AI197" s="1474"/>
      <c r="AJ197" s="1474"/>
      <c r="AK197" s="1474"/>
      <c r="AL197" s="1474"/>
      <c r="AM197" s="1474"/>
      <c r="AN197" s="1474"/>
      <c r="AO197" s="1474"/>
      <c r="AP197" s="1474"/>
      <c r="AQ197" s="1475"/>
      <c r="AR197" s="16"/>
      <c r="AS197" s="16"/>
      <c r="AT197" s="16"/>
      <c r="AU197" s="16"/>
      <c r="AV197" s="16"/>
      <c r="AW197" s="16"/>
      <c r="AX197" s="16"/>
      <c r="AY197" s="16"/>
      <c r="AZ197" s="16"/>
      <c r="BA197" s="16"/>
      <c r="BB197" s="16"/>
      <c r="BC197" s="16"/>
      <c r="BD197" s="16"/>
      <c r="BE197" s="16"/>
      <c r="BF197" s="16"/>
      <c r="BG197" s="16"/>
      <c r="BH197" s="16"/>
      <c r="BI197" s="16"/>
      <c r="BJ197" s="16"/>
    </row>
    <row r="198" spans="1:62" ht="15" customHeight="1" thickBot="1">
      <c r="B198" s="48"/>
      <c r="C198" s="33"/>
      <c r="D198" s="31"/>
      <c r="E198" s="31"/>
      <c r="F198" s="31"/>
      <c r="G198" s="31"/>
      <c r="H198" s="31"/>
      <c r="I198" s="31"/>
      <c r="J198" s="31"/>
      <c r="K198" s="31"/>
      <c r="L198" s="31"/>
      <c r="M198" s="31"/>
      <c r="N198" s="31"/>
      <c r="O198" s="36"/>
      <c r="P198" s="31"/>
      <c r="Q198" s="31"/>
      <c r="R198" s="31"/>
      <c r="S198" s="31"/>
      <c r="T198" s="31"/>
      <c r="U198" s="31"/>
      <c r="V198" s="1486"/>
      <c r="W198" s="1487"/>
      <c r="X198" s="1488"/>
      <c r="Y198" s="1492"/>
      <c r="Z198" s="1493"/>
      <c r="AA198" s="1494"/>
      <c r="AB198" s="1583"/>
      <c r="AC198" s="1584"/>
      <c r="AD198" s="31"/>
      <c r="AE198" s="1495"/>
      <c r="AF198" s="1475"/>
      <c r="AG198" s="1475"/>
      <c r="AH198" s="1475"/>
      <c r="AI198" s="1474"/>
      <c r="AJ198" s="1474"/>
      <c r="AK198" s="1474"/>
      <c r="AL198" s="1474"/>
      <c r="AM198" s="1474"/>
      <c r="AN198" s="1474"/>
      <c r="AO198" s="1474"/>
      <c r="AP198" s="1474"/>
      <c r="AQ198" s="1475"/>
      <c r="AR198" s="16"/>
      <c r="AS198" s="16"/>
      <c r="AT198" s="16"/>
      <c r="AU198" s="16"/>
      <c r="AV198" s="16"/>
      <c r="AW198" s="16"/>
      <c r="AX198" s="16"/>
      <c r="AY198" s="16"/>
      <c r="AZ198" s="16"/>
      <c r="BA198" s="16"/>
      <c r="BB198" s="16"/>
      <c r="BC198" s="16"/>
      <c r="BD198" s="16"/>
      <c r="BE198" s="16"/>
      <c r="BF198" s="16"/>
      <c r="BG198" s="16"/>
      <c r="BH198" s="16"/>
      <c r="BI198" s="16"/>
      <c r="BJ198" s="34"/>
    </row>
    <row r="199" spans="1:62" ht="7.5" customHeight="1">
      <c r="B199" s="48"/>
      <c r="C199" s="33"/>
      <c r="D199" s="31"/>
      <c r="E199" s="31"/>
      <c r="F199" s="31"/>
      <c r="G199" s="31"/>
      <c r="H199" s="31"/>
      <c r="I199" s="31"/>
      <c r="J199" s="31"/>
      <c r="K199" s="31"/>
      <c r="L199" s="31"/>
      <c r="M199" s="31"/>
      <c r="N199" s="31"/>
      <c r="O199" s="36"/>
      <c r="P199" s="31"/>
      <c r="Q199" s="31"/>
      <c r="R199" s="31"/>
      <c r="S199" s="31"/>
      <c r="T199" s="31"/>
      <c r="U199" s="31"/>
      <c r="V199" s="968"/>
      <c r="W199" s="968"/>
      <c r="X199" s="968"/>
      <c r="Y199" s="256"/>
      <c r="Z199" s="212"/>
      <c r="AA199" s="212"/>
      <c r="AB199" s="31"/>
      <c r="AC199" s="31"/>
      <c r="AD199" s="31"/>
      <c r="AE199" s="208"/>
      <c r="AF199" s="969"/>
      <c r="AG199" s="969"/>
      <c r="AH199" s="969"/>
      <c r="AI199" s="213"/>
      <c r="AJ199" s="213"/>
      <c r="AK199" s="213"/>
      <c r="AL199" s="213"/>
      <c r="AM199" s="213"/>
      <c r="AN199" s="213"/>
      <c r="AO199" s="213"/>
      <c r="AP199" s="213"/>
      <c r="AQ199" s="969"/>
      <c r="AR199" s="212"/>
      <c r="AS199" s="212"/>
      <c r="AT199" s="968"/>
      <c r="AX199" s="210"/>
      <c r="AY199" s="210"/>
      <c r="BF199" s="210"/>
      <c r="BG199" s="210"/>
      <c r="BH199" s="210"/>
      <c r="BI199" s="211"/>
      <c r="BJ199" s="34"/>
    </row>
    <row r="200" spans="1:62" ht="15" customHeight="1">
      <c r="B200" s="48"/>
      <c r="C200" s="644" t="s">
        <v>262</v>
      </c>
      <c r="D200" s="15"/>
      <c r="E200" s="15"/>
      <c r="F200" s="15"/>
      <c r="G200" s="15"/>
      <c r="H200" s="15"/>
      <c r="I200" s="31"/>
      <c r="J200" s="15"/>
      <c r="K200" s="15"/>
      <c r="L200" s="15"/>
      <c r="M200" s="15"/>
      <c r="N200" s="258"/>
      <c r="O200" s="330"/>
      <c r="P200" s="329"/>
      <c r="Q200" s="258"/>
      <c r="R200" s="258"/>
      <c r="S200" s="267"/>
      <c r="T200" s="267"/>
      <c r="U200" s="258"/>
      <c r="V200" s="258"/>
      <c r="W200" s="258"/>
      <c r="X200" s="258"/>
      <c r="Y200" s="258"/>
      <c r="Z200" s="258"/>
      <c r="AA200" s="15"/>
      <c r="AB200" s="15"/>
      <c r="AC200" s="15"/>
      <c r="AD200" s="15"/>
      <c r="AH200" s="177" t="s">
        <v>196</v>
      </c>
      <c r="AX200" s="210"/>
      <c r="AY200" s="210"/>
      <c r="AZ200" s="210"/>
      <c r="BA200" s="210"/>
      <c r="BB200" s="210"/>
      <c r="BC200" s="210"/>
      <c r="BD200" s="210"/>
      <c r="BE200" s="210"/>
      <c r="BF200" s="210"/>
      <c r="BG200" s="210"/>
      <c r="BH200" s="210"/>
      <c r="BI200" s="51"/>
      <c r="BJ200" s="16"/>
    </row>
    <row r="201" spans="1:62" ht="7.15" customHeight="1" thickBot="1">
      <c r="B201" s="101"/>
      <c r="C201" s="102"/>
      <c r="D201" s="103"/>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4"/>
      <c r="BJ201" s="16"/>
    </row>
    <row r="202" spans="1:62">
      <c r="K202" s="237"/>
      <c r="L202" s="192"/>
      <c r="M202" s="177"/>
    </row>
    <row r="203" spans="1:62">
      <c r="M203" s="177"/>
    </row>
    <row r="204" spans="1:62">
      <c r="M204" s="177"/>
    </row>
    <row r="207" spans="1:62">
      <c r="AA207" s="177"/>
    </row>
    <row r="208" spans="1:62">
      <c r="AA208" s="177"/>
    </row>
    <row r="209" spans="11:27">
      <c r="AA209" s="177"/>
    </row>
    <row r="210" spans="11:27">
      <c r="AA210" s="177"/>
    </row>
    <row r="211" spans="11:27">
      <c r="AA211" s="177"/>
    </row>
    <row r="212" spans="11:27">
      <c r="K212" s="237"/>
      <c r="L212" s="192"/>
      <c r="M212" s="177"/>
      <c r="Q212" s="177"/>
      <c r="R212" s="177"/>
      <c r="S212" s="177"/>
      <c r="T212" s="177"/>
      <c r="U212" s="177"/>
      <c r="V212" s="177"/>
      <c r="W212" s="177"/>
      <c r="X212" s="177"/>
      <c r="Y212" s="177"/>
      <c r="Z212" s="177"/>
      <c r="AA212" s="177"/>
    </row>
    <row r="213" spans="11:27">
      <c r="L213" s="192"/>
      <c r="M213" s="177"/>
      <c r="AA213" s="177"/>
    </row>
    <row r="214" spans="11:27">
      <c r="M214" s="177"/>
      <c r="AA214" s="177"/>
    </row>
    <row r="215" spans="11:27">
      <c r="AA215" s="177"/>
    </row>
    <row r="216" spans="11:27">
      <c r="AA216" s="177"/>
    </row>
    <row r="224" spans="11:27">
      <c r="K224" s="237"/>
      <c r="L224" s="192"/>
      <c r="M224" s="177"/>
      <c r="Q224" s="177"/>
      <c r="R224" s="177"/>
      <c r="S224" s="177"/>
      <c r="T224" s="177"/>
      <c r="U224" s="177"/>
      <c r="V224" s="177"/>
      <c r="W224" s="177"/>
      <c r="X224" s="177"/>
      <c r="Y224" s="177"/>
      <c r="Z224" s="177"/>
    </row>
    <row r="225" spans="11:26">
      <c r="L225" s="192"/>
      <c r="M225" s="177"/>
    </row>
    <row r="226" spans="11:26">
      <c r="M226" s="177"/>
    </row>
    <row r="227" spans="11:26">
      <c r="M227" s="177"/>
    </row>
    <row r="236" spans="11:26">
      <c r="K236" s="237"/>
      <c r="L236" s="192"/>
      <c r="M236" s="177"/>
      <c r="Q236" s="177"/>
      <c r="R236" s="177"/>
      <c r="S236" s="177"/>
      <c r="T236" s="177"/>
      <c r="U236" s="177"/>
      <c r="V236" s="177"/>
      <c r="W236" s="177"/>
      <c r="X236" s="177"/>
      <c r="Y236" s="177"/>
      <c r="Z236" s="177"/>
    </row>
    <row r="237" spans="11:26">
      <c r="L237" s="192"/>
      <c r="M237" s="177"/>
    </row>
    <row r="238" spans="11:26">
      <c r="M238" s="177"/>
    </row>
  </sheetData>
  <sheetProtection formatColumns="0" formatRows="0" selectLockedCells="1" selectUnlockedCells="1"/>
  <mergeCells count="105">
    <mergeCell ref="L16:M16"/>
    <mergeCell ref="W16:X16"/>
    <mergeCell ref="AQ22:AR22"/>
    <mergeCell ref="AS22:AT22"/>
    <mergeCell ref="O24:P24"/>
    <mergeCell ref="AB24:AC24"/>
    <mergeCell ref="B1:H2"/>
    <mergeCell ref="I1:BC2"/>
    <mergeCell ref="BF1:BI1"/>
    <mergeCell ref="AQ8:AR8"/>
    <mergeCell ref="AS8:AT8"/>
    <mergeCell ref="AQ14:AR14"/>
    <mergeCell ref="AS14:AT14"/>
    <mergeCell ref="AS36:AT36"/>
    <mergeCell ref="AS38:AT38"/>
    <mergeCell ref="AS40:AT40"/>
    <mergeCell ref="AQ29:AR29"/>
    <mergeCell ref="AS29:AT29"/>
    <mergeCell ref="J33:O33"/>
    <mergeCell ref="P33:R33"/>
    <mergeCell ref="T33:X33"/>
    <mergeCell ref="Z33:AC33"/>
    <mergeCell ref="AE33:AH33"/>
    <mergeCell ref="AQ33:AT33"/>
    <mergeCell ref="AS45:AT45"/>
    <mergeCell ref="G48:H48"/>
    <mergeCell ref="M48:N48"/>
    <mergeCell ref="Q48:R48"/>
    <mergeCell ref="W48:X48"/>
    <mergeCell ref="AB48:AC48"/>
    <mergeCell ref="AG48:AH48"/>
    <mergeCell ref="BD48:BE48"/>
    <mergeCell ref="AS52:AT52"/>
    <mergeCell ref="M57:P57"/>
    <mergeCell ref="D58:H58"/>
    <mergeCell ref="I58:L58"/>
    <mergeCell ref="M58:P58"/>
    <mergeCell ref="BB61:BD61"/>
    <mergeCell ref="BE61:BF61"/>
    <mergeCell ref="BB62:BD64"/>
    <mergeCell ref="BE62:BF64"/>
    <mergeCell ref="AL61:AX62"/>
    <mergeCell ref="AY61:AZ62"/>
    <mergeCell ref="AL64:AX65"/>
    <mergeCell ref="AY64:AZ65"/>
    <mergeCell ref="AN57:AT57"/>
    <mergeCell ref="W80:AV81"/>
    <mergeCell ref="AW80:BI81"/>
    <mergeCell ref="W82:AV82"/>
    <mergeCell ref="AW82:BI82"/>
    <mergeCell ref="W83:AV84"/>
    <mergeCell ref="AW83:BI84"/>
    <mergeCell ref="AI67:AQ67"/>
    <mergeCell ref="AW72:BI73"/>
    <mergeCell ref="AW74:BI75"/>
    <mergeCell ref="AW76:BI77"/>
    <mergeCell ref="W78:AV79"/>
    <mergeCell ref="AW78:BI79"/>
    <mergeCell ref="U91:AV92"/>
    <mergeCell ref="AW91:BI92"/>
    <mergeCell ref="U93:AV94"/>
    <mergeCell ref="AW93:BI94"/>
    <mergeCell ref="U96:AV96"/>
    <mergeCell ref="AW96:BI96"/>
    <mergeCell ref="W85:AV86"/>
    <mergeCell ref="AW85:BI86"/>
    <mergeCell ref="U87:AV88"/>
    <mergeCell ref="AW87:BI88"/>
    <mergeCell ref="U89:AV90"/>
    <mergeCell ref="AW89:BI90"/>
    <mergeCell ref="AW188:BC190"/>
    <mergeCell ref="D189:H189"/>
    <mergeCell ref="I189:L189"/>
    <mergeCell ref="M189:P189"/>
    <mergeCell ref="Q189:T189"/>
    <mergeCell ref="U189:X189"/>
    <mergeCell ref="D188:H188"/>
    <mergeCell ref="I188:L188"/>
    <mergeCell ref="M188:P188"/>
    <mergeCell ref="Q188:T188"/>
    <mergeCell ref="U188:X188"/>
    <mergeCell ref="AE188:AT190"/>
    <mergeCell ref="AI192:AQ193"/>
    <mergeCell ref="V194:X195"/>
    <mergeCell ref="Y194:AA195"/>
    <mergeCell ref="AB194:AC195"/>
    <mergeCell ref="AE194:AH194"/>
    <mergeCell ref="AI194:AQ194"/>
    <mergeCell ref="AE195:AH195"/>
    <mergeCell ref="AI195:AQ195"/>
    <mergeCell ref="J191:K191"/>
    <mergeCell ref="N191:O191"/>
    <mergeCell ref="R191:S191"/>
    <mergeCell ref="V191:W191"/>
    <mergeCell ref="Y191:Z191"/>
    <mergeCell ref="AE192:AH193"/>
    <mergeCell ref="AE196:AH196"/>
    <mergeCell ref="AI196:AQ196"/>
    <mergeCell ref="V197:X198"/>
    <mergeCell ref="Y197:AA198"/>
    <mergeCell ref="AB197:AC198"/>
    <mergeCell ref="AE197:AH197"/>
    <mergeCell ref="AI197:AQ197"/>
    <mergeCell ref="AE198:AH198"/>
    <mergeCell ref="AI198:AQ198"/>
  </mergeCells>
  <conditionalFormatting sqref="L164:L168 L158:L162 L149:L155">
    <cfRule type="cellIs" dxfId="32" priority="4" stopIfTrue="1" operator="equal">
      <formula>"A"</formula>
    </cfRule>
    <cfRule type="cellIs" dxfId="31" priority="5" stopIfTrue="1" operator="equal">
      <formula>"B"</formula>
    </cfRule>
    <cfRule type="cellIs" dxfId="30" priority="6" stopIfTrue="1" operator="equal">
      <formula>"C"</formula>
    </cfRule>
  </conditionalFormatting>
  <conditionalFormatting sqref="D59:D65">
    <cfRule type="cellIs" dxfId="29" priority="1" stopIfTrue="1" operator="equal">
      <formula>"A"</formula>
    </cfRule>
    <cfRule type="cellIs" dxfId="28" priority="2" stopIfTrue="1" operator="equal">
      <formula>"B"</formula>
    </cfRule>
    <cfRule type="cellIs" dxfId="27"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Header>&amp;L&amp;"Arial,Fett"&amp;12Produkt-/Prozess-Audit&amp;R&amp;G</oddHeader>
    <oddFooter>&amp;RSeite &amp;P von &amp;N</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roGru3">
    <tabColor indexed="17"/>
    <pageSetUpPr fitToPage="1"/>
  </sheetPr>
  <dimension ref="A1:BJ238"/>
  <sheetViews>
    <sheetView showGridLines="0" topLeftCell="B7" zoomScale="80" zoomScaleNormal="80" zoomScaleSheetLayoutView="100" workbookViewId="0">
      <selection activeCell="T41" sqref="T41"/>
    </sheetView>
  </sheetViews>
  <sheetFormatPr defaultColWidth="11.42578125" defaultRowHeight="14.25"/>
  <cols>
    <col min="1" max="1" width="10.140625" style="241" hidden="1" customWidth="1"/>
    <col min="2" max="2" width="10" style="32" customWidth="1"/>
    <col min="3" max="3" width="3.42578125" style="32" customWidth="1"/>
    <col min="4" max="41" width="5.7109375" style="32" customWidth="1"/>
    <col min="42" max="42" width="7.140625" style="32" customWidth="1"/>
    <col min="43" max="43" width="3" style="32" customWidth="1"/>
    <col min="44" max="44" width="4.5703125" style="32" customWidth="1"/>
    <col min="45" max="45" width="3.140625" style="32" customWidth="1"/>
    <col min="46" max="46" width="10.42578125" style="32" customWidth="1"/>
    <col min="47" max="47" width="5.5703125" style="32" customWidth="1"/>
    <col min="48" max="49" width="4.7109375" style="32" customWidth="1"/>
    <col min="50" max="57" width="5.42578125" style="32" customWidth="1"/>
    <col min="58" max="60" width="7.140625" style="32" customWidth="1"/>
    <col min="61" max="61" width="4.140625" style="32" customWidth="1"/>
    <col min="62" max="62" width="3" style="32" customWidth="1"/>
    <col min="63" max="16384" width="11.42578125" style="32"/>
  </cols>
  <sheetData>
    <row r="1" spans="1:62" ht="19.5" customHeight="1">
      <c r="B1" s="1503"/>
      <c r="C1" s="1504"/>
      <c r="D1" s="1504"/>
      <c r="E1" s="1504"/>
      <c r="F1" s="1504"/>
      <c r="G1" s="1504"/>
      <c r="H1" s="1505"/>
      <c r="I1" s="1509" t="str">
        <f>'Evaluation-Bewertung'!I1</f>
        <v>Process Audit VDA 6.3 evaluation matrix including total score for product groups</v>
      </c>
      <c r="J1" s="1603"/>
      <c r="K1" s="1603"/>
      <c r="L1" s="1603"/>
      <c r="M1" s="1603"/>
      <c r="N1" s="1603"/>
      <c r="O1" s="1603"/>
      <c r="P1" s="1603"/>
      <c r="Q1" s="1603"/>
      <c r="R1" s="1603"/>
      <c r="S1" s="1603"/>
      <c r="T1" s="1603"/>
      <c r="U1" s="1603"/>
      <c r="V1" s="1603"/>
      <c r="W1" s="1603"/>
      <c r="X1" s="1603"/>
      <c r="Y1" s="1603"/>
      <c r="Z1" s="1603"/>
      <c r="AA1" s="1603"/>
      <c r="AB1" s="1603"/>
      <c r="AC1" s="1603"/>
      <c r="AD1" s="1603"/>
      <c r="AE1" s="1603"/>
      <c r="AF1" s="1603"/>
      <c r="AG1" s="1603"/>
      <c r="AH1" s="1603"/>
      <c r="AI1" s="1603"/>
      <c r="AJ1" s="1603"/>
      <c r="AK1" s="1603"/>
      <c r="AL1" s="1603"/>
      <c r="AM1" s="1603"/>
      <c r="AN1" s="1603"/>
      <c r="AO1" s="1603"/>
      <c r="AP1" s="1603"/>
      <c r="AQ1" s="1603"/>
      <c r="AR1" s="1603"/>
      <c r="AS1" s="1603"/>
      <c r="AT1" s="1603"/>
      <c r="AU1" s="1603"/>
      <c r="AV1" s="1603"/>
      <c r="AW1" s="1603"/>
      <c r="AX1" s="1603"/>
      <c r="AY1" s="1603"/>
      <c r="AZ1" s="1603"/>
      <c r="BA1" s="1603"/>
      <c r="BB1" s="1603"/>
      <c r="BC1" s="1604"/>
      <c r="BD1" s="389" t="str">
        <f>'Evaluation-Bewertung'!BD1</f>
        <v>Order No.:</v>
      </c>
      <c r="BE1" s="164"/>
      <c r="BF1" s="1574" t="str">
        <f>IF('Input Form - EingabeMaske'!C9="","",'Input Form - EingabeMaske'!C9)</f>
        <v/>
      </c>
      <c r="BG1" s="1574"/>
      <c r="BH1" s="1574"/>
      <c r="BI1" s="1575"/>
      <c r="BJ1" s="28"/>
    </row>
    <row r="2" spans="1:62" ht="11.25" customHeight="1" thickBot="1">
      <c r="B2" s="1506"/>
      <c r="C2" s="1507"/>
      <c r="D2" s="1507"/>
      <c r="E2" s="1507"/>
      <c r="F2" s="1507"/>
      <c r="G2" s="1507"/>
      <c r="H2" s="1508"/>
      <c r="I2" s="1605"/>
      <c r="J2" s="1606"/>
      <c r="K2" s="1606"/>
      <c r="L2" s="1606"/>
      <c r="M2" s="1606"/>
      <c r="N2" s="1606"/>
      <c r="O2" s="1606"/>
      <c r="P2" s="1606"/>
      <c r="Q2" s="1606"/>
      <c r="R2" s="1606"/>
      <c r="S2" s="1606"/>
      <c r="T2" s="1606"/>
      <c r="U2" s="1606"/>
      <c r="V2" s="1606"/>
      <c r="W2" s="1606"/>
      <c r="X2" s="1606"/>
      <c r="Y2" s="1606"/>
      <c r="Z2" s="1606"/>
      <c r="AA2" s="1606"/>
      <c r="AB2" s="1606"/>
      <c r="AC2" s="1606"/>
      <c r="AD2" s="1606"/>
      <c r="AE2" s="1606"/>
      <c r="AF2" s="1606"/>
      <c r="AG2" s="1606"/>
      <c r="AH2" s="1606"/>
      <c r="AI2" s="1606"/>
      <c r="AJ2" s="1606"/>
      <c r="AK2" s="1606"/>
      <c r="AL2" s="1606"/>
      <c r="AM2" s="1606"/>
      <c r="AN2" s="1606"/>
      <c r="AO2" s="1606"/>
      <c r="AP2" s="1606"/>
      <c r="AQ2" s="1606"/>
      <c r="AR2" s="1606"/>
      <c r="AS2" s="1606"/>
      <c r="AT2" s="1606"/>
      <c r="AU2" s="1606"/>
      <c r="AV2" s="1606"/>
      <c r="AW2" s="1606"/>
      <c r="AX2" s="1606"/>
      <c r="AY2" s="1606"/>
      <c r="AZ2" s="1606"/>
      <c r="BA2" s="1606"/>
      <c r="BB2" s="1606"/>
      <c r="BC2" s="1607"/>
      <c r="BD2" s="168"/>
      <c r="BE2" s="169"/>
      <c r="BF2" s="169"/>
      <c r="BG2" s="169"/>
      <c r="BH2" s="169"/>
      <c r="BI2" s="170"/>
      <c r="BJ2" s="28"/>
    </row>
    <row r="3" spans="1:62" ht="21.75" customHeight="1">
      <c r="A3" s="245" t="s">
        <v>145</v>
      </c>
      <c r="B3" s="48"/>
      <c r="C3" s="172" t="s">
        <v>10</v>
      </c>
      <c r="D3" s="31"/>
      <c r="E3" s="225" t="str">
        <f>'Evaluation-Bewertung'!E3</f>
        <v>Development</v>
      </c>
      <c r="F3" s="31"/>
      <c r="G3" s="31"/>
      <c r="H3" s="31"/>
      <c r="I3" s="31"/>
      <c r="J3" s="31"/>
      <c r="K3" s="31"/>
      <c r="L3" s="31"/>
      <c r="M3" s="31"/>
      <c r="N3" s="31"/>
      <c r="O3" s="36"/>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49"/>
      <c r="BJ3" s="34"/>
    </row>
    <row r="4" spans="1:62" ht="8.25" customHeight="1">
      <c r="B4" s="48"/>
      <c r="C4" s="33"/>
      <c r="D4" s="31"/>
      <c r="E4" s="31"/>
      <c r="F4" s="173"/>
      <c r="G4" s="31"/>
      <c r="H4" s="31"/>
      <c r="I4" s="31"/>
      <c r="J4" s="31"/>
      <c r="K4" s="31"/>
      <c r="L4" s="31"/>
      <c r="M4" s="31"/>
      <c r="N4" s="31"/>
      <c r="O4" s="36"/>
      <c r="P4" s="31"/>
      <c r="Q4" s="31"/>
      <c r="R4" s="31"/>
      <c r="S4" s="31"/>
      <c r="T4" s="31"/>
      <c r="U4" s="31"/>
      <c r="V4" s="31"/>
      <c r="W4" s="31"/>
      <c r="X4" s="31"/>
      <c r="Y4" s="31"/>
      <c r="Z4" s="31"/>
      <c r="AA4" s="31"/>
      <c r="AB4" s="31"/>
      <c r="AC4" s="31"/>
      <c r="AD4" s="31"/>
      <c r="AE4" s="31"/>
      <c r="AF4" s="31"/>
      <c r="AG4" s="31"/>
      <c r="AI4" s="31"/>
      <c r="AJ4" s="31"/>
      <c r="AK4" s="31"/>
      <c r="AL4" s="31"/>
      <c r="AM4" s="31"/>
      <c r="AN4" s="31"/>
      <c r="AO4" s="31"/>
      <c r="AP4" s="31"/>
      <c r="AQ4" s="31"/>
      <c r="AR4" s="31"/>
      <c r="AS4" s="31"/>
      <c r="AT4" s="31"/>
      <c r="AU4" s="31"/>
      <c r="AV4" s="31"/>
      <c r="AW4" s="31"/>
      <c r="AX4" s="31"/>
      <c r="AY4" s="31"/>
      <c r="AZ4" s="31"/>
      <c r="BA4" s="31"/>
      <c r="BB4" s="31"/>
      <c r="BC4" s="31"/>
      <c r="BD4" s="31"/>
      <c r="BE4" s="16"/>
      <c r="BF4" s="16"/>
      <c r="BG4" s="16"/>
      <c r="BH4" s="16"/>
      <c r="BI4" s="49"/>
      <c r="BJ4" s="34"/>
    </row>
    <row r="5" spans="1:62" ht="16.149999999999999" customHeight="1">
      <c r="A5" s="970" t="b">
        <f>'Evaluation-Bewertung'!A5</f>
        <v>0</v>
      </c>
      <c r="B5" s="48"/>
      <c r="C5" s="224" t="s">
        <v>96</v>
      </c>
      <c r="D5" s="70" t="str">
        <f>'Questions - Fragen'!C12</f>
        <v>Project management</v>
      </c>
      <c r="E5" s="38"/>
      <c r="F5" s="33"/>
      <c r="G5" s="31"/>
      <c r="H5" s="31"/>
      <c r="I5" s="31"/>
      <c r="J5" s="31"/>
      <c r="K5" s="31"/>
      <c r="L5" s="31"/>
      <c r="M5" s="31"/>
      <c r="N5" s="31"/>
      <c r="O5" s="36"/>
      <c r="P5" s="31"/>
      <c r="Q5" s="31"/>
      <c r="R5" s="31"/>
      <c r="S5" s="31"/>
      <c r="T5" s="31"/>
      <c r="U5" s="31"/>
      <c r="V5" s="31"/>
      <c r="W5" s="31"/>
      <c r="X5" s="31"/>
      <c r="Y5" s="31"/>
      <c r="Z5" s="31"/>
      <c r="AA5" s="31"/>
      <c r="AB5" s="31"/>
      <c r="AC5" s="31"/>
      <c r="AD5" s="31"/>
      <c r="AE5" s="31"/>
      <c r="AF5" s="31"/>
      <c r="AG5" s="31"/>
      <c r="AM5" s="31"/>
      <c r="AN5" s="31"/>
      <c r="AO5" s="31"/>
      <c r="AP5" s="31"/>
      <c r="AQ5" s="166" t="str">
        <f>'Evaluation-Bewertung'!AQ5</f>
        <v>Level of compliance [%]</v>
      </c>
      <c r="AR5" s="31"/>
      <c r="AS5" s="31"/>
      <c r="AT5" s="31"/>
      <c r="AU5" s="31"/>
      <c r="AV5" s="31"/>
      <c r="AW5" s="31"/>
      <c r="AX5" s="31"/>
      <c r="AY5" s="31"/>
      <c r="AZ5" s="31"/>
      <c r="BA5" s="31"/>
      <c r="BB5" s="31"/>
      <c r="BC5" s="31"/>
      <c r="BD5" s="31"/>
      <c r="BE5" s="16"/>
      <c r="BF5" s="16"/>
      <c r="BG5" s="16"/>
      <c r="BH5" s="16"/>
      <c r="BI5" s="49"/>
      <c r="BJ5" s="34"/>
    </row>
    <row r="6" spans="1:62" ht="6.75" customHeight="1">
      <c r="B6" s="48"/>
      <c r="C6" s="35"/>
      <c r="D6" s="31"/>
      <c r="E6" s="174"/>
      <c r="F6" s="33"/>
      <c r="G6" s="31"/>
      <c r="H6" s="31"/>
      <c r="I6" s="31"/>
      <c r="J6" s="31"/>
      <c r="K6" s="31"/>
      <c r="L6" s="31"/>
      <c r="M6" s="31"/>
      <c r="N6" s="31"/>
      <c r="O6" s="36"/>
      <c r="P6" s="31"/>
      <c r="Q6" s="31"/>
      <c r="R6" s="31"/>
      <c r="S6" s="31"/>
      <c r="T6" s="31"/>
      <c r="U6" s="31"/>
      <c r="V6" s="31"/>
      <c r="W6" s="31"/>
      <c r="X6" s="31"/>
      <c r="Y6" s="31"/>
      <c r="Z6" s="31"/>
      <c r="AA6" s="31"/>
      <c r="AB6" s="31"/>
      <c r="AC6" s="31"/>
      <c r="AD6" s="31"/>
      <c r="AE6" s="31"/>
      <c r="AF6" s="31"/>
      <c r="AG6" s="31"/>
      <c r="AH6" s="15"/>
      <c r="AI6" s="31"/>
      <c r="AJ6" s="31"/>
      <c r="AK6" s="31"/>
      <c r="AL6" s="31"/>
      <c r="AM6" s="31"/>
      <c r="AN6" s="31"/>
      <c r="AO6" s="31"/>
      <c r="AP6" s="31"/>
      <c r="AQ6" s="31"/>
      <c r="AR6" s="31"/>
      <c r="AS6" s="31"/>
      <c r="AT6" s="31"/>
      <c r="AU6" s="31"/>
      <c r="AV6" s="31"/>
      <c r="AW6" s="31"/>
      <c r="AX6" s="31"/>
      <c r="AY6" s="31"/>
      <c r="AZ6" s="31"/>
      <c r="BA6" s="31"/>
      <c r="BB6" s="31"/>
      <c r="BC6" s="31"/>
      <c r="BD6" s="31"/>
      <c r="BE6" s="16"/>
      <c r="BF6" s="16"/>
      <c r="BG6" s="16"/>
      <c r="BH6" s="16"/>
      <c r="BI6" s="49"/>
      <c r="BJ6" s="34"/>
    </row>
    <row r="7" spans="1:62" ht="15" customHeight="1" thickBot="1">
      <c r="A7" s="241" t="s">
        <v>225</v>
      </c>
      <c r="B7" s="48"/>
      <c r="C7" s="35"/>
      <c r="D7" s="390" t="s">
        <v>30</v>
      </c>
      <c r="E7" s="390" t="s">
        <v>132</v>
      </c>
      <c r="F7" s="390" t="s">
        <v>133</v>
      </c>
      <c r="G7" s="390" t="s">
        <v>74</v>
      </c>
      <c r="H7" s="628" t="s">
        <v>201</v>
      </c>
      <c r="I7" s="628" t="s">
        <v>206</v>
      </c>
      <c r="J7" s="390" t="s">
        <v>136</v>
      </c>
      <c r="K7" s="728" t="str">
        <f>'Evaluation-Bewertung'!K7</f>
        <v>n.e.</v>
      </c>
      <c r="L7" s="643" t="str">
        <f>'Evaluation-Bewertung'!L7</f>
        <v>Act.</v>
      </c>
      <c r="M7" s="643" t="str">
        <f>'Evaluation-Bewertung'!M7</f>
        <v>Target</v>
      </c>
      <c r="N7" s="643" t="str">
        <f>'Evaluation-Bewertung'!N7</f>
        <v>Max.</v>
      </c>
      <c r="O7" s="643" t="str">
        <f>'Evaluation-Bewertung'!O7</f>
        <v>Act.</v>
      </c>
      <c r="Q7" s="175"/>
      <c r="R7" s="175"/>
      <c r="S7" s="176"/>
      <c r="T7" s="31"/>
      <c r="U7" s="31"/>
      <c r="V7" s="31"/>
      <c r="W7" s="31"/>
      <c r="X7" s="31"/>
      <c r="Y7" s="31"/>
      <c r="Z7" s="31"/>
      <c r="AA7" s="31"/>
      <c r="AB7" s="31"/>
      <c r="AC7" s="31"/>
      <c r="AD7" s="31"/>
      <c r="AE7" s="31"/>
      <c r="AF7" s="31"/>
      <c r="AG7" s="31"/>
      <c r="AH7" s="15"/>
      <c r="AI7" s="31"/>
      <c r="AJ7" s="31"/>
      <c r="AK7" s="31"/>
      <c r="AL7" s="31"/>
      <c r="AM7" s="31"/>
      <c r="AN7" s="31"/>
      <c r="AO7" s="31"/>
      <c r="AP7" s="31"/>
      <c r="AQ7" s="31"/>
      <c r="AR7" s="31"/>
      <c r="AS7" s="31"/>
      <c r="AT7" s="31"/>
      <c r="AU7" s="31"/>
      <c r="AV7" s="31"/>
      <c r="AW7" s="31"/>
      <c r="AX7" s="31"/>
      <c r="AY7" s="31"/>
      <c r="AZ7" s="31"/>
      <c r="BA7" s="31"/>
      <c r="BB7" s="31"/>
      <c r="BC7" s="31"/>
      <c r="BD7" s="31"/>
      <c r="BE7" s="16"/>
      <c r="BF7" s="16"/>
      <c r="BG7" s="16"/>
      <c r="BH7" s="16"/>
      <c r="BI7" s="49"/>
      <c r="BJ7" s="34"/>
    </row>
    <row r="8" spans="1:62" ht="15" customHeight="1" thickBot="1">
      <c r="A8" s="243" t="str">
        <f>IF(COUNT(D8:J8)=0,K7,IF(MIN(D8:J8)=0,"B","A"))</f>
        <v>n.e.</v>
      </c>
      <c r="B8" s="48"/>
      <c r="C8" s="35"/>
      <c r="D8" s="232" t="str">
        <f>IF(A5=FALSE,$K$7,IF(ISBLANK('Questions - Fragen'!D13),"--",'Questions - Fragen'!D13))</f>
        <v>n.e.</v>
      </c>
      <c r="E8" s="232" t="str">
        <f>IF(A5=FALSE,$K$7,IF(ISBLANK('Questions - Fragen'!D14),"--",'Questions - Fragen'!D14))</f>
        <v>n.e.</v>
      </c>
      <c r="F8" s="232" t="str">
        <f>IF(A5=FALSE,$K$7,IF(ISBLANK('Questions - Fragen'!D15),"--",'Questions - Fragen'!D15))</f>
        <v>n.e.</v>
      </c>
      <c r="G8" s="232" t="str">
        <f>IF(A5=FALSE,$K$7,IF(ISBLANK('Questions - Fragen'!D16),"--",'Questions - Fragen'!D16))</f>
        <v>n.e.</v>
      </c>
      <c r="H8" s="633" t="str">
        <f>IF(A5=FALSE,$K$7,IF(ISBLANK('Questions - Fragen'!D17),"--",'Questions - Fragen'!D17))</f>
        <v>n.e.</v>
      </c>
      <c r="I8" s="633" t="str">
        <f>IF(A5=FALSE,$K$7,IF(ISBLANK('Questions - Fragen'!D18),"--",'Questions - Fragen'!D18))</f>
        <v>n.e.</v>
      </c>
      <c r="J8" s="232" t="str">
        <f>IF(A5=FALSE,$K$7,IF(ISBLANK('Questions - Fragen'!D19),"--",'Questions - Fragen'!D19))</f>
        <v>n.e.</v>
      </c>
      <c r="K8" s="753">
        <f>COUNTIF(D8:J8,"&gt;-")</f>
        <v>7</v>
      </c>
      <c r="L8" s="753">
        <f>COUNT(D8:J8)</f>
        <v>0</v>
      </c>
      <c r="M8" s="753">
        <v>5</v>
      </c>
      <c r="N8" s="753" t="str">
        <f>IF(AND($A5,L8&gt;=M8),L8*10,"--")</f>
        <v>--</v>
      </c>
      <c r="O8" s="753" t="str">
        <f>IF(AND($A5,L8&gt;=M8),SUM(D8:J8),"--")</f>
        <v>--</v>
      </c>
      <c r="Q8" s="176"/>
      <c r="R8" s="176"/>
      <c r="S8" s="176"/>
      <c r="T8" s="31"/>
      <c r="U8" s="31"/>
      <c r="V8" s="31"/>
      <c r="W8" s="31"/>
      <c r="X8" s="31"/>
      <c r="Y8" s="31"/>
      <c r="Z8" s="31"/>
      <c r="AA8" s="31"/>
      <c r="AB8" s="31"/>
      <c r="AC8" s="31"/>
      <c r="AD8" s="31"/>
      <c r="AE8" s="31"/>
      <c r="AF8" s="31"/>
      <c r="AG8" s="31"/>
      <c r="AH8" s="15"/>
      <c r="AI8" s="31"/>
      <c r="AJ8" s="31"/>
      <c r="AK8" s="31"/>
      <c r="AL8" s="31"/>
      <c r="AM8" s="31"/>
      <c r="AN8" s="31"/>
      <c r="AO8" s="31"/>
      <c r="AP8" s="31"/>
      <c r="AQ8" s="1518" t="s">
        <v>299</v>
      </c>
      <c r="AR8" s="1519"/>
      <c r="AS8" s="1515" t="str">
        <f>IF(AND(A5,L8&gt;=M8),ROUND(O8/N8,2),K7)</f>
        <v>n.e.</v>
      </c>
      <c r="AT8" s="1516"/>
      <c r="AU8" s="16"/>
      <c r="AV8" s="31"/>
      <c r="AW8" s="31"/>
      <c r="AX8" s="31"/>
      <c r="AY8" s="31"/>
      <c r="AZ8" s="31"/>
      <c r="BA8" s="31"/>
      <c r="BB8" s="31"/>
      <c r="BC8" s="31"/>
      <c r="BD8" s="31"/>
      <c r="BE8" s="16"/>
      <c r="BF8" s="16"/>
      <c r="BG8" s="16"/>
      <c r="BH8" s="16"/>
      <c r="BI8" s="49"/>
      <c r="BJ8" s="34"/>
    </row>
    <row r="9" spans="1:62" ht="6.75" customHeight="1">
      <c r="B9" s="48"/>
      <c r="C9" s="33"/>
      <c r="D9" s="31"/>
      <c r="E9" s="31"/>
      <c r="F9" s="31"/>
      <c r="G9" s="31"/>
      <c r="H9" s="176"/>
      <c r="I9" s="176"/>
      <c r="J9" s="176"/>
      <c r="K9" s="176"/>
      <c r="L9" s="176"/>
      <c r="M9" s="176"/>
      <c r="N9" s="176"/>
      <c r="O9" s="178"/>
      <c r="P9" s="176"/>
      <c r="Q9" s="176"/>
      <c r="R9" s="176"/>
      <c r="S9" s="176"/>
      <c r="T9" s="31"/>
      <c r="U9" s="31"/>
      <c r="V9" s="31"/>
      <c r="W9" s="31"/>
      <c r="X9" s="31"/>
      <c r="Y9" s="31"/>
      <c r="Z9" s="31"/>
      <c r="AA9" s="31"/>
      <c r="AB9" s="31"/>
      <c r="AC9" s="31"/>
      <c r="AD9" s="31"/>
      <c r="AE9" s="31"/>
      <c r="AF9" s="31"/>
      <c r="AG9" s="31"/>
      <c r="AH9" s="38"/>
      <c r="AI9" s="31"/>
      <c r="AJ9" s="31"/>
      <c r="AK9" s="31"/>
      <c r="AL9" s="31"/>
      <c r="AM9" s="31"/>
      <c r="AN9" s="31"/>
      <c r="AO9" s="31"/>
      <c r="AP9" s="31"/>
      <c r="AQ9" s="31"/>
      <c r="AR9" s="31"/>
      <c r="AS9" s="31"/>
      <c r="AT9" s="31"/>
      <c r="AU9" s="31"/>
      <c r="AV9" s="31"/>
      <c r="AW9" s="31"/>
      <c r="AX9" s="31"/>
      <c r="AY9" s="31"/>
      <c r="AZ9" s="31"/>
      <c r="BA9" s="31"/>
      <c r="BB9" s="31"/>
      <c r="BC9" s="31"/>
      <c r="BD9" s="31"/>
      <c r="BE9" s="16"/>
      <c r="BF9" s="16"/>
      <c r="BG9" s="16"/>
      <c r="BH9" s="16"/>
      <c r="BI9" s="49"/>
      <c r="BJ9" s="34"/>
    </row>
    <row r="10" spans="1:62" ht="18" customHeight="1">
      <c r="A10" s="971" t="b">
        <f>'Evaluation-Bewertung'!A10</f>
        <v>0</v>
      </c>
      <c r="B10" s="48"/>
      <c r="C10" s="655" t="s">
        <v>97</v>
      </c>
      <c r="D10" s="655" t="str">
        <f>'Questions - Fragen'!C20</f>
        <v>Planning the product and process development</v>
      </c>
      <c r="E10" s="656"/>
      <c r="F10" s="656"/>
      <c r="G10" s="656"/>
      <c r="H10" s="656"/>
      <c r="I10" s="656"/>
      <c r="J10" s="656"/>
      <c r="K10" s="656"/>
      <c r="L10" s="656"/>
      <c r="M10" s="656"/>
      <c r="N10" s="656"/>
      <c r="O10" s="657"/>
      <c r="P10" s="656"/>
      <c r="Q10" s="656"/>
      <c r="R10" s="656"/>
      <c r="S10" s="656"/>
      <c r="T10" s="656"/>
      <c r="U10" s="656"/>
      <c r="V10" s="656"/>
      <c r="W10" s="656"/>
      <c r="X10" s="656"/>
      <c r="Y10" s="656"/>
      <c r="Z10" s="656"/>
      <c r="AA10" s="656"/>
      <c r="AB10" s="656"/>
      <c r="AC10" s="656"/>
      <c r="AD10" s="656"/>
      <c r="AE10" s="656"/>
      <c r="AF10" s="656"/>
      <c r="AG10" s="656"/>
      <c r="AH10" s="656"/>
      <c r="AI10" s="656"/>
      <c r="AJ10" s="656"/>
      <c r="AK10" s="656"/>
      <c r="AL10" s="656"/>
      <c r="AM10" s="656"/>
      <c r="AN10" s="656"/>
      <c r="AO10" s="656"/>
      <c r="AP10" s="656"/>
      <c r="AQ10" s="656"/>
      <c r="AR10" s="656"/>
      <c r="AS10" s="656"/>
      <c r="AT10" s="656"/>
      <c r="AU10" s="656"/>
      <c r="AV10" s="656"/>
      <c r="AW10" s="656"/>
      <c r="AX10" s="656"/>
      <c r="AY10" s="656"/>
      <c r="AZ10" s="656"/>
      <c r="BA10" s="656"/>
      <c r="BB10" s="656"/>
      <c r="BC10" s="656"/>
      <c r="BD10" s="656"/>
      <c r="BE10" s="661"/>
      <c r="BF10" s="661"/>
      <c r="BG10" s="661"/>
      <c r="BH10" s="661"/>
      <c r="BI10" s="658"/>
      <c r="BJ10" s="34"/>
    </row>
    <row r="11" spans="1:62" ht="6" customHeight="1">
      <c r="A11" s="659"/>
      <c r="B11" s="48"/>
      <c r="C11" s="36"/>
      <c r="D11" s="36"/>
      <c r="E11" s="31"/>
      <c r="F11" s="31"/>
      <c r="G11" s="31"/>
      <c r="H11" s="31"/>
      <c r="I11" s="31"/>
      <c r="J11" s="31"/>
      <c r="K11" s="31"/>
      <c r="L11" s="31"/>
      <c r="M11" s="31"/>
      <c r="N11" s="31"/>
      <c r="O11" s="36"/>
      <c r="P11" s="31"/>
      <c r="Q11" s="31"/>
      <c r="R11" s="31"/>
      <c r="S11" s="31"/>
      <c r="T11" s="31"/>
      <c r="U11" s="31"/>
      <c r="V11" s="31"/>
      <c r="W11" s="31"/>
      <c r="X11" s="31"/>
      <c r="Y11" s="31"/>
      <c r="Z11" s="31"/>
      <c r="AA11" s="31"/>
      <c r="AB11" s="31"/>
      <c r="AC11" s="38"/>
      <c r="AD11" s="38"/>
      <c r="AE11" s="38"/>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15"/>
      <c r="BF11" s="15"/>
      <c r="BG11" s="15"/>
      <c r="BH11" s="15"/>
      <c r="BI11" s="49"/>
      <c r="BJ11" s="34"/>
    </row>
    <row r="12" spans="1:62" ht="14.1" customHeight="1">
      <c r="B12" s="48"/>
      <c r="C12" s="36"/>
      <c r="D12" s="180" t="str">
        <f>'Questions - Fragen'!C23</f>
        <v>Product</v>
      </c>
      <c r="E12" s="38"/>
      <c r="F12" s="31"/>
      <c r="G12" s="31"/>
      <c r="H12" s="31"/>
      <c r="I12" s="31"/>
      <c r="K12" s="31"/>
      <c r="L12" s="31"/>
      <c r="M12" s="31"/>
      <c r="N12" s="31"/>
      <c r="O12" s="180" t="str">
        <f>'Questions - Fragen'!C24</f>
        <v>Process</v>
      </c>
      <c r="P12" s="31"/>
      <c r="R12" s="180"/>
      <c r="S12" s="180"/>
      <c r="T12" s="180"/>
      <c r="U12" s="180"/>
      <c r="V12" s="180"/>
      <c r="W12" s="180"/>
      <c r="X12" s="180"/>
      <c r="AM12" s="31"/>
      <c r="AN12" s="31"/>
      <c r="AO12" s="31"/>
      <c r="AP12" s="31"/>
      <c r="AQ12" s="31"/>
      <c r="AR12" s="31"/>
      <c r="AS12" s="31"/>
      <c r="AT12" s="31"/>
      <c r="AU12" s="31"/>
      <c r="AV12" s="31"/>
      <c r="AW12" s="31"/>
      <c r="AX12" s="31"/>
      <c r="AY12" s="31"/>
      <c r="AZ12" s="31"/>
      <c r="BA12" s="31"/>
      <c r="BB12" s="31"/>
      <c r="BC12" s="31"/>
      <c r="BD12" s="31"/>
      <c r="BE12" s="16"/>
      <c r="BF12" s="16"/>
      <c r="BG12" s="16"/>
      <c r="BH12" s="16"/>
      <c r="BI12" s="49"/>
      <c r="BJ12" s="34"/>
    </row>
    <row r="13" spans="1:62" ht="15" thickBot="1">
      <c r="A13" s="241" t="s">
        <v>226</v>
      </c>
      <c r="B13" s="48"/>
      <c r="C13" s="33"/>
      <c r="D13" s="390" t="s">
        <v>78</v>
      </c>
      <c r="E13" s="628" t="s">
        <v>203</v>
      </c>
      <c r="F13" s="390" t="s">
        <v>80</v>
      </c>
      <c r="G13" s="390" t="s">
        <v>81</v>
      </c>
      <c r="H13" s="390" t="s">
        <v>82</v>
      </c>
      <c r="I13" s="643" t="str">
        <f>'Evaluation-Bewertung'!I13</f>
        <v>n.e.</v>
      </c>
      <c r="J13" s="643" t="str">
        <f>'Evaluation-Bewertung'!J13</f>
        <v>Act.</v>
      </c>
      <c r="K13" s="643" t="str">
        <f>'Evaluation-Bewertung'!K13</f>
        <v>Target</v>
      </c>
      <c r="L13" s="643" t="str">
        <f>'Evaluation-Bewertung'!L13</f>
        <v>Max.</v>
      </c>
      <c r="M13" s="643" t="str">
        <f>'Evaluation-Bewertung'!M13</f>
        <v>Act.</v>
      </c>
      <c r="N13" s="181"/>
      <c r="O13" s="390" t="s">
        <v>78</v>
      </c>
      <c r="P13" s="628" t="s">
        <v>203</v>
      </c>
      <c r="Q13" s="390" t="s">
        <v>80</v>
      </c>
      <c r="R13" s="390" t="s">
        <v>81</v>
      </c>
      <c r="S13" s="390" t="s">
        <v>82</v>
      </c>
      <c r="T13" s="643" t="str">
        <f>'Evaluation-Bewertung'!T13</f>
        <v>n.e.</v>
      </c>
      <c r="U13" s="643" t="str">
        <f>'Evaluation-Bewertung'!U13</f>
        <v>Act.</v>
      </c>
      <c r="V13" s="643" t="str">
        <f>'Evaluation-Bewertung'!V13</f>
        <v>Target</v>
      </c>
      <c r="W13" s="643" t="str">
        <f>'Evaluation-Bewertung'!W13</f>
        <v>Max.</v>
      </c>
      <c r="X13" s="643" t="str">
        <f>'Evaluation-Bewertung'!X13</f>
        <v>Act.</v>
      </c>
      <c r="Z13" s="390" t="s">
        <v>78</v>
      </c>
      <c r="AA13" s="628" t="s">
        <v>203</v>
      </c>
      <c r="AB13" s="390" t="s">
        <v>80</v>
      </c>
      <c r="AC13" s="390" t="s">
        <v>81</v>
      </c>
      <c r="AD13" s="390" t="s">
        <v>82</v>
      </c>
      <c r="AE13" s="643" t="str">
        <f>'Evaluation-Bewertung'!AE13</f>
        <v>n.e.</v>
      </c>
      <c r="AF13" s="643" t="str">
        <f>'Evaluation-Bewertung'!AF13</f>
        <v>Act.</v>
      </c>
      <c r="AG13" s="643" t="str">
        <f>'Evaluation-Bewertung'!AG13</f>
        <v>Target</v>
      </c>
      <c r="AH13" s="643" t="str">
        <f>'Evaluation-Bewertung'!AH13</f>
        <v>Max.</v>
      </c>
      <c r="AI13" s="643" t="str">
        <f>'Evaluation-Bewertung'!AI13</f>
        <v>Act.</v>
      </c>
      <c r="AJ13" s="31"/>
      <c r="AM13" s="31"/>
      <c r="AN13" s="31"/>
      <c r="AO13" s="31"/>
      <c r="AP13" s="31"/>
      <c r="AQ13" s="31"/>
      <c r="AR13" s="31"/>
      <c r="AS13" s="31"/>
      <c r="AT13" s="31"/>
      <c r="AU13" s="31"/>
      <c r="AV13" s="31"/>
      <c r="AW13" s="31"/>
      <c r="AX13" s="31"/>
      <c r="AY13" s="31"/>
      <c r="AZ13" s="31"/>
      <c r="BA13" s="31"/>
      <c r="BB13" s="31"/>
      <c r="BC13" s="31"/>
      <c r="BD13" s="31"/>
      <c r="BE13" s="16"/>
      <c r="BF13" s="16"/>
      <c r="BG13" s="16"/>
      <c r="BH13" s="16"/>
      <c r="BI13" s="49"/>
      <c r="BJ13" s="34"/>
    </row>
    <row r="14" spans="1:62" s="37" customFormat="1" ht="15.75" thickBot="1">
      <c r="A14" s="243" t="str">
        <f>IF(COUNT(D14:H14)+COUNT(O14:S14)=0,I13,IF(MIN(D14:H14,O14:S14)=0,"B","A"))</f>
        <v>n.e.</v>
      </c>
      <c r="B14" s="50"/>
      <c r="C14" s="180"/>
      <c r="D14" s="232" t="str">
        <f>IF($A$10=FALSE,$I$13,IF(ISBLANK('Questions - Fragen'!$D23),"--",'Questions - Fragen'!$D23))</f>
        <v>n.e.</v>
      </c>
      <c r="E14" s="633" t="str">
        <f>IF($A$10=FALSE,$I$13,IF(ISBLANK('Questions - Fragen'!$D26),"--",'Questions - Fragen'!$D26))</f>
        <v>n.e.</v>
      </c>
      <c r="F14" s="232" t="str">
        <f>IF($A$10=FALSE,$I$13,IF(ISBLANK('Questions - Fragen'!$D29),"--",'Questions - Fragen'!$D29))</f>
        <v>n.e.</v>
      </c>
      <c r="G14" s="232" t="str">
        <f>IF($A$10=FALSE,$I$13,IF(ISBLANK('Questions - Fragen'!$D32),"--",'Questions - Fragen'!$D32))</f>
        <v>n.e.</v>
      </c>
      <c r="H14" s="232" t="str">
        <f>IF($A$10=FALSE,$I$13,IF(ISBLANK('Questions - Fragen'!$D35),"--",'Questions - Fragen'!$D35))</f>
        <v>n.e.</v>
      </c>
      <c r="I14" s="753">
        <f>COUNTIF(D14:H14,"&gt;-")</f>
        <v>5</v>
      </c>
      <c r="J14" s="753">
        <f>COUNT(D14:H14)</f>
        <v>0</v>
      </c>
      <c r="K14" s="753">
        <v>4</v>
      </c>
      <c r="L14" s="753" t="str">
        <f>IF(AND($A10,J14&gt;=K14),J14*10,"--")</f>
        <v>--</v>
      </c>
      <c r="M14" s="753" t="str">
        <f>IF(AND($A10,J14&gt;=K14),SUM(D14:H14),"--")</f>
        <v>--</v>
      </c>
      <c r="O14" s="232" t="str">
        <f>IF($A$10=FALSE,$T$13,IF(ISBLANK('Questions - Fragen'!$D24),"--",'Questions - Fragen'!$D24))</f>
        <v>n.e.</v>
      </c>
      <c r="P14" s="633" t="str">
        <f>IF($A$10=FALSE,$T$13,IF(ISBLANK('Questions - Fragen'!$D27),"--",'Questions - Fragen'!$D27))</f>
        <v>n.e.</v>
      </c>
      <c r="Q14" s="232" t="str">
        <f>IF($A$10=FALSE,$T$13,IF(ISBLANK('Questions - Fragen'!$D30),"--",'Questions - Fragen'!$D30))</f>
        <v>n.e.</v>
      </c>
      <c r="R14" s="232" t="str">
        <f>IF($A$10=FALSE,$T$13,IF(ISBLANK('Questions - Fragen'!$D33),"--",'Questions - Fragen'!$D33))</f>
        <v>n.e.</v>
      </c>
      <c r="S14" s="232" t="str">
        <f>IF($A$10=FALSE,$T$13,IF(ISBLANK('Questions - Fragen'!$D36),"--",'Questions - Fragen'!$D36))</f>
        <v>n.e.</v>
      </c>
      <c r="T14" s="753">
        <f>COUNTIF(O14:S14,"&gt;-")</f>
        <v>5</v>
      </c>
      <c r="U14" s="753">
        <f>COUNT(O14:S14)</f>
        <v>0</v>
      </c>
      <c r="V14" s="753">
        <v>4</v>
      </c>
      <c r="W14" s="753" t="str">
        <f>IF(AND($A10,U14&gt;=V14),U14*10,"--")</f>
        <v>--</v>
      </c>
      <c r="X14" s="753" t="str">
        <f>IF(AND($A10,U14&gt;=V14),SUM(O14:S14),"--")</f>
        <v>--</v>
      </c>
      <c r="Z14" s="957" t="str">
        <f>IF(AND(D14=$I$13,O14=$T$13),$AE$13,IF(AND(D14="--",O14="--"),"--",IF(COUNT(D14,O14)&gt;0,ROUND(AVERAGE(D14,O14),2),"/")))</f>
        <v>n.e.</v>
      </c>
      <c r="AA14" s="958" t="str">
        <f t="shared" ref="AA14:AD14" si="0">IF(AND(E14=$I$13,P14=$T$13),$AE$13,IF(AND(E14="--",P14="--"),"--",IF(COUNT(E14,P14)&gt;0,ROUND(AVERAGE(E14,P14),2),"/")))</f>
        <v>n.e.</v>
      </c>
      <c r="AB14" s="957" t="str">
        <f t="shared" si="0"/>
        <v>n.e.</v>
      </c>
      <c r="AC14" s="957" t="str">
        <f t="shared" si="0"/>
        <v>n.e.</v>
      </c>
      <c r="AD14" s="957" t="str">
        <f t="shared" si="0"/>
        <v>n.e.</v>
      </c>
      <c r="AE14" s="753">
        <f>COUNTIF(Z14:AD14,"&gt;-")</f>
        <v>5</v>
      </c>
      <c r="AF14" s="753">
        <f>COUNT(Z14:AD14)</f>
        <v>0</v>
      </c>
      <c r="AG14" s="753">
        <v>4</v>
      </c>
      <c r="AH14" s="753" t="str">
        <f>IF(AND($A10,AF14&gt;=AG14),AF14*10,"--")</f>
        <v>--</v>
      </c>
      <c r="AI14" s="753" t="str">
        <f>IF(AND($A10,AF14&gt;=AG14),SUM(Z14:AD14),"--")</f>
        <v>--</v>
      </c>
      <c r="AJ14" s="31"/>
      <c r="AM14" s="15"/>
      <c r="AN14" s="15"/>
      <c r="AO14" s="15"/>
      <c r="AP14" s="15"/>
      <c r="AQ14" s="1518" t="s">
        <v>300</v>
      </c>
      <c r="AR14" s="1519"/>
      <c r="AS14" s="1471" t="str">
        <f>IF(AND(L16=I13,W16=T13),I13,ROUND(AI14/AH14,2))</f>
        <v>n.e.</v>
      </c>
      <c r="AT14" s="1472"/>
      <c r="AU14" s="16"/>
      <c r="AV14" s="184"/>
      <c r="AW14" s="184"/>
      <c r="AX14" s="184"/>
      <c r="AY14" s="184"/>
      <c r="AZ14" s="184"/>
      <c r="BA14" s="184"/>
      <c r="BB14" s="184"/>
      <c r="BC14" s="184"/>
      <c r="BD14" s="184"/>
      <c r="BE14" s="16"/>
      <c r="BF14" s="16"/>
      <c r="BG14" s="16"/>
      <c r="BH14" s="16"/>
      <c r="BI14" s="51"/>
      <c r="BJ14" s="16"/>
    </row>
    <row r="15" spans="1:62" ht="15" thickBot="1">
      <c r="B15" s="48"/>
      <c r="C15" s="33"/>
      <c r="D15" s="38"/>
      <c r="E15" s="38"/>
      <c r="F15" s="38"/>
      <c r="G15" s="38"/>
      <c r="H15" s="38"/>
      <c r="N15" s="180"/>
      <c r="O15" s="31"/>
      <c r="P15" s="31"/>
      <c r="T15" s="31"/>
      <c r="V15" s="31"/>
      <c r="W15" s="176"/>
      <c r="X15" s="179"/>
      <c r="Y15" s="179"/>
      <c r="Z15" s="179"/>
      <c r="AA15" s="179"/>
      <c r="AB15" s="179"/>
      <c r="AC15" s="179"/>
      <c r="AD15" s="15"/>
      <c r="AE15" s="15"/>
      <c r="AF15" s="15"/>
      <c r="AJ15" s="15"/>
      <c r="AK15" s="15"/>
      <c r="AL15" s="15"/>
      <c r="AM15" s="15"/>
      <c r="AN15" s="15"/>
      <c r="AO15" s="15"/>
      <c r="AP15" s="15"/>
      <c r="AQ15" s="15"/>
      <c r="AR15" s="31"/>
      <c r="AS15" s="31"/>
      <c r="AT15" s="31"/>
      <c r="AU15" s="15"/>
      <c r="AV15" s="15"/>
      <c r="AW15" s="15"/>
      <c r="AX15" s="15"/>
      <c r="AY15" s="15"/>
      <c r="AZ15" s="15"/>
      <c r="BA15" s="15"/>
      <c r="BB15" s="15"/>
      <c r="BC15" s="15"/>
      <c r="BD15" s="15"/>
      <c r="BE15" s="16"/>
      <c r="BF15" s="16"/>
      <c r="BG15" s="16"/>
      <c r="BH15" s="16"/>
      <c r="BI15" s="51"/>
      <c r="BJ15" s="16"/>
    </row>
    <row r="16" spans="1:62" ht="15.75" thickBot="1">
      <c r="B16" s="48"/>
      <c r="C16" s="33"/>
      <c r="D16" s="38"/>
      <c r="E16" s="38"/>
      <c r="F16" s="38"/>
      <c r="G16" s="38"/>
      <c r="H16" s="38"/>
      <c r="K16" s="183" t="s">
        <v>66</v>
      </c>
      <c r="L16" s="1471" t="str">
        <f>IF(AND(A10,J14&gt;=K14),ROUND(M14/L14,2),I13)</f>
        <v>n.e.</v>
      </c>
      <c r="M16" s="1472"/>
      <c r="N16" s="29"/>
      <c r="O16" s="38"/>
      <c r="P16" s="38"/>
      <c r="T16" s="182"/>
      <c r="V16" s="183" t="s">
        <v>59</v>
      </c>
      <c r="W16" s="1471" t="str">
        <f>IF(AND(A10,U14&gt;=V14),ROUND(X14/W14,2),T13)</f>
        <v>n.e.</v>
      </c>
      <c r="X16" s="1472"/>
      <c r="Y16" s="179"/>
      <c r="Z16" s="179"/>
      <c r="AA16" s="179"/>
      <c r="AB16" s="179"/>
      <c r="AC16" s="179"/>
      <c r="AD16" s="15"/>
      <c r="AE16" s="15"/>
      <c r="AF16" s="15"/>
      <c r="AJ16" s="15"/>
      <c r="AK16" s="15"/>
      <c r="AL16" s="15"/>
      <c r="AM16" s="15"/>
      <c r="AN16" s="15"/>
      <c r="AO16" s="15"/>
      <c r="AP16" s="15"/>
      <c r="AQ16" s="15"/>
      <c r="AR16" s="38"/>
      <c r="AS16" s="182"/>
      <c r="AT16" s="182"/>
      <c r="AU16" s="15"/>
      <c r="AV16" s="15"/>
      <c r="AW16" s="15"/>
      <c r="AX16" s="15"/>
      <c r="AY16" s="15"/>
      <c r="AZ16" s="15"/>
      <c r="BA16" s="15"/>
      <c r="BB16" s="15"/>
      <c r="BC16" s="15"/>
      <c r="BD16" s="15"/>
      <c r="BE16" s="16"/>
      <c r="BF16" s="16"/>
      <c r="BG16" s="16"/>
      <c r="BH16" s="16"/>
      <c r="BI16" s="51"/>
      <c r="BJ16" s="16"/>
    </row>
    <row r="17" spans="1:62" ht="15">
      <c r="B17" s="48"/>
      <c r="C17" s="33"/>
      <c r="D17" s="31"/>
      <c r="E17" s="31"/>
      <c r="F17" s="31"/>
      <c r="G17" s="31"/>
      <c r="H17" s="31"/>
      <c r="I17" s="31"/>
      <c r="J17" s="31"/>
      <c r="K17" s="31"/>
      <c r="L17" s="31"/>
      <c r="M17" s="31"/>
      <c r="N17" s="31"/>
      <c r="O17" s="36"/>
      <c r="P17" s="31"/>
      <c r="Q17" s="31"/>
      <c r="V17" s="31"/>
      <c r="W17" s="31"/>
      <c r="X17" s="15"/>
      <c r="Y17" s="15"/>
      <c r="Z17" s="15"/>
      <c r="AA17" s="15"/>
      <c r="AB17" s="15"/>
      <c r="AC17" s="15"/>
      <c r="AD17" s="15"/>
      <c r="AE17" s="15"/>
      <c r="AF17" s="15"/>
      <c r="AJ17" s="15"/>
      <c r="AK17" s="15"/>
      <c r="AL17" s="15"/>
      <c r="AM17" s="15"/>
      <c r="AN17" s="15"/>
      <c r="AO17" s="15"/>
      <c r="AP17" s="15"/>
      <c r="AQ17" s="15"/>
      <c r="AR17" s="15"/>
      <c r="AS17" s="15"/>
      <c r="AT17" s="15"/>
      <c r="AU17" s="15"/>
      <c r="AV17" s="15"/>
      <c r="AW17" s="15"/>
      <c r="AX17" s="15"/>
      <c r="AY17" s="15"/>
      <c r="AZ17" s="15"/>
      <c r="BA17" s="15"/>
      <c r="BB17" s="15"/>
      <c r="BC17" s="15"/>
      <c r="BD17" s="15"/>
      <c r="BE17" s="16"/>
      <c r="BF17" s="16"/>
      <c r="BG17" s="16"/>
      <c r="BH17" s="16"/>
      <c r="BI17" s="51"/>
      <c r="BJ17" s="16"/>
    </row>
    <row r="18" spans="1:62" ht="15.75">
      <c r="A18" s="971" t="b">
        <f>'Evaluation-Bewertung'!A18</f>
        <v>0</v>
      </c>
      <c r="B18" s="48"/>
      <c r="C18" s="655" t="s">
        <v>98</v>
      </c>
      <c r="D18" s="655" t="str">
        <f>'Questions - Fragen'!C37</f>
        <v>Implementation of the product and process development</v>
      </c>
      <c r="E18" s="656"/>
      <c r="F18" s="656"/>
      <c r="G18" s="656"/>
      <c r="H18" s="656"/>
      <c r="I18" s="656"/>
      <c r="J18" s="656"/>
      <c r="K18" s="656"/>
      <c r="L18" s="656"/>
      <c r="M18" s="656"/>
      <c r="N18" s="656"/>
      <c r="O18" s="657"/>
      <c r="P18" s="656"/>
      <c r="Q18" s="656"/>
      <c r="R18" s="660"/>
      <c r="S18" s="660"/>
      <c r="T18" s="660"/>
      <c r="U18" s="660"/>
      <c r="V18" s="656"/>
      <c r="W18" s="656"/>
      <c r="X18" s="661"/>
      <c r="Y18" s="661"/>
      <c r="Z18" s="661"/>
      <c r="AA18" s="661"/>
      <c r="AB18" s="661"/>
      <c r="AC18" s="661"/>
      <c r="AD18" s="661"/>
      <c r="AE18" s="661"/>
      <c r="AF18" s="661"/>
      <c r="AG18" s="660"/>
      <c r="AH18" s="660"/>
      <c r="AI18" s="660"/>
      <c r="AJ18" s="661"/>
      <c r="AK18" s="661"/>
      <c r="AL18" s="661"/>
      <c r="AM18" s="661"/>
      <c r="AN18" s="661"/>
      <c r="AO18" s="661"/>
      <c r="AP18" s="661"/>
      <c r="AQ18" s="661"/>
      <c r="AR18" s="661"/>
      <c r="AS18" s="661"/>
      <c r="AT18" s="661"/>
      <c r="AU18" s="661"/>
      <c r="AV18" s="661"/>
      <c r="AW18" s="661"/>
      <c r="AX18" s="661"/>
      <c r="AY18" s="661"/>
      <c r="AZ18" s="661"/>
      <c r="BA18" s="661"/>
      <c r="BB18" s="661"/>
      <c r="BC18" s="661"/>
      <c r="BD18" s="661"/>
      <c r="BE18" s="661"/>
      <c r="BF18" s="661"/>
      <c r="BG18" s="661"/>
      <c r="BH18" s="661"/>
      <c r="BI18" s="662"/>
      <c r="BJ18" s="16"/>
    </row>
    <row r="19" spans="1:62" ht="6.75" customHeight="1">
      <c r="B19" s="48"/>
      <c r="C19" s="36"/>
      <c r="D19" s="36"/>
      <c r="E19" s="31"/>
      <c r="F19" s="31"/>
      <c r="G19" s="31"/>
      <c r="H19" s="31"/>
      <c r="I19" s="31"/>
      <c r="J19" s="31"/>
      <c r="K19" s="31"/>
      <c r="L19" s="31"/>
      <c r="M19" s="31"/>
      <c r="N19" s="31"/>
      <c r="O19" s="36"/>
      <c r="P19" s="31"/>
      <c r="Q19" s="31"/>
      <c r="V19" s="31"/>
      <c r="W19" s="31"/>
      <c r="X19" s="15"/>
      <c r="Y19" s="15"/>
      <c r="Z19" s="15"/>
      <c r="AA19" s="15"/>
      <c r="AB19" s="15"/>
      <c r="AC19" s="15"/>
      <c r="AD19" s="15"/>
      <c r="AE19" s="15"/>
      <c r="AF19" s="15"/>
      <c r="AJ19" s="15"/>
      <c r="AK19" s="15"/>
      <c r="AL19" s="15"/>
      <c r="AM19" s="15"/>
      <c r="AN19" s="15"/>
      <c r="AO19" s="15"/>
      <c r="AP19" s="15"/>
      <c r="AQ19" s="15"/>
      <c r="AR19" s="15"/>
      <c r="AS19" s="15"/>
      <c r="AT19" s="15"/>
      <c r="AU19" s="15"/>
      <c r="AV19" s="15"/>
      <c r="AW19" s="15"/>
      <c r="AX19" s="15"/>
      <c r="AY19" s="15"/>
      <c r="AZ19" s="15"/>
      <c r="BA19" s="15"/>
      <c r="BB19" s="15"/>
      <c r="BC19" s="15"/>
      <c r="BD19" s="15"/>
      <c r="BE19" s="16"/>
      <c r="BF19" s="16"/>
      <c r="BG19" s="16"/>
      <c r="BH19" s="16"/>
      <c r="BI19" s="51"/>
      <c r="BJ19" s="16"/>
    </row>
    <row r="20" spans="1:62" ht="14.1" customHeight="1">
      <c r="B20" s="48"/>
      <c r="C20" s="36"/>
      <c r="D20" s="180" t="str">
        <f>'Evaluation-Bewertung'!D20</f>
        <v>Product</v>
      </c>
      <c r="E20" s="31"/>
      <c r="F20" s="31"/>
      <c r="G20" s="31"/>
      <c r="H20" s="31"/>
      <c r="I20" s="31"/>
      <c r="J20" s="31"/>
      <c r="L20" s="31"/>
      <c r="M20" s="31"/>
      <c r="N20" s="31"/>
      <c r="O20" s="38"/>
      <c r="P20" s="188"/>
      <c r="Q20" s="180" t="str">
        <f>'Evaluation-Bewertung'!Q20</f>
        <v>Process</v>
      </c>
      <c r="R20" s="31"/>
      <c r="T20" s="15"/>
      <c r="U20" s="15"/>
      <c r="V20" s="15"/>
      <c r="W20" s="15"/>
      <c r="X20" s="15"/>
      <c r="Y20" s="15"/>
      <c r="Z20" s="15"/>
      <c r="AA20" s="15"/>
      <c r="AB20" s="15"/>
      <c r="AK20" s="38"/>
      <c r="AL20" s="15"/>
      <c r="AM20" s="15"/>
      <c r="AN20" s="15"/>
      <c r="AO20" s="15"/>
      <c r="AP20" s="15"/>
      <c r="AQ20" s="15"/>
      <c r="AR20" s="15"/>
      <c r="AS20" s="15"/>
      <c r="AT20" s="15"/>
      <c r="AU20" s="15"/>
      <c r="AV20" s="15"/>
      <c r="AW20" s="15"/>
      <c r="AX20" s="15"/>
      <c r="AY20" s="15"/>
      <c r="AZ20" s="15"/>
      <c r="BA20" s="15"/>
      <c r="BB20" s="15"/>
      <c r="BC20" s="15"/>
      <c r="BD20" s="15"/>
      <c r="BE20" s="16"/>
      <c r="BF20" s="16"/>
      <c r="BG20" s="16"/>
      <c r="BH20" s="16"/>
      <c r="BI20" s="51"/>
      <c r="BJ20" s="16"/>
    </row>
    <row r="21" spans="1:62" ht="15" thickBot="1">
      <c r="A21" s="241" t="s">
        <v>227</v>
      </c>
      <c r="B21" s="48"/>
      <c r="C21" s="33"/>
      <c r="D21" s="628" t="s">
        <v>207</v>
      </c>
      <c r="E21" s="390" t="s">
        <v>137</v>
      </c>
      <c r="F21" s="390" t="s">
        <v>138</v>
      </c>
      <c r="G21" s="628" t="s">
        <v>208</v>
      </c>
      <c r="H21" s="390" t="s">
        <v>140</v>
      </c>
      <c r="I21" s="390" t="s">
        <v>141</v>
      </c>
      <c r="J21" s="390" t="s">
        <v>142</v>
      </c>
      <c r="K21" s="628" t="s">
        <v>434</v>
      </c>
      <c r="L21" s="643" t="str">
        <f>'Evaluation-Bewertung'!L21</f>
        <v>n.e.</v>
      </c>
      <c r="M21" s="643" t="str">
        <f>'Evaluation-Bewertung'!M21</f>
        <v>Act.</v>
      </c>
      <c r="N21" s="643" t="str">
        <f>'Evaluation-Bewertung'!N21</f>
        <v>Target</v>
      </c>
      <c r="O21" s="751" t="str">
        <f>'Evaluation-Bewertung'!O21</f>
        <v>Max.</v>
      </c>
      <c r="P21" s="759" t="str">
        <f>'Evaluation-Bewertung'!P21</f>
        <v>Act.</v>
      </c>
      <c r="Q21" s="628" t="s">
        <v>207</v>
      </c>
      <c r="R21" s="390" t="s">
        <v>137</v>
      </c>
      <c r="S21" s="390" t="s">
        <v>138</v>
      </c>
      <c r="T21" s="628" t="s">
        <v>208</v>
      </c>
      <c r="U21" s="390" t="s">
        <v>140</v>
      </c>
      <c r="V21" s="390" t="s">
        <v>141</v>
      </c>
      <c r="W21" s="390" t="s">
        <v>142</v>
      </c>
      <c r="X21" s="628" t="s">
        <v>434</v>
      </c>
      <c r="Y21" s="643" t="str">
        <f>'Evaluation-Bewertung'!Y21</f>
        <v>n.e.</v>
      </c>
      <c r="Z21" s="643" t="str">
        <f>'Evaluation-Bewertung'!Z21</f>
        <v>Act.</v>
      </c>
      <c r="AA21" s="643" t="str">
        <f>'Evaluation-Bewertung'!AA21</f>
        <v>Target</v>
      </c>
      <c r="AB21" s="751" t="str">
        <f>'Evaluation-Bewertung'!AB21</f>
        <v>Max.</v>
      </c>
      <c r="AC21" s="759" t="str">
        <f>'Evaluation-Bewertung'!AC21</f>
        <v>Act.</v>
      </c>
      <c r="AD21" s="628" t="s">
        <v>207</v>
      </c>
      <c r="AE21" s="390" t="s">
        <v>137</v>
      </c>
      <c r="AF21" s="390" t="s">
        <v>138</v>
      </c>
      <c r="AG21" s="628" t="s">
        <v>208</v>
      </c>
      <c r="AH21" s="390" t="s">
        <v>140</v>
      </c>
      <c r="AI21" s="390" t="s">
        <v>141</v>
      </c>
      <c r="AJ21" s="390" t="s">
        <v>142</v>
      </c>
      <c r="AK21" s="628" t="s">
        <v>434</v>
      </c>
      <c r="AL21" s="643" t="str">
        <f>'Evaluation-Bewertung'!AL21</f>
        <v>n.e.</v>
      </c>
      <c r="AM21" s="643" t="str">
        <f>'Evaluation-Bewertung'!AM21</f>
        <v>Act.</v>
      </c>
      <c r="AN21" s="643" t="str">
        <f>'Evaluation-Bewertung'!AN21</f>
        <v>Target</v>
      </c>
      <c r="AO21" s="643" t="str">
        <f>'Evaluation-Bewertung'!AO21</f>
        <v>Max.</v>
      </c>
      <c r="AP21" s="643" t="str">
        <f>'Evaluation-Bewertung'!AP21</f>
        <v>Act.</v>
      </c>
      <c r="AQ21" s="15"/>
      <c r="AR21" s="15"/>
      <c r="AS21" s="15"/>
      <c r="AT21" s="15"/>
      <c r="AU21" s="15"/>
      <c r="AV21" s="15"/>
      <c r="AW21" s="15"/>
      <c r="AX21" s="15"/>
      <c r="AY21" s="15"/>
      <c r="AZ21" s="15"/>
      <c r="BA21" s="15"/>
      <c r="BB21" s="15"/>
      <c r="BC21" s="15"/>
      <c r="BD21" s="15"/>
      <c r="BE21" s="16"/>
      <c r="BF21" s="16"/>
      <c r="BG21" s="16"/>
      <c r="BH21" s="16"/>
      <c r="BI21" s="51"/>
      <c r="BJ21" s="16"/>
    </row>
    <row r="22" spans="1:62" s="37" customFormat="1" ht="15" customHeight="1" thickBot="1">
      <c r="A22" s="243" t="str">
        <f>IF(COUNT(D22:K22)+COUNT(Q22:X22)=0,L21,IF(MIN(D22:K22,Q22:X22)=0,"B","A"))</f>
        <v>n.e.</v>
      </c>
      <c r="B22" s="50"/>
      <c r="C22" s="180"/>
      <c r="D22" s="633" t="str">
        <f>IF($A$18=FALSE,$L$21,IF(ISBLANK('Questions - Fragen'!$D40),"--",'Questions - Fragen'!$D40))</f>
        <v>n.e.</v>
      </c>
      <c r="E22" s="232" t="str">
        <f>IF($A$18=FALSE,$L$21,IF(ISBLANK('Questions - Fragen'!$D43),"--",'Questions - Fragen'!$D43))</f>
        <v>n.e.</v>
      </c>
      <c r="F22" s="232" t="str">
        <f>IF($A$18=FALSE,$L$21,IF(ISBLANK('Questions - Fragen'!$D46),"--",'Questions - Fragen'!$D46))</f>
        <v>n.e.</v>
      </c>
      <c r="G22" s="633" t="str">
        <f>IF($A$18=FALSE,$L$21,IF(ISBLANK('Questions - Fragen'!$D49),"--",'Questions - Fragen'!$D49))</f>
        <v>n.e.</v>
      </c>
      <c r="H22" s="232" t="str">
        <f>IF($A$18=FALSE,$L$21,IF(ISBLANK('Questions - Fragen'!$D52),"--",'Questions - Fragen'!$D52))</f>
        <v>n.e.</v>
      </c>
      <c r="I22" s="959" t="str">
        <f>L21</f>
        <v>n.e.</v>
      </c>
      <c r="J22" s="959" t="str">
        <f>L21</f>
        <v>n.e.</v>
      </c>
      <c r="K22" s="232" t="str">
        <f>IF($A$18=FALSE,$L$21,IF(ISBLANK('Questions - Fragen'!$D59),"--",'Questions - Fragen'!$D59))</f>
        <v>n.e.</v>
      </c>
      <c r="L22" s="753">
        <f>COUNTIF(D22:K22,"&gt;-")</f>
        <v>8</v>
      </c>
      <c r="M22" s="753">
        <f>COUNT(D22:K22)</f>
        <v>0</v>
      </c>
      <c r="N22" s="753">
        <v>4</v>
      </c>
      <c r="O22" s="754" t="str">
        <f>IF(AND($A18,M22&gt;=N22),M22*10,"--")</f>
        <v>--</v>
      </c>
      <c r="P22" s="760" t="str">
        <f>IF(AND($A18,M22&gt;=N22),SUM(D22:K22),"--")</f>
        <v>--</v>
      </c>
      <c r="Q22" s="1025" t="str">
        <f>IF($A$18=FALSE,$Y$21,IF(ISBLANK('Questions - Fragen'!$D41),"--",'Questions - Fragen'!$D41))</f>
        <v>n.e.</v>
      </c>
      <c r="R22" s="232" t="str">
        <f>IF($A$18=FALSE,$Y$21,IF(ISBLANK('Questions - Fragen'!$D44),"--",'Questions - Fragen'!$D44))</f>
        <v>n.e.</v>
      </c>
      <c r="S22" s="232" t="str">
        <f>IF($A$18=FALSE,$Y$21,IF(ISBLANK('Questions - Fragen'!$D47),"--",'Questions - Fragen'!$D47))</f>
        <v>n.e.</v>
      </c>
      <c r="T22" s="633" t="str">
        <f>IF($A$18=FALSE,$Y$21,IF(ISBLANK('Questions - Fragen'!$D50),"--",'Questions - Fragen'!$D50))</f>
        <v>n.e.</v>
      </c>
      <c r="U22" s="232" t="str">
        <f>IF($A$18=FALSE,$Y$21,IF(ISBLANK('Questions - Fragen'!$D53),"--",'Questions - Fragen'!$D53))</f>
        <v>n.e.</v>
      </c>
      <c r="V22" s="232" t="str">
        <f>IF($A$18=FALSE,$Y$21,IF(ISBLANK('Questions - Fragen'!$D55),"--",'Questions - Fragen'!$D55))</f>
        <v>n.e.</v>
      </c>
      <c r="W22" s="232" t="str">
        <f>IF($A$18=FALSE,$Y$21,IF(ISBLANK('Questions - Fragen'!$D57),"--",'Questions - Fragen'!$D57))</f>
        <v>n.e.</v>
      </c>
      <c r="X22" s="633" t="str">
        <f>IF($A$18=FALSE,$Y$21,IF(ISBLANK('Questions - Fragen'!$D60),"--",'Questions - Fragen'!$D60))</f>
        <v>n.e.</v>
      </c>
      <c r="Y22" s="753">
        <f>COUNTIF(Q22:X22,"&gt;-")</f>
        <v>8</v>
      </c>
      <c r="Z22" s="753">
        <f>COUNT(Q22:X22)</f>
        <v>0</v>
      </c>
      <c r="AA22" s="753">
        <v>6</v>
      </c>
      <c r="AB22" s="754" t="str">
        <f>IF(AND($A18,Z22&gt;=AA22),Z22*10,"--")</f>
        <v>--</v>
      </c>
      <c r="AC22" s="760" t="str">
        <f>IF(AND($A18,Z22&gt;=AA22),SUM(Q22:X22),"--")</f>
        <v>--</v>
      </c>
      <c r="AD22" s="1027" t="str">
        <f>IF(AND(D22=$L$21,Q22=$Y$21),$AL$21,IF(AND(D22="--",Q22="--"),"--",IF(COUNT(D22,Q22)&gt;0,ROUND(AVERAGE(D22,Q22),2),"/")))</f>
        <v>n.e.</v>
      </c>
      <c r="AE22" s="957" t="str">
        <f t="shared" ref="AE22:AK22" si="1">IF(AND(E22=$L$21,R22=$Y$21),$AL$21,IF(AND(E22="--",R22="--"),"--",IF(COUNT(E22,R22)&gt;0,ROUND(AVERAGE(E22,R22),2),"/")))</f>
        <v>n.e.</v>
      </c>
      <c r="AF22" s="957" t="str">
        <f t="shared" si="1"/>
        <v>n.e.</v>
      </c>
      <c r="AG22" s="958" t="str">
        <f t="shared" si="1"/>
        <v>n.e.</v>
      </c>
      <c r="AH22" s="957" t="str">
        <f t="shared" si="1"/>
        <v>n.e.</v>
      </c>
      <c r="AI22" s="957" t="str">
        <f t="shared" si="1"/>
        <v>n.e.</v>
      </c>
      <c r="AJ22" s="957" t="str">
        <f t="shared" si="1"/>
        <v>n.e.</v>
      </c>
      <c r="AK22" s="958" t="str">
        <f t="shared" si="1"/>
        <v>n.e.</v>
      </c>
      <c r="AL22" s="753">
        <f>COUNTIF(AD22:AK22,"&gt;-")</f>
        <v>8</v>
      </c>
      <c r="AM22" s="753">
        <f>COUNT(AD22:AK22)</f>
        <v>0</v>
      </c>
      <c r="AN22" s="753">
        <v>6</v>
      </c>
      <c r="AO22" s="753" t="str">
        <f>IF(AND($A18,AM22&gt;=AN22),AM22*10,"--")</f>
        <v>--</v>
      </c>
      <c r="AP22" s="753" t="str">
        <f>IF(AND($A18,AM22&gt;=AN22),SUM(AD22:AK22),"--")</f>
        <v>--</v>
      </c>
      <c r="AQ22" s="1518" t="s">
        <v>301</v>
      </c>
      <c r="AR22" s="1519"/>
      <c r="AS22" s="1471" t="str">
        <f>IF(AND(O24=L21,AB24=Y21),L21,ROUND(AP22/AO22,2))</f>
        <v>n.e.</v>
      </c>
      <c r="AT22" s="1472"/>
      <c r="AU22" s="16"/>
      <c r="AV22" s="184"/>
      <c r="AW22" s="184"/>
      <c r="AX22" s="184"/>
      <c r="AY22" s="184"/>
      <c r="AZ22" s="184"/>
      <c r="BA22" s="184"/>
      <c r="BB22" s="184"/>
      <c r="BC22" s="184"/>
      <c r="BD22" s="184"/>
      <c r="BE22" s="16"/>
      <c r="BF22" s="16"/>
      <c r="BG22" s="16"/>
      <c r="BH22" s="16"/>
      <c r="BI22" s="51"/>
      <c r="BJ22" s="16"/>
    </row>
    <row r="23" spans="1:62" s="667" customFormat="1" ht="15" customHeight="1" thickBot="1">
      <c r="A23" s="663"/>
      <c r="B23" s="664"/>
      <c r="C23" s="665"/>
      <c r="D23" s="960"/>
      <c r="E23" s="960"/>
      <c r="F23" s="960"/>
      <c r="G23" s="960"/>
      <c r="H23" s="960"/>
      <c r="I23" s="960"/>
      <c r="J23" s="960"/>
      <c r="K23" s="960"/>
      <c r="L23" s="676"/>
      <c r="M23" s="676"/>
      <c r="N23" s="676"/>
      <c r="O23" s="676"/>
      <c r="P23" s="1026"/>
      <c r="Q23" s="668"/>
      <c r="R23" s="669"/>
      <c r="S23" s="669"/>
      <c r="T23" s="670"/>
      <c r="U23" s="670"/>
      <c r="V23" s="960"/>
      <c r="W23" s="960"/>
      <c r="X23" s="960"/>
      <c r="Y23" s="960"/>
      <c r="Z23" s="960"/>
      <c r="AA23" s="960"/>
      <c r="AB23" s="960"/>
      <c r="AC23" s="1028"/>
      <c r="AD23" s="666"/>
      <c r="AE23" s="666"/>
      <c r="AF23" s="666"/>
      <c r="AG23" s="666"/>
      <c r="AK23" s="668"/>
      <c r="AL23" s="669"/>
      <c r="AM23" s="669"/>
      <c r="AN23" s="670"/>
      <c r="AO23" s="670"/>
      <c r="AP23" s="670"/>
      <c r="AQ23" s="671"/>
      <c r="AR23" s="671"/>
      <c r="AS23" s="669"/>
      <c r="AT23" s="669"/>
      <c r="AU23" s="672"/>
      <c r="AV23" s="673"/>
      <c r="AW23" s="673"/>
      <c r="AX23" s="673"/>
      <c r="AY23" s="673"/>
      <c r="AZ23" s="673"/>
      <c r="BA23" s="673"/>
      <c r="BB23" s="673"/>
      <c r="BC23" s="673"/>
      <c r="BD23" s="673"/>
      <c r="BE23" s="675"/>
      <c r="BF23" s="675"/>
      <c r="BG23" s="675"/>
      <c r="BH23" s="675"/>
      <c r="BI23" s="674"/>
      <c r="BJ23" s="675"/>
    </row>
    <row r="24" spans="1:62" s="667" customFormat="1" ht="15" customHeight="1" thickBot="1">
      <c r="A24" s="663"/>
      <c r="B24" s="664"/>
      <c r="C24" s="665"/>
      <c r="D24" s="960"/>
      <c r="E24" s="960"/>
      <c r="F24" s="960"/>
      <c r="G24" s="960"/>
      <c r="H24" s="960"/>
      <c r="I24" s="960"/>
      <c r="J24" s="960"/>
      <c r="K24" s="960"/>
      <c r="L24" s="676"/>
      <c r="M24" s="676"/>
      <c r="N24" s="183" t="s">
        <v>67</v>
      </c>
      <c r="O24" s="1471" t="str">
        <f>IF(AND(A18,M22&gt;=N22),ROUND(P22/O22,2),L21)</f>
        <v>n.e.</v>
      </c>
      <c r="P24" s="1472"/>
      <c r="Q24" s="668"/>
      <c r="R24" s="669"/>
      <c r="S24" s="669"/>
      <c r="T24" s="670"/>
      <c r="U24" s="670"/>
      <c r="V24" s="960"/>
      <c r="W24" s="960"/>
      <c r="X24" s="960"/>
      <c r="Y24" s="960"/>
      <c r="Z24" s="960"/>
      <c r="AA24" s="183" t="s">
        <v>68</v>
      </c>
      <c r="AB24" s="1471" t="str">
        <f>IF(AND(A18,Z22&gt;=AA22),ROUND(AC22/AB22,2),Y21)</f>
        <v>n.e.</v>
      </c>
      <c r="AC24" s="1472"/>
      <c r="AD24" s="666"/>
      <c r="AE24" s="666"/>
      <c r="AF24" s="666"/>
      <c r="AG24" s="666"/>
      <c r="AK24" s="668"/>
      <c r="AL24" s="669"/>
      <c r="AM24" s="669"/>
      <c r="AN24" s="670"/>
      <c r="AO24" s="670"/>
      <c r="AP24" s="670"/>
      <c r="AQ24" s="671"/>
      <c r="AR24" s="671"/>
      <c r="AS24" s="669"/>
      <c r="AT24" s="669"/>
      <c r="AU24" s="672"/>
      <c r="AV24" s="673"/>
      <c r="AW24" s="673"/>
      <c r="AX24" s="673"/>
      <c r="AY24" s="673"/>
      <c r="AZ24" s="673"/>
      <c r="BA24" s="673"/>
      <c r="BB24" s="673"/>
      <c r="BC24" s="673"/>
      <c r="BD24" s="673"/>
      <c r="BE24" s="675"/>
      <c r="BF24" s="675"/>
      <c r="BG24" s="675"/>
      <c r="BH24" s="675"/>
      <c r="BI24" s="674"/>
      <c r="BJ24" s="675"/>
    </row>
    <row r="25" spans="1:62" s="667" customFormat="1" ht="15" customHeight="1">
      <c r="A25" s="663"/>
      <c r="B25" s="664"/>
      <c r="C25" s="665"/>
      <c r="D25" s="960"/>
      <c r="E25" s="960"/>
      <c r="F25" s="960"/>
      <c r="G25" s="960"/>
      <c r="H25" s="960"/>
      <c r="I25" s="960"/>
      <c r="J25" s="960"/>
      <c r="K25" s="676"/>
      <c r="L25" s="676"/>
      <c r="M25" s="676"/>
      <c r="N25" s="676"/>
      <c r="O25" s="676"/>
      <c r="P25" s="670"/>
      <c r="Q25" s="668"/>
      <c r="R25" s="669"/>
      <c r="S25" s="669"/>
      <c r="T25" s="670"/>
      <c r="U25" s="670"/>
      <c r="V25" s="960"/>
      <c r="W25" s="960"/>
      <c r="X25" s="960"/>
      <c r="Y25" s="960"/>
      <c r="Z25" s="960"/>
      <c r="AA25" s="960"/>
      <c r="AB25" s="960"/>
      <c r="AC25" s="676"/>
      <c r="AD25" s="666"/>
      <c r="AE25" s="666"/>
      <c r="AF25" s="666"/>
      <c r="AG25" s="666"/>
      <c r="AJ25" s="668"/>
      <c r="AK25" s="669"/>
      <c r="AL25" s="669"/>
      <c r="AM25" s="670"/>
      <c r="AN25" s="670"/>
      <c r="AO25" s="670"/>
      <c r="AP25" s="670"/>
      <c r="AQ25" s="671"/>
      <c r="AR25" s="671"/>
      <c r="AS25" s="669"/>
      <c r="AT25" s="669"/>
      <c r="AU25" s="672"/>
      <c r="AV25" s="673"/>
      <c r="AW25" s="673"/>
      <c r="AX25" s="673"/>
      <c r="AY25" s="673"/>
      <c r="AZ25" s="673"/>
      <c r="BA25" s="673"/>
      <c r="BB25" s="673"/>
      <c r="BC25" s="673"/>
      <c r="BD25" s="673"/>
      <c r="BE25" s="675"/>
      <c r="BF25" s="675"/>
      <c r="BG25" s="675"/>
      <c r="BH25" s="675"/>
      <c r="BI25" s="674"/>
      <c r="BJ25" s="675"/>
    </row>
    <row r="26" spans="1:62" ht="9.9499999999999993" customHeight="1">
      <c r="A26" s="634"/>
      <c r="B26" s="635"/>
      <c r="C26" s="276"/>
      <c r="D26" s="636"/>
      <c r="E26" s="637"/>
      <c r="F26" s="637"/>
      <c r="G26" s="637"/>
      <c r="H26" s="637"/>
      <c r="I26" s="637"/>
      <c r="J26" s="637"/>
      <c r="K26" s="638"/>
      <c r="L26" s="636"/>
      <c r="M26" s="637"/>
      <c r="N26" s="637"/>
      <c r="O26" s="639"/>
      <c r="P26" s="639"/>
      <c r="Q26" s="639"/>
      <c r="R26" s="639"/>
      <c r="S26" s="638"/>
      <c r="T26" s="638"/>
      <c r="U26" s="636"/>
      <c r="V26" s="638"/>
      <c r="W26" s="638"/>
      <c r="X26" s="638"/>
      <c r="Y26" s="638"/>
      <c r="Z26" s="638"/>
      <c r="AA26" s="638"/>
      <c r="AB26" s="638"/>
      <c r="AC26" s="638"/>
      <c r="AD26" s="640"/>
      <c r="AE26" s="640"/>
      <c r="AF26" s="640"/>
      <c r="AG26" s="640"/>
      <c r="AH26" s="640"/>
      <c r="AI26" s="640"/>
      <c r="AJ26" s="640"/>
      <c r="AK26" s="640"/>
      <c r="AL26" s="640"/>
      <c r="AM26" s="640"/>
      <c r="AN26" s="640"/>
      <c r="AO26" s="640"/>
      <c r="AP26" s="640"/>
      <c r="AQ26" s="640"/>
      <c r="AR26" s="640"/>
      <c r="AS26" s="641"/>
      <c r="AT26" s="640"/>
      <c r="AU26" s="640"/>
      <c r="AV26" s="640"/>
      <c r="AW26" s="640"/>
      <c r="AX26" s="640"/>
      <c r="AY26" s="640"/>
      <c r="AZ26" s="640"/>
      <c r="BA26" s="640"/>
      <c r="BB26" s="640"/>
      <c r="BC26" s="640"/>
      <c r="BD26" s="640"/>
      <c r="BE26" s="640"/>
      <c r="BF26" s="640"/>
      <c r="BG26" s="640"/>
      <c r="BH26" s="640"/>
      <c r="BI26" s="642"/>
      <c r="BJ26" s="16"/>
    </row>
    <row r="27" spans="1:62" ht="18">
      <c r="A27" s="970" t="b">
        <f>'Evaluation-Bewertung'!A27</f>
        <v>0</v>
      </c>
      <c r="B27" s="48"/>
      <c r="C27" s="223" t="s">
        <v>17</v>
      </c>
      <c r="D27" s="31"/>
      <c r="E27" s="172" t="str">
        <f>'Evaluation-Bewertung'!E27</f>
        <v>Series production</v>
      </c>
      <c r="F27" s="31"/>
      <c r="G27" s="31"/>
      <c r="H27" s="31"/>
      <c r="I27" s="31"/>
      <c r="J27" s="31"/>
      <c r="K27" s="31"/>
      <c r="L27" s="31"/>
      <c r="M27" s="31"/>
      <c r="N27" s="31"/>
      <c r="O27" s="36"/>
      <c r="P27" s="31"/>
      <c r="Q27" s="31"/>
      <c r="R27" s="31"/>
      <c r="S27" s="31"/>
      <c r="T27" s="31"/>
      <c r="U27" s="31"/>
      <c r="V27" s="15"/>
      <c r="W27" s="15"/>
      <c r="X27" s="15"/>
      <c r="Y27" s="15"/>
      <c r="Z27" s="15"/>
      <c r="AA27" s="15"/>
      <c r="AB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6"/>
      <c r="BF27" s="16"/>
      <c r="BG27" s="16"/>
      <c r="BH27" s="16"/>
      <c r="BI27" s="51"/>
      <c r="BJ27" s="16"/>
    </row>
    <row r="28" spans="1:62" ht="15" thickBot="1">
      <c r="A28" s="241" t="s">
        <v>228</v>
      </c>
      <c r="B28" s="48"/>
      <c r="C28" s="33"/>
      <c r="D28" s="31"/>
      <c r="E28" s="31"/>
      <c r="F28" s="31"/>
      <c r="G28" s="31"/>
      <c r="H28" s="31"/>
      <c r="I28" s="31"/>
      <c r="J28" s="31"/>
      <c r="K28" s="31"/>
      <c r="L28" s="390" t="s">
        <v>63</v>
      </c>
      <c r="M28" s="390" t="s">
        <v>111</v>
      </c>
      <c r="N28" s="390" t="s">
        <v>112</v>
      </c>
      <c r="O28" s="628" t="s">
        <v>204</v>
      </c>
      <c r="P28" s="628" t="s">
        <v>216</v>
      </c>
      <c r="Q28" s="390" t="s">
        <v>115</v>
      </c>
      <c r="R28" s="390" t="s">
        <v>116</v>
      </c>
      <c r="S28" s="643" t="str">
        <f>$K$7</f>
        <v>n.e.</v>
      </c>
      <c r="T28" s="643" t="str">
        <f>$L$7</f>
        <v>Act.</v>
      </c>
      <c r="U28" s="643" t="str">
        <f>$M$7</f>
        <v>Target</v>
      </c>
      <c r="V28" s="643" t="s">
        <v>260</v>
      </c>
      <c r="W28" s="643" t="s">
        <v>202</v>
      </c>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16"/>
      <c r="BF28" s="16"/>
      <c r="BG28" s="16"/>
      <c r="BH28" s="16"/>
      <c r="BI28" s="49"/>
      <c r="BJ28" s="34"/>
    </row>
    <row r="29" spans="1:62" ht="16.5" thickBot="1">
      <c r="A29" s="243" t="str">
        <f>IF(COUNT(L29:R29)=0,S28,IF(MIN(L29:R29)=0,"B","A"))</f>
        <v>n.e.</v>
      </c>
      <c r="B29" s="48"/>
      <c r="C29" s="71" t="s">
        <v>99</v>
      </c>
      <c r="D29" s="72" t="str">
        <f>'Questions - Fragen'!C61</f>
        <v xml:space="preserve">Supplier Management </v>
      </c>
      <c r="E29" s="31"/>
      <c r="F29" s="31"/>
      <c r="G29" s="31"/>
      <c r="H29" s="31"/>
      <c r="I29" s="31"/>
      <c r="J29" s="31"/>
      <c r="K29" s="31"/>
      <c r="L29" s="232" t="str">
        <f>IF($A$27=FALSE,$S$28,IF(ISBLANK('Questions - Fragen'!$D62),"--",'Questions - Fragen'!$D62))</f>
        <v>n.e.</v>
      </c>
      <c r="M29" s="232" t="str">
        <f>IF($A$27=FALSE,$S$28,IF(ISBLANK('Questions - Fragen'!$D63),"--",'Questions - Fragen'!$D63))</f>
        <v>n.e.</v>
      </c>
      <c r="N29" s="232" t="str">
        <f>IF($A$27=FALSE,$S$28,IF(ISBLANK('Questions - Fragen'!$D64),"--",'Questions - Fragen'!$D64))</f>
        <v>n.e.</v>
      </c>
      <c r="O29" s="633" t="str">
        <f>IF($A$27=FALSE,$S$28,IF(ISBLANK('Questions - Fragen'!$D65),"--",'Questions - Fragen'!$D65))</f>
        <v>n.e.</v>
      </c>
      <c r="P29" s="633" t="str">
        <f>IF($A$27=FALSE,$S$28,IF(ISBLANK('Questions - Fragen'!$D66),"--",'Questions - Fragen'!$D66))</f>
        <v>n.e.</v>
      </c>
      <c r="Q29" s="232" t="str">
        <f>IF($A$27=FALSE,$S$28,IF(ISBLANK('Questions - Fragen'!$D67),"--",'Questions - Fragen'!$D67))</f>
        <v>n.e.</v>
      </c>
      <c r="R29" s="232" t="str">
        <f>IF($A$27=FALSE,$S$28,IF(ISBLANK('Questions - Fragen'!$D68),"--",'Questions - Fragen'!$D68))</f>
        <v>n.e.</v>
      </c>
      <c r="S29" s="753">
        <f>COUNTIF(L29:R29,"&gt;-")</f>
        <v>7</v>
      </c>
      <c r="T29" s="753">
        <f>COUNT(L29:R29)</f>
        <v>0</v>
      </c>
      <c r="U29" s="753">
        <v>5</v>
      </c>
      <c r="V29" s="753" t="str">
        <f>IF(AND($A27,T29&gt;=U29),T29*10,"--")</f>
        <v>--</v>
      </c>
      <c r="W29" s="753" t="str">
        <f>IF(AND($A27,T29&gt;=U29),SUM(L29:R29),"--")</f>
        <v>--</v>
      </c>
      <c r="X29" s="31"/>
      <c r="Y29" s="31"/>
      <c r="Z29" s="31"/>
      <c r="AA29" s="31"/>
      <c r="AB29" s="31"/>
      <c r="AC29" s="31"/>
      <c r="AD29" s="31"/>
      <c r="AE29" s="31"/>
      <c r="AF29" s="31"/>
      <c r="AG29" s="31"/>
      <c r="AH29" s="31"/>
      <c r="AI29" s="31"/>
      <c r="AJ29" s="31"/>
      <c r="AK29" s="31"/>
      <c r="AL29" s="31"/>
      <c r="AM29" s="31"/>
      <c r="AN29" s="31"/>
      <c r="AO29" s="31"/>
      <c r="AP29" s="31"/>
      <c r="AQ29" s="1518" t="s">
        <v>302</v>
      </c>
      <c r="AR29" s="1519"/>
      <c r="AS29" s="1515" t="str">
        <f>IF(AND(A27,T29&gt;=U29),ROUND(W29/V29,2),S28)</f>
        <v>n.e.</v>
      </c>
      <c r="AT29" s="1516"/>
      <c r="AU29" s="16"/>
      <c r="AV29" s="184"/>
      <c r="AW29" s="184"/>
      <c r="AX29" s="184"/>
      <c r="AY29" s="184"/>
      <c r="AZ29" s="184"/>
      <c r="BA29" s="184"/>
      <c r="BB29" s="184"/>
      <c r="BC29" s="184"/>
      <c r="BD29" s="184"/>
      <c r="BE29" s="16"/>
      <c r="BF29" s="16"/>
      <c r="BG29" s="16"/>
      <c r="BH29" s="16"/>
      <c r="BI29" s="49"/>
      <c r="BJ29" s="34"/>
    </row>
    <row r="30" spans="1:62" ht="15">
      <c r="B30" s="48"/>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6"/>
      <c r="AJ30" s="36"/>
      <c r="AK30" s="36"/>
      <c r="AL30" s="36"/>
      <c r="AM30" s="31"/>
      <c r="AN30" s="31"/>
      <c r="AO30" s="31"/>
      <c r="AP30" s="31"/>
      <c r="AQ30" s="495"/>
      <c r="AR30" s="494"/>
      <c r="AS30" s="256"/>
      <c r="AT30" s="495"/>
      <c r="AU30" s="495"/>
      <c r="AV30" s="495"/>
      <c r="AW30" s="495"/>
      <c r="AX30" s="495"/>
      <c r="AY30" s="495"/>
      <c r="AZ30" s="495"/>
      <c r="BA30" s="495"/>
      <c r="BB30" s="495"/>
      <c r="BC30" s="495"/>
      <c r="BD30" s="495"/>
      <c r="BE30" s="16"/>
      <c r="BF30" s="16"/>
      <c r="BG30" s="16"/>
      <c r="BH30" s="16"/>
      <c r="BI30" s="52"/>
      <c r="BJ30" s="495"/>
    </row>
    <row r="31" spans="1:62" ht="15.75">
      <c r="A31" s="970" t="b">
        <f>'Evaluation-Bewertung'!A31</f>
        <v>1</v>
      </c>
      <c r="B31" s="48"/>
      <c r="C31" s="71" t="s">
        <v>100</v>
      </c>
      <c r="D31" s="72" t="str">
        <f>'Questions - Fragen'!C69</f>
        <v xml:space="preserve">Process analysis /
production </v>
      </c>
      <c r="E31" s="36"/>
      <c r="F31" s="36"/>
      <c r="G31" s="36"/>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166"/>
      <c r="AR31" s="15"/>
      <c r="AS31" s="36"/>
      <c r="AT31" s="36"/>
      <c r="AU31" s="36"/>
      <c r="AV31" s="36"/>
      <c r="AW31" s="36"/>
      <c r="AX31" s="36"/>
      <c r="AY31" s="36"/>
      <c r="AZ31" s="36"/>
      <c r="BA31" s="36"/>
      <c r="BB31" s="36"/>
      <c r="BC31" s="36"/>
      <c r="BD31" s="36"/>
      <c r="BE31" s="16"/>
      <c r="BF31" s="16"/>
      <c r="BG31" s="16"/>
      <c r="BH31" s="16"/>
      <c r="BI31" s="188"/>
      <c r="BJ31" s="36"/>
    </row>
    <row r="32" spans="1:62" ht="15">
      <c r="B32" s="48"/>
      <c r="C32" s="33"/>
      <c r="D32" s="31"/>
      <c r="E32" s="31"/>
      <c r="F32" s="31"/>
      <c r="G32" s="31"/>
      <c r="H32" s="31"/>
      <c r="I32" s="31"/>
      <c r="J32" s="31"/>
      <c r="K32" s="31"/>
      <c r="L32" s="31"/>
      <c r="M32" s="31"/>
      <c r="N32" s="31"/>
      <c r="O32" s="36"/>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16"/>
      <c r="BF32" s="16"/>
      <c r="BG32" s="16"/>
      <c r="BH32" s="16"/>
      <c r="BI32" s="49"/>
      <c r="BJ32" s="34"/>
    </row>
    <row r="33" spans="1:62" ht="30" customHeight="1">
      <c r="B33" s="48"/>
      <c r="C33" s="15"/>
      <c r="D33" s="40" t="str">
        <f>'Evaluation-Bewertung'!D33</f>
        <v>1. Process input</v>
      </c>
      <c r="E33" s="189"/>
      <c r="F33" s="189"/>
      <c r="G33" s="189"/>
      <c r="H33" s="189"/>
      <c r="I33" s="15"/>
      <c r="J33" s="1501" t="str">
        <f>'Evaluation-Bewertung'!J33</f>
        <v>2. Process Management</v>
      </c>
      <c r="K33" s="1501" t="e">
        <f>'Evaluation-Bewertung'!K33</f>
        <v>#N/A</v>
      </c>
      <c r="L33" s="1501" t="e">
        <f>'Evaluation-Bewertung'!L33</f>
        <v>#N/A</v>
      </c>
      <c r="M33" s="1501" t="e">
        <f>'Evaluation-Bewertung'!M33</f>
        <v>#N/A</v>
      </c>
      <c r="N33" s="1501" t="e">
        <f>'Evaluation-Bewertung'!N33</f>
        <v>#N/A</v>
      </c>
      <c r="O33" s="1501" t="e">
        <f>'Evaluation-Bewertung'!O33</f>
        <v>#N/A</v>
      </c>
      <c r="P33" s="1501" t="str">
        <f>'Evaluation-Bewertung'!P33</f>
        <v>3. Process support</v>
      </c>
      <c r="Q33" s="1501" t="e">
        <f>'Evaluation-Bewertung'!Q33</f>
        <v>#N/A</v>
      </c>
      <c r="R33" s="1501" t="e">
        <f>'Evaluation-Bewertung'!R33</f>
        <v>#N/A</v>
      </c>
      <c r="S33" s="189"/>
      <c r="T33" s="1502" t="str">
        <f>'Evaluation-Bewertung'!T33</f>
        <v>4. Material resources</v>
      </c>
      <c r="U33" s="1502" t="e">
        <f>'Evaluation-Bewertung'!U33</f>
        <v>#N/A</v>
      </c>
      <c r="V33" s="1502" t="e">
        <f>'Evaluation-Bewertung'!V33</f>
        <v>#N/A</v>
      </c>
      <c r="W33" s="1502" t="e">
        <f>'Evaluation-Bewertung'!W33</f>
        <v>#N/A</v>
      </c>
      <c r="X33" s="1502" t="e">
        <f>'Evaluation-Bewertung'!X33</f>
        <v>#N/A</v>
      </c>
      <c r="Z33" s="1502" t="str">
        <f>'Evaluation-Bewertung'!Z33</f>
        <v>5. Effectiveness of the process</v>
      </c>
      <c r="AA33" s="1502" t="e">
        <f>'Evaluation-Bewertung'!AA33</f>
        <v>#N/A</v>
      </c>
      <c r="AB33" s="1502" t="e">
        <f>'Evaluation-Bewertung'!AB33</f>
        <v>#N/A</v>
      </c>
      <c r="AC33" s="1502" t="e">
        <f>'Evaluation-Bewertung'!AC33</f>
        <v>#N/A</v>
      </c>
      <c r="AD33" s="189"/>
      <c r="AE33" s="1502" t="str">
        <f>'Evaluation-Bewertung'!AE33</f>
        <v>6. Process result / Output</v>
      </c>
      <c r="AF33" s="1502" t="e">
        <f>'Evaluation-Bewertung'!AF33</f>
        <v>#N/A</v>
      </c>
      <c r="AG33" s="1502" t="e">
        <f>'Evaluation-Bewertung'!AG33</f>
        <v>#N/A</v>
      </c>
      <c r="AH33" s="1502" t="e">
        <f>'Evaluation-Bewertung'!AH33</f>
        <v>#N/A</v>
      </c>
      <c r="AI33" s="189"/>
      <c r="AJ33" s="189"/>
      <c r="AK33" s="189"/>
      <c r="AL33" s="189"/>
      <c r="AM33" s="15"/>
      <c r="AN33" s="15"/>
      <c r="AO33" s="15"/>
      <c r="AP33" s="15"/>
      <c r="AQ33" s="1586" t="str">
        <f>'Evaluation-Bewertung'!AQ33</f>
        <v>Level of compliance process step</v>
      </c>
      <c r="AR33" s="1586" t="e">
        <f>'Evaluation-Bewertung'!AR33</f>
        <v>#N/A</v>
      </c>
      <c r="AS33" s="1586" t="e">
        <f>'Evaluation-Bewertung'!AS33</f>
        <v>#N/A</v>
      </c>
      <c r="AT33" s="1586" t="e">
        <f>'Evaluation-Bewertung'!AT33</f>
        <v>#N/A</v>
      </c>
      <c r="AU33" s="189"/>
      <c r="AX33" s="190" t="str">
        <f>'Evaluation-Bewertung'!AX33</f>
        <v>7. Transport and handling of parts</v>
      </c>
      <c r="AY33" s="189"/>
      <c r="AZ33" s="189"/>
      <c r="BA33" s="189"/>
      <c r="BB33" s="189"/>
      <c r="BC33" s="189"/>
      <c r="BD33" s="189"/>
      <c r="BE33" s="189"/>
      <c r="BF33" s="16"/>
      <c r="BG33" s="16"/>
      <c r="BH33" s="16"/>
      <c r="BI33" s="191"/>
      <c r="BJ33" s="41"/>
    </row>
    <row r="34" spans="1:62">
      <c r="B34" s="48"/>
      <c r="C34" s="29"/>
      <c r="D34" s="339" t="s">
        <v>117</v>
      </c>
      <c r="E34" s="340" t="s">
        <v>48</v>
      </c>
      <c r="F34" s="339" t="s">
        <v>34</v>
      </c>
      <c r="G34" s="339" t="s">
        <v>35</v>
      </c>
      <c r="H34" s="629" t="s">
        <v>209</v>
      </c>
      <c r="I34" s="341"/>
      <c r="J34" s="339" t="s">
        <v>119</v>
      </c>
      <c r="K34" s="340" t="s">
        <v>0</v>
      </c>
      <c r="L34" s="629" t="s">
        <v>57</v>
      </c>
      <c r="M34" s="629" t="s">
        <v>58</v>
      </c>
      <c r="N34" s="339" t="s">
        <v>37</v>
      </c>
      <c r="O34" s="16"/>
      <c r="P34" s="629" t="s">
        <v>304</v>
      </c>
      <c r="Q34" s="339" t="s">
        <v>4</v>
      </c>
      <c r="R34" s="339" t="s">
        <v>39</v>
      </c>
      <c r="S34" s="340"/>
      <c r="T34" s="629" t="s">
        <v>211</v>
      </c>
      <c r="U34" s="339" t="s">
        <v>121</v>
      </c>
      <c r="V34" s="629" t="s">
        <v>212</v>
      </c>
      <c r="W34" s="339" t="s">
        <v>42</v>
      </c>
      <c r="X34" s="339" t="s">
        <v>213</v>
      </c>
      <c r="Z34" s="339" t="s">
        <v>43</v>
      </c>
      <c r="AA34" s="339" t="s">
        <v>44</v>
      </c>
      <c r="AB34" s="629" t="s">
        <v>436</v>
      </c>
      <c r="AC34" s="339" t="s">
        <v>124</v>
      </c>
      <c r="AD34" s="341"/>
      <c r="AE34" s="339" t="s">
        <v>126</v>
      </c>
      <c r="AF34" s="339" t="s">
        <v>45</v>
      </c>
      <c r="AG34" s="339" t="s">
        <v>46</v>
      </c>
      <c r="AH34" s="629" t="s">
        <v>214</v>
      </c>
      <c r="AI34" s="342"/>
      <c r="AJ34" s="342"/>
      <c r="AK34" s="342"/>
      <c r="AL34" s="342"/>
      <c r="AM34" s="342"/>
      <c r="AN34" s="342"/>
      <c r="AO34" s="342"/>
      <c r="AP34" s="342"/>
      <c r="AQ34" s="342"/>
      <c r="AR34" s="343"/>
      <c r="AS34" s="344"/>
      <c r="AT34" s="345"/>
      <c r="AU34" s="345"/>
      <c r="AX34" s="346" t="s">
        <v>48</v>
      </c>
      <c r="AY34" s="345" t="s">
        <v>34</v>
      </c>
      <c r="AZ34" s="345" t="s">
        <v>35</v>
      </c>
      <c r="BA34" s="345" t="s">
        <v>2</v>
      </c>
      <c r="BB34" s="345" t="s">
        <v>37</v>
      </c>
      <c r="BC34" s="345" t="s">
        <v>126</v>
      </c>
      <c r="BD34" s="345" t="s">
        <v>45</v>
      </c>
      <c r="BE34" s="345" t="s">
        <v>46</v>
      </c>
      <c r="BF34" s="16"/>
      <c r="BG34" s="16"/>
      <c r="BH34" s="16"/>
      <c r="BI34" s="53"/>
      <c r="BJ34" s="42"/>
    </row>
    <row r="35" spans="1:62" ht="15.75" thickBot="1">
      <c r="B35" s="48"/>
      <c r="C35" s="193"/>
      <c r="D35" s="185" t="s">
        <v>60</v>
      </c>
      <c r="E35" s="185"/>
      <c r="F35" s="175"/>
      <c r="G35" s="175"/>
      <c r="H35" s="630"/>
      <c r="I35" s="185" t="str">
        <f>PrSchr1</f>
        <v>Stage 1: Moldshop Process</v>
      </c>
      <c r="K35" s="175"/>
      <c r="L35" s="631"/>
      <c r="M35" s="631"/>
      <c r="N35" s="175"/>
      <c r="O35" s="16"/>
      <c r="P35" s="631"/>
      <c r="Q35" s="175"/>
      <c r="R35" s="175"/>
      <c r="S35" s="175"/>
      <c r="T35" s="631"/>
      <c r="U35" s="175"/>
      <c r="V35" s="631"/>
      <c r="W35" s="175"/>
      <c r="X35" s="175"/>
      <c r="Z35" s="175"/>
      <c r="AA35" s="175"/>
      <c r="AB35" s="631"/>
      <c r="AC35" s="175"/>
      <c r="AD35" s="175"/>
      <c r="AE35" s="175"/>
      <c r="AF35" s="175"/>
      <c r="AG35" s="175"/>
      <c r="AH35" s="631"/>
      <c r="AI35" s="643" t="str">
        <f>$K$7</f>
        <v>n.e.</v>
      </c>
      <c r="AJ35" s="643" t="str">
        <f>$L$7</f>
        <v>Act.</v>
      </c>
      <c r="AK35" s="643" t="str">
        <f>$M$7</f>
        <v>Target</v>
      </c>
      <c r="AL35" s="643" t="str">
        <f>N7</f>
        <v>Max.</v>
      </c>
      <c r="AM35" s="643" t="str">
        <f>O7</f>
        <v>Act.</v>
      </c>
      <c r="AN35" s="643"/>
      <c r="AO35" s="643"/>
      <c r="AP35" s="643"/>
      <c r="AQ35" s="30"/>
      <c r="AR35" s="40" t="s">
        <v>69</v>
      </c>
      <c r="AS35" s="171"/>
      <c r="AT35" s="165"/>
      <c r="AU35" s="165"/>
      <c r="AX35" s="165"/>
      <c r="AY35" s="165"/>
      <c r="AZ35" s="627"/>
      <c r="BA35" s="627"/>
      <c r="BB35" s="627"/>
      <c r="BC35" s="627"/>
      <c r="BD35" s="627"/>
      <c r="BE35" s="627"/>
      <c r="BF35" s="16"/>
      <c r="BG35" s="16"/>
      <c r="BH35" s="16"/>
      <c r="BI35" s="51"/>
      <c r="BJ35" s="16"/>
    </row>
    <row r="36" spans="1:62" ht="15.75" thickBot="1">
      <c r="A36" s="243" t="str">
        <f>IF(COUNT(D36:AH36)=0,"n.b.",IF(MIN(D36:H36,J36:O36,P36:R36,T36:X36,Z36:AC36,AE36:AH36)=0,"B","A"))</f>
        <v>n.b.</v>
      </c>
      <c r="B36" s="48"/>
      <c r="C36" s="194" t="str">
        <f>IF(AND('Evaluation-Bewertung'!$C$36="X",'Input Form - EingabeMaske'!E54="x"),"X","&lt;&gt;")</f>
        <v>&lt;&gt;</v>
      </c>
      <c r="D36" s="232" t="str">
        <f>IF($A$31=FALSE,$AI$35,IF($C36="X",IF(ISBLANK('Questions - Fragen'!$D72),"--",'Questions - Fragen'!$D72),"xx"))</f>
        <v>xx</v>
      </c>
      <c r="E36" s="232" t="str">
        <f>IF($A$31=FALSE,$AI$35,IF($C36="X",IF(ISBLANK('Questions - Fragen'!$D83),"--",'Questions - Fragen'!$D83),"xx"))</f>
        <v>xx</v>
      </c>
      <c r="F36" s="232" t="str">
        <f>IF($A$31=FALSE,$AI$35,IF($C36="X",IF(ISBLANK('Questions - Fragen'!$D94),"--",'Questions - Fragen'!$D94),"xx"))</f>
        <v>xx</v>
      </c>
      <c r="G36" s="232" t="str">
        <f>IF($A$31=FALSE,$AI$35,IF($C36="X",IF(ISBLANK('Questions - Fragen'!$D105),"--",'Questions - Fragen'!$D105),"xx"))</f>
        <v>xx</v>
      </c>
      <c r="H36" s="633" t="str">
        <f>IF($A$31=FALSE,$AI$35,IF($C36="X",IF(ISBLANK('Questions - Fragen'!$D116),"--",'Questions - Fragen'!$D116),"xx"))</f>
        <v>xx</v>
      </c>
      <c r="I36" s="226"/>
      <c r="J36" s="232" t="str">
        <f>IF($A$31=FALSE,$AI$35,IF($C36="X",IF(ISBLANK('Questions - Fragen'!$D128),"--",'Questions - Fragen'!$D128),"xx"))</f>
        <v>xx</v>
      </c>
      <c r="K36" s="232" t="str">
        <f>IF($A$31=FALSE,$AI$35,IF($C36="X",IF(ISBLANK('Questions - Fragen'!$D139),"--",'Questions - Fragen'!$D139),"xx"))</f>
        <v>xx</v>
      </c>
      <c r="L36" s="633" t="str">
        <f>IF($A$31=FALSE,$AI$35,IF($C36="X",IF(ISBLANK('Questions - Fragen'!$D150),"--",'Questions - Fragen'!$D150),"xx"))</f>
        <v>xx</v>
      </c>
      <c r="M36" s="633" t="str">
        <f>IF($A$31=FALSE,$AI$35,IF($C36="X",IF(ISBLANK('Questions - Fragen'!$D161),"--",'Questions - Fragen'!$D161),"xx"))</f>
        <v>xx</v>
      </c>
      <c r="N36" s="232" t="str">
        <f>IF($A$31=FALSE,$AI$35,IF($C36="X",IF(ISBLANK('Questions - Fragen'!$D172),"--",'Questions - Fragen'!$D172),"xx"))</f>
        <v>xx</v>
      </c>
      <c r="O36" s="16"/>
      <c r="P36" s="633" t="str">
        <f>IF($A$31=FALSE,$AI$35,IF($C36="X",IF(ISBLANK('Questions - Fragen'!$D184),"--",'Questions - Fragen'!$D184),"xx"))</f>
        <v>xx</v>
      </c>
      <c r="Q36" s="232" t="str">
        <f>IF($A$31=FALSE,$AI$35,IF($C36="X",IF(ISBLANK('Questions - Fragen'!$D195),"--",'Questions - Fragen'!$D195),"xx"))</f>
        <v>xx</v>
      </c>
      <c r="R36" s="232" t="str">
        <f>IF($A$31=FALSE,$AI$35,IF($C36="X",IF(ISBLANK('Questions - Fragen'!$D206),"--",'Questions - Fragen'!$D206),"xx"))</f>
        <v>xx</v>
      </c>
      <c r="S36" s="226"/>
      <c r="T36" s="633" t="str">
        <f>IF($A$31=FALSE,$AI$35,IF($C36="X",IF(ISBLANK('Questions - Fragen'!$D218),"--",'Questions - Fragen'!$D218),"xx"))</f>
        <v>xx</v>
      </c>
      <c r="U36" s="232" t="str">
        <f>IF($A$31=FALSE,$AI$35,IF($C36="X",IF(ISBLANK('Questions - Fragen'!$D229),"--",'Questions - Fragen'!$D229),"xx"))</f>
        <v>xx</v>
      </c>
      <c r="V36" s="633" t="str">
        <f>IF($A$31=FALSE,$AI$35,IF($C36="X",IF(ISBLANK('Questions - Fragen'!$D240),"--",'Questions - Fragen'!$D240),"xx"))</f>
        <v>xx</v>
      </c>
      <c r="W36" s="232" t="str">
        <f>IF($A$31=FALSE,$AI$35,IF($C36="X",IF(ISBLANK('Questions - Fragen'!$D251),"--",'Questions - Fragen'!$D251),"xx"))</f>
        <v>xx</v>
      </c>
      <c r="X36" s="232" t="str">
        <f>IF($A$31=FALSE,$AI$35,IF($C36="X",IF(ISBLANK('Questions - Fragen'!$D262),"--",'Questions - Fragen'!$D262),"xx"))</f>
        <v>xx</v>
      </c>
      <c r="Z36" s="232" t="str">
        <f>IF($A$31=FALSE,$AI$35,IF($C36="X",IF(ISBLANK('Questions - Fragen'!$D274),"--",'Questions - Fragen'!$D274),"xx"))</f>
        <v>xx</v>
      </c>
      <c r="AA36" s="232" t="str">
        <f>IF($A$31=FALSE,$AI$35,IF($C36="X",IF(ISBLANK('Questions - Fragen'!$D285),"--",'Questions - Fragen'!$D285),"xx"))</f>
        <v>xx</v>
      </c>
      <c r="AB36" s="633" t="str">
        <f>IF($A$31=FALSE,$AI$35,IF($C36="X",IF(ISBLANK('Questions - Fragen'!$D296),"--",'Questions - Fragen'!$D296),"xx"))</f>
        <v>xx</v>
      </c>
      <c r="AC36" s="232" t="str">
        <f>IF($A$31=FALSE,$AI$35,IF($C36="X",IF(ISBLANK('Questions - Fragen'!$D307),"--",'Questions - Fragen'!$D307),"xx"))</f>
        <v>xx</v>
      </c>
      <c r="AD36" s="226"/>
      <c r="AE36" s="232" t="str">
        <f>IF($A$31=FALSE,$AI$35,IF($C36="X",IF(ISBLANK('Questions - Fragen'!$D319),"--",'Questions - Fragen'!$D319),"xx"))</f>
        <v>xx</v>
      </c>
      <c r="AF36" s="232" t="str">
        <f>IF($A$31=FALSE,$AI$35,IF($C36="X",IF(ISBLANK('Questions - Fragen'!$D330),"--",'Questions - Fragen'!$D330),"xx"))</f>
        <v>xx</v>
      </c>
      <c r="AG36" s="232" t="str">
        <f>IF($A$31=FALSE,$AI$35,IF($C36="X",IF(ISBLANK('Questions - Fragen'!$D341),"--",'Questions - Fragen'!$D341),"xx"))</f>
        <v>xx</v>
      </c>
      <c r="AH36" s="633" t="str">
        <f>IF($A$31=FALSE,$AI$35,IF($C36="X",IF(ISBLANK('Questions - Fragen'!$D352),"--",'Questions - Fragen'!$D352),"xx"))</f>
        <v>xx</v>
      </c>
      <c r="AI36" s="753">
        <f>COUNTIF(D36:AH36,"&gt;-")</f>
        <v>26</v>
      </c>
      <c r="AJ36" s="753">
        <f>COUNT(D36:AH36)</f>
        <v>0</v>
      </c>
      <c r="AK36" s="753">
        <v>17</v>
      </c>
      <c r="AL36" s="753" t="str">
        <f>IF(AND($A$31,AJ36&gt;=AK36),AJ36*10,"--")</f>
        <v>--</v>
      </c>
      <c r="AM36" s="753" t="str">
        <f>IF(AND($A$31,AJ36&gt;=AK36),SUM(D36:AH36),"--")</f>
        <v>--</v>
      </c>
      <c r="AN36" s="643"/>
      <c r="AO36" s="643"/>
      <c r="AP36" s="643"/>
      <c r="AQ36" s="39"/>
      <c r="AR36" s="43"/>
      <c r="AS36" s="1469" t="str">
        <f>IF($A$31=FALSE,$AI$35,IF(C36="&lt;&gt;","xx",IF(AJ36&lt;AK36,$AI$35,ROUND(AM36/AL36,2))))</f>
        <v>xx</v>
      </c>
      <c r="AT36" s="1470"/>
      <c r="AU36" s="16"/>
      <c r="AX36" s="784" t="str">
        <f>E36</f>
        <v>xx</v>
      </c>
      <c r="AY36" s="784" t="str">
        <f>F36</f>
        <v>xx</v>
      </c>
      <c r="AZ36" s="784" t="str">
        <f>G36</f>
        <v>xx</v>
      </c>
      <c r="BA36" s="784" t="str">
        <f>M36</f>
        <v>xx</v>
      </c>
      <c r="BB36" s="784" t="str">
        <f>N36</f>
        <v>xx</v>
      </c>
      <c r="BC36" s="784" t="str">
        <f>AE36</f>
        <v>xx</v>
      </c>
      <c r="BD36" s="784" t="str">
        <f>AF36</f>
        <v>xx</v>
      </c>
      <c r="BE36" s="784" t="str">
        <f>AG36</f>
        <v>xx</v>
      </c>
      <c r="BF36" s="15"/>
      <c r="BG36" s="16"/>
      <c r="BH36" s="16"/>
      <c r="BI36" s="51"/>
      <c r="BJ36" s="74"/>
    </row>
    <row r="37" spans="1:62" ht="15.75" thickBot="1">
      <c r="B37" s="48"/>
      <c r="C37" s="193"/>
      <c r="D37" s="185" t="s">
        <v>61</v>
      </c>
      <c r="E37" s="185"/>
      <c r="F37" s="176"/>
      <c r="G37" s="176"/>
      <c r="H37" s="630"/>
      <c r="I37" s="185" t="str">
        <f>PrSchr2</f>
        <v>Stage 2:</v>
      </c>
      <c r="K37" s="176"/>
      <c r="L37" s="632"/>
      <c r="M37" s="632"/>
      <c r="N37" s="176"/>
      <c r="O37" s="16"/>
      <c r="P37" s="632"/>
      <c r="Q37" s="176"/>
      <c r="R37" s="176"/>
      <c r="S37" s="176"/>
      <c r="T37" s="632"/>
      <c r="U37" s="176"/>
      <c r="V37" s="632"/>
      <c r="W37" s="176"/>
      <c r="X37" s="176"/>
      <c r="Z37" s="176"/>
      <c r="AA37" s="176"/>
      <c r="AB37" s="632"/>
      <c r="AC37" s="176"/>
      <c r="AD37" s="176"/>
      <c r="AE37" s="176"/>
      <c r="AF37" s="176"/>
      <c r="AG37" s="176"/>
      <c r="AH37" s="632"/>
      <c r="AI37" s="176"/>
      <c r="AJ37" s="176"/>
      <c r="AK37" s="176"/>
      <c r="AL37" s="16"/>
      <c r="AM37" s="31"/>
      <c r="AN37" s="643"/>
      <c r="AO37" s="643"/>
      <c r="AP37" s="643"/>
      <c r="AQ37" s="31"/>
      <c r="AR37" s="40" t="s">
        <v>70</v>
      </c>
      <c r="AS37" s="400"/>
      <c r="AT37" s="401"/>
      <c r="AU37" s="495"/>
      <c r="AX37" s="672"/>
      <c r="AY37" s="672"/>
      <c r="AZ37" s="672"/>
      <c r="BA37" s="672"/>
      <c r="BB37" s="672"/>
      <c r="BC37" s="672"/>
      <c r="BD37" s="672"/>
      <c r="BE37" s="672"/>
      <c r="BF37" s="15"/>
      <c r="BG37" s="16"/>
      <c r="BH37" s="16"/>
      <c r="BI37" s="51"/>
      <c r="BJ37" s="74"/>
    </row>
    <row r="38" spans="1:62" ht="15.75" thickBot="1">
      <c r="A38" s="243" t="str">
        <f>IF(COUNT(D38:AH38)=0,"n.b.",IF(MIN(D38:H38,J38:O38,P38:R38,T38:X38,Z38:AC38,AE38:AH38)=0,"B","A"))</f>
        <v>n.b.</v>
      </c>
      <c r="B38" s="48"/>
      <c r="C38" s="194" t="str">
        <f>IF(AND('Evaluation-Bewertung'!$C$38="X",'Input Form - EingabeMaske'!E55="x"),"X","&lt;&gt;")</f>
        <v>&lt;&gt;</v>
      </c>
      <c r="D38" s="232" t="str">
        <f>IF($A$31=FALSE,$AI$35,IF($C38="X",IF(ISBLANK('Questions - Fragen'!$D73),"--",'Questions - Fragen'!$D73),"xx"))</f>
        <v>xx</v>
      </c>
      <c r="E38" s="232" t="str">
        <f>IF($A$31=FALSE,$AI$35,IF($C38="X",IF(ISBLANK('Questions - Fragen'!$D84),"--",'Questions - Fragen'!$D84),"xx"))</f>
        <v>xx</v>
      </c>
      <c r="F38" s="232" t="str">
        <f>IF($A$31=FALSE,$AI$35,IF($C38="X",IF(ISBLANK('Questions - Fragen'!$D95),"--",'Questions - Fragen'!$D95),"xx"))</f>
        <v>xx</v>
      </c>
      <c r="G38" s="232" t="str">
        <f>IF($A$31=FALSE,$AI$35,IF($C38="X",IF(ISBLANK('Questions - Fragen'!$D106),"--",'Questions - Fragen'!$D106),"xx"))</f>
        <v>xx</v>
      </c>
      <c r="H38" s="633" t="str">
        <f>IF($A$31=FALSE,$AI$35,IF($C38="X",IF(ISBLANK('Questions - Fragen'!$D117),"--",'Questions - Fragen'!$D117),"xx"))</f>
        <v>xx</v>
      </c>
      <c r="I38" s="226"/>
      <c r="J38" s="232" t="str">
        <f>IF($A$31=FALSE,$AI$35,IF($C38="X",IF(ISBLANK('Questions - Fragen'!$D129),"--",'Questions - Fragen'!$D129),"xx"))</f>
        <v>xx</v>
      </c>
      <c r="K38" s="232" t="str">
        <f>IF($A$31=FALSE,$AI$35,IF($C38="X",IF(ISBLANK('Questions - Fragen'!$D140),"--",'Questions - Fragen'!$D140),"xx"))</f>
        <v>xx</v>
      </c>
      <c r="L38" s="633" t="str">
        <f>IF($A$31=FALSE,$AI$35,IF($C38="X",IF(ISBLANK('Questions - Fragen'!$D151),"--",'Questions - Fragen'!$D151),"xx"))</f>
        <v>xx</v>
      </c>
      <c r="M38" s="633" t="str">
        <f>IF($A$31=FALSE,$AI$35,IF($C38="X",IF(ISBLANK('Questions - Fragen'!$D162),"--",'Questions - Fragen'!$D162),"xx"))</f>
        <v>xx</v>
      </c>
      <c r="N38" s="232" t="str">
        <f>IF($A$31=FALSE,$AI$35,IF($C38="X",IF(ISBLANK('Questions - Fragen'!$D173),"--",'Questions - Fragen'!$D173),"xx"))</f>
        <v>xx</v>
      </c>
      <c r="O38" s="16"/>
      <c r="P38" s="633" t="str">
        <f>IF($A$31=FALSE,$AI$35,IF($C38="X",IF(ISBLANK('Questions - Fragen'!$D185),"--",'Questions - Fragen'!$D185),"xx"))</f>
        <v>xx</v>
      </c>
      <c r="Q38" s="232" t="str">
        <f>IF($A$31=FALSE,$AI$35,IF($C38="X",IF(ISBLANK('Questions - Fragen'!$D196),"--",'Questions - Fragen'!$D196),"xx"))</f>
        <v>xx</v>
      </c>
      <c r="R38" s="232" t="str">
        <f>IF($A$31=FALSE,$AI$35,IF($C38="X",IF(ISBLANK('Questions - Fragen'!$D207),"--",'Questions - Fragen'!$D207),"xx"))</f>
        <v>xx</v>
      </c>
      <c r="S38" s="226"/>
      <c r="T38" s="633" t="str">
        <f>IF($A$31=FALSE,$AI$35,IF($C38="X",IF(ISBLANK('Questions - Fragen'!$D219),"--",'Questions - Fragen'!$D219),"xx"))</f>
        <v>xx</v>
      </c>
      <c r="U38" s="232" t="str">
        <f>IF($A$31=FALSE,$AI$35,IF($C38="X",IF(ISBLANK('Questions - Fragen'!$D230),"--",'Questions - Fragen'!$D230),"xx"))</f>
        <v>xx</v>
      </c>
      <c r="V38" s="633" t="str">
        <f>IF($A$31=FALSE,$AI$35,IF($C38="X",IF(ISBLANK('Questions - Fragen'!$D241),"--",'Questions - Fragen'!$D241),"xx"))</f>
        <v>xx</v>
      </c>
      <c r="W38" s="232" t="str">
        <f>IF($A$31=FALSE,$AI$35,IF($C38="X",IF(ISBLANK('Questions - Fragen'!$D252),"--",'Questions - Fragen'!$D252),"xx"))</f>
        <v>xx</v>
      </c>
      <c r="X38" s="232" t="str">
        <f>IF($A$31=FALSE,$AI$35,IF($C38="X",IF(ISBLANK('Questions - Fragen'!$D263),"--",'Questions - Fragen'!$D263),"xx"))</f>
        <v>xx</v>
      </c>
      <c r="Z38" s="232" t="str">
        <f>IF($A$31=FALSE,$AI$35,IF($C38="X",IF(ISBLANK('Questions - Fragen'!$D275),"--",'Questions - Fragen'!$D275),"xx"))</f>
        <v>xx</v>
      </c>
      <c r="AA38" s="232" t="str">
        <f>IF($A$31=FALSE,$AI$35,IF($C38="X",IF(ISBLANK('Questions - Fragen'!$D286),"--",'Questions - Fragen'!$D286),"xx"))</f>
        <v>xx</v>
      </c>
      <c r="AB38" s="633" t="str">
        <f>IF($A$31=FALSE,$AI$35,IF($C38="X",IF(ISBLANK('Questions - Fragen'!$D297),"--",'Questions - Fragen'!$D297),"xx"))</f>
        <v>xx</v>
      </c>
      <c r="AC38" s="232" t="str">
        <f>IF($A$31=FALSE,$AI$35,IF($C38="X",IF(ISBLANK('Questions - Fragen'!$D308),"--",'Questions - Fragen'!$D308),"xx"))</f>
        <v>xx</v>
      </c>
      <c r="AD38" s="226"/>
      <c r="AE38" s="232" t="str">
        <f>IF($A$31=FALSE,$AI$35,IF($C38="X",IF(ISBLANK('Questions - Fragen'!$D320),"--",'Questions - Fragen'!$D320),"xx"))</f>
        <v>xx</v>
      </c>
      <c r="AF38" s="232" t="str">
        <f>IF($A$31=FALSE,$AI$35,IF($C38="X",IF(ISBLANK('Questions - Fragen'!$D331),"--",'Questions - Fragen'!$D331),"xx"))</f>
        <v>xx</v>
      </c>
      <c r="AG38" s="232" t="str">
        <f>IF($A$31=FALSE,$AI$35,IF($C38="X",IF(ISBLANK('Questions - Fragen'!$D342),"--",'Questions - Fragen'!$D342),"xx"))</f>
        <v>xx</v>
      </c>
      <c r="AH38" s="633" t="str">
        <f>IF($A$31=FALSE,$AI$35,IF($C38="X",IF(ISBLANK('Questions - Fragen'!$D353),"--",'Questions - Fragen'!$D353),"xx"))</f>
        <v>xx</v>
      </c>
      <c r="AI38" s="753">
        <f t="shared" ref="AI38" si="2">COUNTIF(D38:AH38,"&gt;-")</f>
        <v>26</v>
      </c>
      <c r="AJ38" s="753">
        <f>COUNT(D38:AH38)</f>
        <v>0</v>
      </c>
      <c r="AK38" s="753">
        <v>17</v>
      </c>
      <c r="AL38" s="753" t="str">
        <f>IF(AND($A$31,AJ38&gt;=AK38),AJ38*10,"--")</f>
        <v>--</v>
      </c>
      <c r="AM38" s="753" t="str">
        <f>IF(AND($A$31,AJ38&gt;=AK38),SUM(D38:AH38),"--")</f>
        <v>--</v>
      </c>
      <c r="AN38" s="643"/>
      <c r="AO38" s="643"/>
      <c r="AP38" s="643"/>
      <c r="AQ38" s="39"/>
      <c r="AR38" s="43"/>
      <c r="AS38" s="1469" t="str">
        <f>IF($A$31=FALSE,$AI$35,IF(C38="&lt;&gt;","xx",IF(AJ38&lt;AK38,$AI$35,ROUND(AM38/AL38,2))))</f>
        <v>xx</v>
      </c>
      <c r="AT38" s="1470"/>
      <c r="AU38" s="16"/>
      <c r="AX38" s="784" t="str">
        <f>E38</f>
        <v>xx</v>
      </c>
      <c r="AY38" s="784" t="str">
        <f>F38</f>
        <v>xx</v>
      </c>
      <c r="AZ38" s="784" t="str">
        <f>G38</f>
        <v>xx</v>
      </c>
      <c r="BA38" s="784" t="str">
        <f t="shared" ref="BA38" si="3">M38</f>
        <v>xx</v>
      </c>
      <c r="BB38" s="784" t="str">
        <f>N38</f>
        <v>xx</v>
      </c>
      <c r="BC38" s="784" t="str">
        <f>AE38</f>
        <v>xx</v>
      </c>
      <c r="BD38" s="784" t="str">
        <f>AF38</f>
        <v>xx</v>
      </c>
      <c r="BE38" s="784" t="str">
        <f>AG38</f>
        <v>xx</v>
      </c>
      <c r="BF38" s="15"/>
      <c r="BG38" s="16"/>
      <c r="BH38" s="16"/>
      <c r="BI38" s="51"/>
      <c r="BJ38" s="74"/>
    </row>
    <row r="39" spans="1:62" ht="15.75" thickBot="1">
      <c r="B39" s="48"/>
      <c r="C39" s="193"/>
      <c r="D39" s="185" t="s">
        <v>62</v>
      </c>
      <c r="E39" s="185"/>
      <c r="F39" s="176"/>
      <c r="G39" s="176"/>
      <c r="H39" s="630"/>
      <c r="I39" s="185" t="str">
        <f>PrSchr3</f>
        <v>Stage 3</v>
      </c>
      <c r="K39" s="176"/>
      <c r="L39" s="632"/>
      <c r="M39" s="632"/>
      <c r="N39" s="176"/>
      <c r="O39" s="16"/>
      <c r="P39" s="632"/>
      <c r="Q39" s="176"/>
      <c r="R39" s="176"/>
      <c r="S39" s="176"/>
      <c r="T39" s="632"/>
      <c r="U39" s="176"/>
      <c r="V39" s="632"/>
      <c r="W39" s="176"/>
      <c r="X39" s="176"/>
      <c r="Z39" s="176"/>
      <c r="AA39" s="176"/>
      <c r="AB39" s="632"/>
      <c r="AC39" s="176"/>
      <c r="AD39" s="176"/>
      <c r="AE39" s="176"/>
      <c r="AF39" s="176"/>
      <c r="AG39" s="176"/>
      <c r="AH39" s="632"/>
      <c r="AI39" s="176"/>
      <c r="AJ39" s="176"/>
      <c r="AK39" s="176"/>
      <c r="AL39" s="16"/>
      <c r="AM39" s="31"/>
      <c r="AN39" s="643"/>
      <c r="AO39" s="643"/>
      <c r="AP39" s="643"/>
      <c r="AQ39" s="31"/>
      <c r="AR39" s="40" t="s">
        <v>71</v>
      </c>
      <c r="AS39" s="495"/>
      <c r="AT39" s="495"/>
      <c r="AU39" s="495"/>
      <c r="AX39" s="672"/>
      <c r="AY39" s="672"/>
      <c r="AZ39" s="672"/>
      <c r="BA39" s="672"/>
      <c r="BB39" s="672"/>
      <c r="BC39" s="672"/>
      <c r="BD39" s="672"/>
      <c r="BE39" s="672"/>
      <c r="BF39" s="15"/>
      <c r="BG39" s="16"/>
      <c r="BH39" s="16"/>
      <c r="BI39" s="51"/>
      <c r="BJ39" s="74"/>
    </row>
    <row r="40" spans="1:62" ht="15.75" thickBot="1">
      <c r="A40" s="243" t="str">
        <f>IF(COUNT(D40:AH40)=0,"n.b.",IF(MIN(D40:H40,J40:O40,P40:R40,T40:X40,Z40:AC40,AE40:AH40)=0,"B","A"))</f>
        <v>n.b.</v>
      </c>
      <c r="B40" s="48"/>
      <c r="C40" s="194" t="str">
        <f>IF(AND('Evaluation-Bewertung'!$C$40="X",'Input Form - EingabeMaske'!E56="x"),"X","&lt;&gt;")</f>
        <v>&lt;&gt;</v>
      </c>
      <c r="D40" s="232" t="str">
        <f>IF($A$31=FALSE,$AI$35,IF($C40="X",IF(ISBLANK('Questions - Fragen'!$D74),"--",'Questions - Fragen'!$D74),"xx"))</f>
        <v>xx</v>
      </c>
      <c r="E40" s="232" t="str">
        <f>IF($A$31=FALSE,$AI$35,IF($C40="X",IF(ISBLANK('Questions - Fragen'!$D85),"--",'Questions - Fragen'!$D85),"xx"))</f>
        <v>xx</v>
      </c>
      <c r="F40" s="232" t="str">
        <f>IF($A$31=FALSE,$AI$35,IF($C40="X",IF(ISBLANK('Questions - Fragen'!$D96),"--",'Questions - Fragen'!$D96),"xx"))</f>
        <v>xx</v>
      </c>
      <c r="G40" s="232" t="str">
        <f>IF($A$31=FALSE,$AI$35,IF($C40="X",IF(ISBLANK('Questions - Fragen'!$D107),"--",'Questions - Fragen'!$D107),"xx"))</f>
        <v>xx</v>
      </c>
      <c r="H40" s="633" t="str">
        <f>IF($A$31=FALSE,$AI$35,IF($C40="X",IF(ISBLANK('Questions - Fragen'!$D118),"--",'Questions - Fragen'!$D118),"xx"))</f>
        <v>xx</v>
      </c>
      <c r="I40" s="226"/>
      <c r="J40" s="232" t="str">
        <f>IF($A$31=FALSE,$AI$35,IF($C40="X",IF(ISBLANK('Questions - Fragen'!$D130),"--",'Questions - Fragen'!$D130),"xx"))</f>
        <v>xx</v>
      </c>
      <c r="K40" s="232" t="str">
        <f>IF($A$31=FALSE,$AI$35,IF($C40="X",IF(ISBLANK('Questions - Fragen'!$D141),"--",'Questions - Fragen'!$D141),"xx"))</f>
        <v>xx</v>
      </c>
      <c r="L40" s="633" t="str">
        <f>IF($A$31=FALSE,$AI$35,IF($C40="X",IF(ISBLANK('Questions - Fragen'!$D152),"--",'Questions - Fragen'!$D152),"xx"))</f>
        <v>xx</v>
      </c>
      <c r="M40" s="633" t="str">
        <f>IF($A$31=FALSE,$AI$35,IF($C40="X",IF(ISBLANK('Questions - Fragen'!$D163),"--",'Questions - Fragen'!$D163),"xx"))</f>
        <v>xx</v>
      </c>
      <c r="N40" s="232" t="str">
        <f>IF($A$31=FALSE,$AI$35,IF($C40="X",IF(ISBLANK('Questions - Fragen'!$D174),"--",'Questions - Fragen'!$D174),"xx"))</f>
        <v>xx</v>
      </c>
      <c r="O40" s="16"/>
      <c r="P40" s="633" t="str">
        <f>IF($A$31=FALSE,$AI$35,IF($C40="X",IF(ISBLANK('Questions - Fragen'!$D186),"--",'Questions - Fragen'!$D186),"xx"))</f>
        <v>xx</v>
      </c>
      <c r="Q40" s="232" t="str">
        <f>IF($A$31=FALSE,$AI$35,IF($C40="X",IF(ISBLANK('Questions - Fragen'!$D197),"--",'Questions - Fragen'!$D197),"xx"))</f>
        <v>xx</v>
      </c>
      <c r="R40" s="232" t="str">
        <f>IF($A$31=FALSE,$AI$35,IF($C40="X",IF(ISBLANK('Questions - Fragen'!$D208),"--",'Questions - Fragen'!$D208),"xx"))</f>
        <v>xx</v>
      </c>
      <c r="S40" s="226"/>
      <c r="T40" s="633" t="str">
        <f>IF($A$31=FALSE,$AI$35,IF($C40="X",IF(ISBLANK('Questions - Fragen'!$D220),"--",'Questions - Fragen'!$D220),"xx"))</f>
        <v>xx</v>
      </c>
      <c r="U40" s="232" t="str">
        <f>IF($A$31=FALSE,$AI$35,IF($C40="X",IF(ISBLANK('Questions - Fragen'!$D231),"--",'Questions - Fragen'!$D231),"xx"))</f>
        <v>xx</v>
      </c>
      <c r="V40" s="633" t="str">
        <f>IF($A$31=FALSE,$AI$35,IF($C40="X",IF(ISBLANK('Questions - Fragen'!$D242),"--",'Questions - Fragen'!$D242),"xx"))</f>
        <v>xx</v>
      </c>
      <c r="W40" s="232" t="str">
        <f>IF($A$31=FALSE,$AI$35,IF($C40="X",IF(ISBLANK('Questions - Fragen'!$D253),"--",'Questions - Fragen'!$D253),"xx"))</f>
        <v>xx</v>
      </c>
      <c r="X40" s="232" t="str">
        <f>IF($A$31=FALSE,$AI$35,IF($C40="X",IF(ISBLANK('Questions - Fragen'!$D264),"--",'Questions - Fragen'!$D264),"xx"))</f>
        <v>xx</v>
      </c>
      <c r="Z40" s="232" t="str">
        <f>IF($A$31=FALSE,$AI$35,IF($C40="X",IF(ISBLANK('Questions - Fragen'!$D276),"--",'Questions - Fragen'!$D276),"xx"))</f>
        <v>xx</v>
      </c>
      <c r="AA40" s="232" t="str">
        <f>IF($A$31=FALSE,$AI$35,IF($C40="X",IF(ISBLANK('Questions - Fragen'!$D287),"--",'Questions - Fragen'!$D287),"xx"))</f>
        <v>xx</v>
      </c>
      <c r="AB40" s="633" t="str">
        <f>IF($A$31=FALSE,$AI$35,IF($C40="X",IF(ISBLANK('Questions - Fragen'!$D298),"--",'Questions - Fragen'!$D298),"xx"))</f>
        <v>xx</v>
      </c>
      <c r="AC40" s="232" t="str">
        <f>IF($A$31=FALSE,$AI$35,IF($C40="X",IF(ISBLANK('Questions - Fragen'!$D309),"--",'Questions - Fragen'!$D309),"xx"))</f>
        <v>xx</v>
      </c>
      <c r="AD40" s="226"/>
      <c r="AE40" s="232" t="str">
        <f>IF($A$31=FALSE,$AI$35,IF($C40="X",IF(ISBLANK('Questions - Fragen'!$D321),"--",'Questions - Fragen'!$D321),"xx"))</f>
        <v>xx</v>
      </c>
      <c r="AF40" s="232" t="str">
        <f>IF($A$31=FALSE,$AI$35,IF($C40="X",IF(ISBLANK('Questions - Fragen'!$D332),"--",'Questions - Fragen'!$D332),"xx"))</f>
        <v>xx</v>
      </c>
      <c r="AG40" s="232" t="str">
        <f>IF($A$31=FALSE,$AI$35,IF($C40="X",IF(ISBLANK('Questions - Fragen'!$D343),"--",'Questions - Fragen'!$D343),"xx"))</f>
        <v>xx</v>
      </c>
      <c r="AH40" s="633" t="str">
        <f>IF($A$31=FALSE,$AI$35,IF($C40="X",IF(ISBLANK('Questions - Fragen'!$D354),"--",'Questions - Fragen'!$D354),"xx"))</f>
        <v>xx</v>
      </c>
      <c r="AI40" s="753">
        <f t="shared" ref="AI40" si="4">COUNTIF(D40:AH40,"&gt;-")</f>
        <v>26</v>
      </c>
      <c r="AJ40" s="753">
        <f>COUNT(D40:AH40)</f>
        <v>0</v>
      </c>
      <c r="AK40" s="753">
        <v>17</v>
      </c>
      <c r="AL40" s="753" t="str">
        <f>IF(AND($A$31,AJ40&gt;=AK40),AJ40*10,"--")</f>
        <v>--</v>
      </c>
      <c r="AM40" s="753" t="str">
        <f>IF(AND($A$31,AJ40&gt;=AK40),SUM(D40:AH40),"--")</f>
        <v>--</v>
      </c>
      <c r="AN40" s="643"/>
      <c r="AO40" s="643"/>
      <c r="AP40" s="643"/>
      <c r="AQ40" s="39"/>
      <c r="AR40" s="43"/>
      <c r="AS40" s="1469" t="str">
        <f>IF($A$31=FALSE,$AI$35,IF(C40="&lt;&gt;","xx",IF(AJ40&lt;AK40,$AI$35,ROUND(AM40/AL40,2))))</f>
        <v>xx</v>
      </c>
      <c r="AT40" s="1470"/>
      <c r="AU40" s="16"/>
      <c r="AX40" s="784" t="str">
        <f>E40</f>
        <v>xx</v>
      </c>
      <c r="AY40" s="784" t="str">
        <f>F40</f>
        <v>xx</v>
      </c>
      <c r="AZ40" s="784" t="str">
        <f>G40</f>
        <v>xx</v>
      </c>
      <c r="BA40" s="784" t="str">
        <f t="shared" ref="BA40" si="5">M40</f>
        <v>xx</v>
      </c>
      <c r="BB40" s="784" t="str">
        <f>N40</f>
        <v>xx</v>
      </c>
      <c r="BC40" s="784" t="str">
        <f>AE40</f>
        <v>xx</v>
      </c>
      <c r="BD40" s="784" t="str">
        <f>AF40</f>
        <v>xx</v>
      </c>
      <c r="BE40" s="784" t="str">
        <f>AG40</f>
        <v>xx</v>
      </c>
      <c r="BF40" s="15"/>
      <c r="BG40" s="16"/>
      <c r="BH40" s="16"/>
      <c r="BI40" s="51"/>
      <c r="BJ40" s="74"/>
    </row>
    <row r="41" spans="1:62" ht="15">
      <c r="A41" s="242" t="s">
        <v>223</v>
      </c>
      <c r="B41" s="48"/>
      <c r="C41" s="196"/>
      <c r="D41" s="187"/>
      <c r="E41" s="187"/>
      <c r="F41" s="187"/>
      <c r="G41" s="187"/>
      <c r="H41" s="187"/>
      <c r="I41" s="187"/>
      <c r="J41" s="187"/>
      <c r="K41" s="187"/>
      <c r="L41" s="187"/>
      <c r="M41" s="187"/>
      <c r="N41" s="187"/>
      <c r="O41" s="16"/>
      <c r="P41" s="187"/>
      <c r="Q41" s="187"/>
      <c r="R41" s="187"/>
      <c r="S41" s="187"/>
      <c r="T41" s="187"/>
      <c r="U41" s="187"/>
      <c r="V41" s="187"/>
      <c r="W41" s="187"/>
      <c r="X41" s="187"/>
      <c r="Z41" s="187"/>
      <c r="AA41" s="187"/>
      <c r="AB41" s="187"/>
      <c r="AC41" s="187"/>
      <c r="AD41" s="187"/>
      <c r="AE41" s="187"/>
      <c r="AF41" s="187"/>
      <c r="AG41" s="187"/>
      <c r="AH41" s="187"/>
      <c r="AI41" s="187"/>
      <c r="AJ41" s="187"/>
      <c r="AK41" s="187"/>
      <c r="AL41" s="187"/>
      <c r="AM41" s="39"/>
      <c r="AN41" s="643"/>
      <c r="AO41" s="643"/>
      <c r="AP41" s="643"/>
      <c r="AQ41" s="39"/>
      <c r="AR41" s="39"/>
      <c r="AS41" s="39"/>
      <c r="AT41" s="39"/>
      <c r="AU41" s="39"/>
      <c r="AX41" s="783"/>
      <c r="AY41" s="783"/>
      <c r="AZ41" s="783"/>
      <c r="BA41" s="783"/>
      <c r="BB41" s="783"/>
      <c r="BC41" s="783"/>
      <c r="BD41" s="783"/>
      <c r="BE41" s="783"/>
      <c r="BF41" s="15"/>
      <c r="BG41" s="16"/>
      <c r="BH41" s="16"/>
      <c r="BI41" s="51"/>
      <c r="BJ41" s="16"/>
    </row>
    <row r="42" spans="1:62" ht="15">
      <c r="A42" s="243" t="str">
        <f>IF(COUNTIF(A36:A40,"n.b.")=10,"n.b.",IF(COUNTIF(A36:A40,"C")&gt;=1,"C",IF(COUNTIF(A36:A40,"B")&gt;=1,"B","A")))</f>
        <v>A</v>
      </c>
      <c r="B42" s="48"/>
      <c r="C42" s="36"/>
      <c r="D42" s="197" t="str">
        <f>'Evaluation-Bewertung'!D56</f>
        <v>Results of the sub elements for process analysis (Average Levels 1 - n)</v>
      </c>
      <c r="E42" s="31"/>
      <c r="F42" s="31"/>
      <c r="G42" s="31"/>
      <c r="H42" s="31"/>
      <c r="I42" s="31"/>
      <c r="J42" s="31"/>
      <c r="K42" s="31"/>
      <c r="L42" s="31"/>
      <c r="M42" s="31"/>
      <c r="N42" s="31"/>
      <c r="O42" s="16"/>
      <c r="P42" s="31"/>
      <c r="Q42" s="176"/>
      <c r="R42" s="31"/>
      <c r="S42" s="31"/>
      <c r="T42" s="31"/>
      <c r="U42" s="31"/>
      <c r="V42" s="31"/>
      <c r="W42" s="31"/>
      <c r="X42" s="31"/>
      <c r="Z42" s="31"/>
      <c r="AA42" s="31"/>
      <c r="AB42" s="176"/>
      <c r="AC42" s="31"/>
      <c r="AD42" s="31"/>
      <c r="AE42" s="31"/>
      <c r="AF42" s="31"/>
      <c r="AG42" s="31"/>
      <c r="AH42" s="31"/>
      <c r="AI42" s="31"/>
      <c r="AJ42" s="31"/>
      <c r="AK42" s="31"/>
      <c r="AL42" s="31"/>
      <c r="AM42" s="31"/>
      <c r="AN42" s="643"/>
      <c r="AO42" s="643"/>
      <c r="AP42" s="643"/>
      <c r="AQ42" s="31"/>
      <c r="AR42" s="31"/>
      <c r="AS42" s="31"/>
      <c r="AT42" s="198">
        <f>+COUNTIF(AS36:AT40,$AI$35)</f>
        <v>0</v>
      </c>
      <c r="AU42" s="198"/>
      <c r="AX42" s="198"/>
      <c r="AY42" s="198"/>
      <c r="AZ42" s="198"/>
      <c r="BA42" s="198"/>
      <c r="BB42" s="198"/>
      <c r="BC42" s="198"/>
      <c r="BD42" s="198"/>
      <c r="BE42" s="198"/>
      <c r="BF42" s="16"/>
      <c r="BG42" s="16"/>
      <c r="BH42" s="16"/>
      <c r="BI42" s="49"/>
      <c r="BJ42" s="34"/>
    </row>
    <row r="43" spans="1:62" ht="15" thickBot="1">
      <c r="B43" s="48"/>
      <c r="C43" s="33"/>
      <c r="D43" s="31"/>
      <c r="E43" s="31"/>
      <c r="F43" s="31"/>
      <c r="G43" s="31"/>
      <c r="H43" s="31"/>
      <c r="I43" s="31"/>
      <c r="J43" s="31"/>
      <c r="K43" s="31"/>
      <c r="L43" s="31"/>
      <c r="M43" s="31"/>
      <c r="N43" s="31"/>
      <c r="O43" s="16"/>
      <c r="P43" s="31"/>
      <c r="Q43" s="176"/>
      <c r="R43" s="31"/>
      <c r="S43" s="31"/>
      <c r="T43" s="31"/>
      <c r="U43" s="15"/>
      <c r="V43" s="15"/>
      <c r="W43" s="15"/>
      <c r="X43" s="15"/>
      <c r="Z43" s="15"/>
      <c r="AA43" s="15"/>
      <c r="AB43" s="179"/>
      <c r="AC43" s="15"/>
      <c r="AD43" s="15"/>
      <c r="AE43" s="15"/>
      <c r="AF43" s="15"/>
      <c r="AG43" s="15"/>
      <c r="AH43" s="15"/>
      <c r="AI43" s="15"/>
      <c r="AJ43" s="15"/>
      <c r="AK43" s="15"/>
      <c r="AL43" s="15"/>
      <c r="AM43" s="15"/>
      <c r="AN43" s="643"/>
      <c r="AO43" s="643"/>
      <c r="AP43" s="643"/>
      <c r="AQ43" s="15"/>
      <c r="AR43" s="15"/>
      <c r="AS43" s="15"/>
      <c r="AT43" s="15"/>
      <c r="AU43" s="15"/>
      <c r="AX43" s="15"/>
      <c r="AY43" s="15"/>
      <c r="AZ43" s="15"/>
      <c r="BA43" s="15"/>
      <c r="BB43" s="15"/>
      <c r="BC43" s="15"/>
      <c r="BD43" s="15"/>
      <c r="BE43" s="15"/>
      <c r="BF43" s="16"/>
      <c r="BG43" s="16"/>
      <c r="BH43" s="16"/>
      <c r="BI43" s="51"/>
      <c r="BJ43" s="16"/>
    </row>
    <row r="44" spans="1:62" ht="15" thickBot="1">
      <c r="B44" s="48"/>
      <c r="C44" s="30"/>
      <c r="D44" s="755" t="str">
        <f>D34</f>
        <v>6.1.1</v>
      </c>
      <c r="E44" s="756" t="str">
        <f>E34</f>
        <v>6.1.2</v>
      </c>
      <c r="F44" s="757" t="str">
        <f>F34</f>
        <v>6.1.3</v>
      </c>
      <c r="G44" s="757" t="str">
        <f>G34</f>
        <v>6.1.4</v>
      </c>
      <c r="H44" s="758" t="str">
        <f>H34</f>
        <v>6.1.5*</v>
      </c>
      <c r="I44" s="341"/>
      <c r="J44" s="755" t="str">
        <f>J34</f>
        <v>6.2.1</v>
      </c>
      <c r="K44" s="756" t="str">
        <f>K34</f>
        <v>6.2.2</v>
      </c>
      <c r="L44" s="764" t="str">
        <f>L34</f>
        <v>6.2.3*</v>
      </c>
      <c r="M44" s="764" t="str">
        <f>M34</f>
        <v>6.2.4*</v>
      </c>
      <c r="N44" s="765" t="str">
        <f>N34</f>
        <v>6.2.5</v>
      </c>
      <c r="O44" s="961"/>
      <c r="P44" s="757" t="str">
        <f>P34</f>
        <v>6.3.1*</v>
      </c>
      <c r="Q44" s="757" t="str">
        <f>Q34</f>
        <v>6.3.2</v>
      </c>
      <c r="R44" s="765" t="str">
        <f>R34</f>
        <v>6.3.3</v>
      </c>
      <c r="S44" s="340"/>
      <c r="T44" s="771" t="str">
        <f>T34</f>
        <v>6.4.1*</v>
      </c>
      <c r="U44" s="757" t="str">
        <f>U34</f>
        <v>6.4.2</v>
      </c>
      <c r="V44" s="764" t="str">
        <f>V34</f>
        <v>6.4.3*</v>
      </c>
      <c r="W44" s="757" t="str">
        <f>W34</f>
        <v>6.4.4</v>
      </c>
      <c r="X44" s="765" t="str">
        <f>X34</f>
        <v>6.4.5</v>
      </c>
      <c r="Z44" s="755" t="str">
        <f>Z34</f>
        <v>6.5.1</v>
      </c>
      <c r="AA44" s="757" t="str">
        <f>AA34</f>
        <v>6.5.2</v>
      </c>
      <c r="AB44" s="764" t="str">
        <f>AB34</f>
        <v>6.5.3*</v>
      </c>
      <c r="AC44" s="765" t="str">
        <f>AC34</f>
        <v>6.5.4</v>
      </c>
      <c r="AD44" s="341"/>
      <c r="AE44" s="755" t="str">
        <f>AE34</f>
        <v>6.6.1</v>
      </c>
      <c r="AF44" s="757" t="str">
        <f>AF34</f>
        <v>6.6.2</v>
      </c>
      <c r="AG44" s="757" t="str">
        <f>AG34</f>
        <v>6.6.3</v>
      </c>
      <c r="AH44" s="758" t="str">
        <f>AH34</f>
        <v>6.6.4*</v>
      </c>
      <c r="AI44" s="643" t="str">
        <f>'Evaluation-Bewertung'!AI58</f>
        <v>n.e.</v>
      </c>
      <c r="AJ44" s="643" t="str">
        <f>'Evaluation-Bewertung'!AJ58</f>
        <v>Act.</v>
      </c>
      <c r="AK44" s="643" t="str">
        <f>'Evaluation-Bewertung'!AK58</f>
        <v>Target</v>
      </c>
      <c r="AL44" s="643" t="str">
        <f>'Evaluation-Bewertung'!AL58</f>
        <v>Max.</v>
      </c>
      <c r="AM44" s="643" t="str">
        <f>'Evaluation-Bewertung'!AM58</f>
        <v>Act.</v>
      </c>
      <c r="AN44" s="643"/>
      <c r="AO44" s="643"/>
      <c r="AP44" s="643"/>
      <c r="AQ44" s="30"/>
      <c r="AR44" s="15"/>
      <c r="AS44" s="15"/>
      <c r="AT44" s="15"/>
      <c r="AU44" s="15"/>
      <c r="AX44" s="774" t="str">
        <f t="shared" ref="AX44:BE44" si="6">AX34</f>
        <v>6.1.2</v>
      </c>
      <c r="AY44" s="775" t="str">
        <f t="shared" si="6"/>
        <v>6.1.3</v>
      </c>
      <c r="AZ44" s="775" t="str">
        <f t="shared" si="6"/>
        <v>6.1.4</v>
      </c>
      <c r="BA44" s="775" t="str">
        <f t="shared" si="6"/>
        <v>6.2.4</v>
      </c>
      <c r="BB44" s="775" t="str">
        <f t="shared" si="6"/>
        <v>6.2.5</v>
      </c>
      <c r="BC44" s="775" t="str">
        <f t="shared" si="6"/>
        <v>6.6.1</v>
      </c>
      <c r="BD44" s="775" t="str">
        <f t="shared" si="6"/>
        <v>6.6.2</v>
      </c>
      <c r="BE44" s="776" t="str">
        <f t="shared" si="6"/>
        <v>6.6.3</v>
      </c>
      <c r="BF44" s="16"/>
      <c r="BG44" s="16"/>
      <c r="BH44" s="16"/>
      <c r="BI44" s="51"/>
      <c r="BJ44" s="16"/>
    </row>
    <row r="45" spans="1:62" ht="15.75" thickBot="1">
      <c r="B45" s="48"/>
      <c r="C45" s="36"/>
      <c r="D45" s="677" t="str">
        <f>IF(ISERROR(AVERAGE(D36:D40)),$AI$35,ROUND(AVERAGE(D36:D40),2))</f>
        <v>n.e.</v>
      </c>
      <c r="E45" s="653" t="str">
        <f t="shared" ref="E45:H45" si="7">IF(ISERROR(AVERAGE(E36:E40)),$AI$35,ROUND(AVERAGE(E36:E40),2))</f>
        <v>n.e.</v>
      </c>
      <c r="F45" s="653" t="str">
        <f t="shared" si="7"/>
        <v>n.e.</v>
      </c>
      <c r="G45" s="653" t="str">
        <f t="shared" si="7"/>
        <v>n.e.</v>
      </c>
      <c r="H45" s="678" t="str">
        <f t="shared" si="7"/>
        <v>n.e.</v>
      </c>
      <c r="I45" s="227"/>
      <c r="J45" s="677" t="str">
        <f t="shared" ref="J45:N45" si="8">IF(ISERROR(AVERAGE(J36:J40)),$AI$35,ROUND(AVERAGE(J36:J40),2))</f>
        <v>n.e.</v>
      </c>
      <c r="K45" s="723" t="str">
        <f t="shared" si="8"/>
        <v>n.e.</v>
      </c>
      <c r="L45" s="679" t="str">
        <f t="shared" si="8"/>
        <v>n.e.</v>
      </c>
      <c r="M45" s="679" t="str">
        <f t="shared" si="8"/>
        <v>n.e.</v>
      </c>
      <c r="N45" s="680" t="str">
        <f t="shared" si="8"/>
        <v>n.e.</v>
      </c>
      <c r="O45" s="962"/>
      <c r="P45" s="681" t="str">
        <f t="shared" ref="P45:R45" si="9">IF(ISERROR(AVERAGE(P36:P40)),$AI$35,ROUND(AVERAGE(P36:P40),2))</f>
        <v>n.e.</v>
      </c>
      <c r="Q45" s="723" t="str">
        <f t="shared" si="9"/>
        <v>n.e.</v>
      </c>
      <c r="R45" s="680" t="str">
        <f t="shared" si="9"/>
        <v>n.e.</v>
      </c>
      <c r="S45" s="228"/>
      <c r="T45" s="681" t="str">
        <f t="shared" ref="T45:X45" si="10">IF(ISERROR(AVERAGE(T36:T40)),$AI$35,ROUND(AVERAGE(T36:T40),2))</f>
        <v>n.e.</v>
      </c>
      <c r="U45" s="653" t="str">
        <f t="shared" si="10"/>
        <v>n.e.</v>
      </c>
      <c r="V45" s="679" t="str">
        <f t="shared" si="10"/>
        <v>n.e.</v>
      </c>
      <c r="W45" s="653" t="str">
        <f t="shared" si="10"/>
        <v>n.e.</v>
      </c>
      <c r="X45" s="680" t="str">
        <f t="shared" si="10"/>
        <v>n.e.</v>
      </c>
      <c r="Z45" s="677" t="str">
        <f t="shared" ref="Z45:AC45" si="11">IF(ISERROR(AVERAGE(Z36:Z40)),$AI$35,ROUND(AVERAGE(Z36:Z40),2))</f>
        <v>n.e.</v>
      </c>
      <c r="AA45" s="653" t="str">
        <f t="shared" si="11"/>
        <v>n.e.</v>
      </c>
      <c r="AB45" s="679" t="str">
        <f t="shared" si="11"/>
        <v>n.e.</v>
      </c>
      <c r="AC45" s="680" t="str">
        <f t="shared" si="11"/>
        <v>n.e.</v>
      </c>
      <c r="AD45" s="228"/>
      <c r="AE45" s="677" t="str">
        <f t="shared" ref="AE45:AH45" si="12">IF(ISERROR(AVERAGE(AE36:AE40)),$AI$35,ROUND(AVERAGE(AE36:AE40),2))</f>
        <v>n.e.</v>
      </c>
      <c r="AF45" s="653" t="str">
        <f t="shared" si="12"/>
        <v>n.e.</v>
      </c>
      <c r="AG45" s="653" t="str">
        <f t="shared" si="12"/>
        <v>n.e.</v>
      </c>
      <c r="AH45" s="678" t="str">
        <f t="shared" si="12"/>
        <v>n.e.</v>
      </c>
      <c r="AI45" s="753">
        <f>SUM(AI36:AI40)</f>
        <v>78</v>
      </c>
      <c r="AJ45" s="753">
        <f>SUM(AJ36:AJ40)</f>
        <v>0</v>
      </c>
      <c r="AK45" s="753">
        <f>SUM(F47,L47,P47,V47,AA47,AF47)</f>
        <v>0</v>
      </c>
      <c r="AL45" s="753">
        <f>COUNT(D45:AH45)*10</f>
        <v>0</v>
      </c>
      <c r="AM45" s="753">
        <f>SUM(D45:AH45)</f>
        <v>0</v>
      </c>
      <c r="AN45" s="643"/>
      <c r="AO45" s="643"/>
      <c r="AP45" s="643"/>
      <c r="AQ45" s="200"/>
      <c r="AR45" s="722" t="s">
        <v>303</v>
      </c>
      <c r="AS45" s="1469" t="e">
        <f>IF(COUNTIF(AS36:AT40,$AI$35)&gt;0,$AI$35,ROUND(AM45/AL45,2))</f>
        <v>#DIV/0!</v>
      </c>
      <c r="AT45" s="1470"/>
      <c r="AU45" s="16"/>
      <c r="AX45" s="725" t="str">
        <f>IF(ISERROR(AVERAGE(AX36:AX40)),$AI$35,ROUND(AVERAGE(AX36:AX40),2))</f>
        <v>n.e.</v>
      </c>
      <c r="AY45" s="680" t="str">
        <f t="shared" ref="AY45:BE45" si="13">IF(ISERROR(AVERAGE(AY36:AY40)),$AI$35,ROUND(AVERAGE(AY36:AY40),2))</f>
        <v>n.e.</v>
      </c>
      <c r="AZ45" s="680" t="str">
        <f t="shared" si="13"/>
        <v>n.e.</v>
      </c>
      <c r="BA45" s="680" t="str">
        <f t="shared" si="13"/>
        <v>n.e.</v>
      </c>
      <c r="BB45" s="680" t="str">
        <f t="shared" si="13"/>
        <v>n.e.</v>
      </c>
      <c r="BC45" s="680" t="str">
        <f t="shared" si="13"/>
        <v>n.e.</v>
      </c>
      <c r="BD45" s="680" t="str">
        <f t="shared" si="13"/>
        <v>n.e.</v>
      </c>
      <c r="BE45" s="680" t="str">
        <f t="shared" si="13"/>
        <v>n.e.</v>
      </c>
      <c r="BF45" s="16"/>
      <c r="BG45" s="16"/>
      <c r="BH45" s="16"/>
      <c r="BI45" s="51"/>
      <c r="BJ45" s="16"/>
    </row>
    <row r="46" spans="1:62">
      <c r="B46" s="48"/>
      <c r="C46" s="31"/>
      <c r="D46" s="48"/>
      <c r="E46" s="751" t="str">
        <f>$L$7</f>
        <v>Act.</v>
      </c>
      <c r="F46" s="751" t="str">
        <f>$M$7</f>
        <v>Target</v>
      </c>
      <c r="G46" s="751" t="s">
        <v>260</v>
      </c>
      <c r="H46" s="759" t="s">
        <v>202</v>
      </c>
      <c r="J46" s="766"/>
      <c r="K46" s="751" t="str">
        <f>$L$7</f>
        <v>Act.</v>
      </c>
      <c r="L46" s="751" t="str">
        <f>$M$7</f>
        <v>Target</v>
      </c>
      <c r="M46" s="751" t="s">
        <v>260</v>
      </c>
      <c r="N46" s="759" t="s">
        <v>202</v>
      </c>
      <c r="O46" s="768" t="str">
        <f>$L$7</f>
        <v>Act.</v>
      </c>
      <c r="P46" s="751" t="str">
        <f>$M$7</f>
        <v>Target</v>
      </c>
      <c r="Q46" s="751" t="s">
        <v>260</v>
      </c>
      <c r="R46" s="759" t="s">
        <v>202</v>
      </c>
      <c r="T46" s="766"/>
      <c r="U46" s="751" t="str">
        <f>$L$7</f>
        <v>Act.</v>
      </c>
      <c r="V46" s="751" t="str">
        <f>$M$7</f>
        <v>Target</v>
      </c>
      <c r="W46" s="751" t="s">
        <v>260</v>
      </c>
      <c r="X46" s="759" t="s">
        <v>202</v>
      </c>
      <c r="Y46" s="31"/>
      <c r="Z46" s="768" t="str">
        <f>$L$7</f>
        <v>Act.</v>
      </c>
      <c r="AA46" s="751" t="str">
        <f>$M$7</f>
        <v>Target</v>
      </c>
      <c r="AB46" s="751" t="s">
        <v>260</v>
      </c>
      <c r="AC46" s="759" t="s">
        <v>202</v>
      </c>
      <c r="AD46" s="31"/>
      <c r="AE46" s="768" t="str">
        <f>$L$7</f>
        <v>Act.</v>
      </c>
      <c r="AF46" s="751" t="str">
        <f>$M$7</f>
        <v>Target</v>
      </c>
      <c r="AG46" s="751" t="s">
        <v>260</v>
      </c>
      <c r="AH46" s="759" t="s">
        <v>202</v>
      </c>
      <c r="AI46" s="31"/>
      <c r="AJ46" s="31"/>
      <c r="AK46" s="31"/>
      <c r="AL46" s="31"/>
      <c r="AM46" s="495"/>
      <c r="AN46" s="643"/>
      <c r="AO46" s="643"/>
      <c r="AP46" s="643"/>
      <c r="AQ46" s="495"/>
      <c r="AR46" s="495"/>
      <c r="AS46" s="495"/>
      <c r="AT46" s="495"/>
      <c r="AU46" s="495"/>
      <c r="AX46" s="777"/>
      <c r="AY46" s="495"/>
      <c r="AZ46" s="495"/>
      <c r="BA46" s="495"/>
      <c r="BB46" s="495"/>
      <c r="BC46" s="495"/>
      <c r="BD46" s="495"/>
      <c r="BE46" s="52"/>
      <c r="BF46" s="16"/>
      <c r="BG46" s="16"/>
      <c r="BH46" s="16"/>
      <c r="BI46" s="52"/>
      <c r="BJ46" s="495"/>
    </row>
    <row r="47" spans="1:62" ht="15.75" thickBot="1">
      <c r="B47" s="48"/>
      <c r="C47" s="38"/>
      <c r="D47" s="48"/>
      <c r="E47" s="754">
        <f>COUNT(D36:H40)</f>
        <v>0</v>
      </c>
      <c r="F47" s="754">
        <f>ROUNDUP(COUNTIF($C$36:$C$40,"X")*5/3*2,0)</f>
        <v>0</v>
      </c>
      <c r="G47" s="754">
        <f>IF(AND($A31,E47&gt;=F47),E47*10,"--")</f>
        <v>0</v>
      </c>
      <c r="H47" s="760">
        <f>IF(AND($A31,E47&gt;=F47),SUM(D36:H40),"--")</f>
        <v>0</v>
      </c>
      <c r="J47" s="48"/>
      <c r="K47" s="754">
        <f>COUNT(J36:N40)</f>
        <v>0</v>
      </c>
      <c r="L47" s="754">
        <f>ROUNDUP(COUNTIF($C$36:$C$40,"X")*5/3*2,0)</f>
        <v>0</v>
      </c>
      <c r="M47" s="754">
        <f>IF(AND($A31,K47&gt;=L47),K47*10,"--")</f>
        <v>0</v>
      </c>
      <c r="N47" s="760">
        <f>IF(AND($A31,K47&gt;=L47),SUM(J36:N40),"--")</f>
        <v>0</v>
      </c>
      <c r="O47" s="782">
        <f>COUNT(P36:R40)</f>
        <v>0</v>
      </c>
      <c r="P47" s="754">
        <f>ROUNDUP(COUNTIF($C$36:$C$40,"X")*3/3*2,0)</f>
        <v>0</v>
      </c>
      <c r="Q47" s="754">
        <f>IF(AND($A31,O47&gt;=P47),O47*10,"--")</f>
        <v>0</v>
      </c>
      <c r="R47" s="760">
        <f>IF(AND($A31,O47&gt;=P47),SUM(P36:R40),"--")</f>
        <v>0</v>
      </c>
      <c r="T47" s="48"/>
      <c r="U47" s="754">
        <f>COUNT(T36:X40)</f>
        <v>0</v>
      </c>
      <c r="V47" s="754">
        <f>ROUNDUP(COUNTIF($C$36:$C$40,"X")*5/3*2,0)</f>
        <v>0</v>
      </c>
      <c r="W47" s="754">
        <f>IF(AND($A31,U47&gt;=V47),U47*10,"--")</f>
        <v>0</v>
      </c>
      <c r="X47" s="760">
        <f>IF(AND($A31,U47&gt;=V47),SUM(T36:X40),"--")</f>
        <v>0</v>
      </c>
      <c r="Y47" s="38"/>
      <c r="Z47" s="782">
        <f>COUNT(Z36:AC40)</f>
        <v>0</v>
      </c>
      <c r="AA47" s="754">
        <f>ROUNDUP(COUNTIF($C$36:$C$40,"X")*4/3*2,0)</f>
        <v>0</v>
      </c>
      <c r="AB47" s="754">
        <f>IF(AND($A31,Z47&gt;=AA47),Z47*10,"--")</f>
        <v>0</v>
      </c>
      <c r="AC47" s="760">
        <f>IF(AND($A31,Z47&gt;=AA47),SUM(Z36:AC40),"--")</f>
        <v>0</v>
      </c>
      <c r="AD47" s="43"/>
      <c r="AE47" s="782">
        <f>COUNT(AE36:AH40)</f>
        <v>0</v>
      </c>
      <c r="AF47" s="754">
        <f>ROUNDUP(COUNTIF($C$36:$C$40,"X")*4/3*2,0)</f>
        <v>0</v>
      </c>
      <c r="AG47" s="754">
        <f>IF(AND($A31,AE47&gt;=AF47),AE47*10,"--")</f>
        <v>0</v>
      </c>
      <c r="AH47" s="760">
        <f>IF(AND($A31,AE47&gt;=AF47),SUM(AE36:AH40),"--")</f>
        <v>0</v>
      </c>
      <c r="AR47" s="38"/>
      <c r="AS47" s="202"/>
      <c r="AT47" s="331"/>
      <c r="AX47" s="768" t="str">
        <f>$K$7</f>
        <v>n.e.</v>
      </c>
      <c r="AY47" s="751" t="str">
        <f>$L$7</f>
        <v>Act.</v>
      </c>
      <c r="AZ47" s="751" t="str">
        <f>$M$7</f>
        <v>Target</v>
      </c>
      <c r="BA47" s="751" t="str">
        <f>$N$7</f>
        <v>Max.</v>
      </c>
      <c r="BB47" s="751" t="str">
        <f>$O$7</f>
        <v>Act.</v>
      </c>
      <c r="BC47" s="202"/>
      <c r="BD47" s="202"/>
      <c r="BE47" s="778"/>
      <c r="BF47" s="16"/>
      <c r="BG47" s="16"/>
      <c r="BH47" s="16"/>
      <c r="BI47" s="54"/>
    </row>
    <row r="48" spans="1:62" ht="15.75" thickBot="1">
      <c r="B48" s="48"/>
      <c r="C48" s="43"/>
      <c r="D48" s="761"/>
      <c r="E48" s="762"/>
      <c r="F48" s="763" t="s">
        <v>56</v>
      </c>
      <c r="G48" s="1471" t="str">
        <f>IF(OR($A$31=FALSE,F47&gt;E47),$AI$35,IFERROR(ROUND(H47/G47,2),$AI$35))</f>
        <v>n.e.</v>
      </c>
      <c r="H48" s="1472"/>
      <c r="I48" s="16"/>
      <c r="J48" s="761"/>
      <c r="K48" s="762"/>
      <c r="L48" s="767" t="s">
        <v>55</v>
      </c>
      <c r="M48" s="1471" t="str">
        <f>IF(OR($A$31=FALSE,L47&gt;K47),$AI$35,IFERROR(ROUND(N47/M47,2),$AI$35))</f>
        <v>n.e.</v>
      </c>
      <c r="N48" s="1472"/>
      <c r="O48" s="963"/>
      <c r="P48" s="770" t="s">
        <v>54</v>
      </c>
      <c r="Q48" s="1471" t="str">
        <f>IF(OR($A$31=FALSE,P47&gt;O47),$AI$35,IFERROR(ROUND(R47/Q47,2),$AI$35))</f>
        <v>n.e.</v>
      </c>
      <c r="R48" s="1472"/>
      <c r="S48" s="16"/>
      <c r="T48" s="772"/>
      <c r="U48" s="773"/>
      <c r="V48" s="770" t="s">
        <v>53</v>
      </c>
      <c r="W48" s="1471" t="str">
        <f>IF(OR($A$31=FALSE,V47&gt;U47),$AI$35,IFERROR(ROUND(X47/W47,2),$AI$35))</f>
        <v>n.e.</v>
      </c>
      <c r="X48" s="1472"/>
      <c r="Y48" s="16"/>
      <c r="Z48" s="761"/>
      <c r="AA48" s="763" t="s">
        <v>52</v>
      </c>
      <c r="AB48" s="1471" t="str">
        <f>IF(OR($A$31=FALSE,AA47&gt;Z47),$AI$35,IFERROR(ROUND(AC47/AB47,2),$AI$35))</f>
        <v>n.e.</v>
      </c>
      <c r="AC48" s="1472"/>
      <c r="AD48" s="16"/>
      <c r="AE48" s="761"/>
      <c r="AF48" s="767" t="s">
        <v>51</v>
      </c>
      <c r="AG48" s="1471" t="str">
        <f>IF(OR($A$31=FALSE,AF47&gt;AE47),$AI$35,IFERROR(ROUND(AH47/AG47,2),$AI$35))</f>
        <v>n.e.</v>
      </c>
      <c r="AH48" s="1472"/>
      <c r="AI48" s="16"/>
      <c r="AJ48" s="38"/>
      <c r="AK48" s="38"/>
      <c r="AL48" s="38"/>
      <c r="AM48" s="184"/>
      <c r="AN48" s="184"/>
      <c r="AO48" s="184"/>
      <c r="AP48" s="184"/>
      <c r="AQ48" s="184"/>
      <c r="AR48" s="38"/>
      <c r="AS48" s="202"/>
      <c r="AT48" s="332"/>
      <c r="AU48" s="202"/>
      <c r="AX48" s="779">
        <f>COUNTIF(AX45:BE45,"&gt;-")</f>
        <v>8</v>
      </c>
      <c r="AY48" s="780">
        <f>COUNT(AX36:BE40)</f>
        <v>0</v>
      </c>
      <c r="AZ48" s="780">
        <f>ROUNDUP(COUNTIF($C$36:$C$40,"X")*8/3*2,0)</f>
        <v>0</v>
      </c>
      <c r="BA48" s="780">
        <f>IF(AND($B48,AY48&gt;=AZ48),COUNTIF(AX45:BE45,"&lt;&gt;"&amp;AX47)*10,"--")</f>
        <v>0</v>
      </c>
      <c r="BB48" s="780">
        <f>IF(AND($B48,AY48&gt;=AZ48),SUM(AX45:BE45),"--")</f>
        <v>0</v>
      </c>
      <c r="BC48" s="781" t="s">
        <v>50</v>
      </c>
      <c r="BD48" s="1515" t="e">
        <f>IF(A31=FALSE,AX47,IF(AY48&gt;=AZ48,ROUND(BB48/BA48,2),$AI$35))</f>
        <v>#DIV/0!</v>
      </c>
      <c r="BE48" s="1516"/>
      <c r="BF48" s="16"/>
      <c r="BG48" s="16"/>
      <c r="BH48" s="16"/>
      <c r="BI48" s="54"/>
    </row>
    <row r="49" spans="1:62" ht="15">
      <c r="B49" s="48"/>
      <c r="C49" s="43"/>
      <c r="D49" s="201"/>
      <c r="E49" s="43"/>
      <c r="F49" s="38"/>
      <c r="G49" s="184"/>
      <c r="H49" s="184"/>
      <c r="I49" s="15"/>
      <c r="J49" s="201"/>
      <c r="K49" s="43"/>
      <c r="L49" s="38"/>
      <c r="M49" s="43"/>
      <c r="N49" s="184"/>
      <c r="O49" s="184"/>
      <c r="P49" s="15"/>
      <c r="Q49" s="201"/>
      <c r="R49" s="43"/>
      <c r="S49" s="43"/>
      <c r="T49" s="184"/>
      <c r="U49" s="184"/>
      <c r="V49" s="201"/>
      <c r="W49" s="38"/>
      <c r="X49" s="184"/>
      <c r="Y49" s="184"/>
      <c r="Z49" s="201"/>
      <c r="AA49" s="38"/>
      <c r="AB49" s="38"/>
      <c r="AC49" s="184"/>
      <c r="AD49" s="184"/>
      <c r="AE49" s="201"/>
      <c r="AF49" s="43"/>
      <c r="AG49" s="43"/>
      <c r="AH49" s="43"/>
      <c r="AI49" s="38"/>
      <c r="AJ49" s="38"/>
      <c r="AK49" s="38"/>
      <c r="AL49" s="38"/>
      <c r="AM49" s="184"/>
      <c r="AN49" s="184"/>
      <c r="AO49" s="184"/>
      <c r="AP49" s="184"/>
      <c r="AQ49" s="184"/>
      <c r="AR49" s="38"/>
      <c r="AS49" s="202"/>
      <c r="AT49" s="201"/>
      <c r="AU49" s="202"/>
      <c r="AW49" s="202"/>
      <c r="AX49" s="202"/>
      <c r="AY49" s="202"/>
      <c r="AZ49" s="202"/>
      <c r="BA49" s="202"/>
      <c r="BB49" s="202"/>
      <c r="BE49" s="203"/>
      <c r="BF49" s="16"/>
      <c r="BG49" s="16"/>
      <c r="BH49" s="16"/>
      <c r="BI49" s="54"/>
    </row>
    <row r="50" spans="1:62" ht="15">
      <c r="B50" s="48"/>
      <c r="C50" s="33"/>
      <c r="D50" s="31"/>
      <c r="E50" s="31"/>
      <c r="F50" s="31"/>
      <c r="G50" s="31"/>
      <c r="H50" s="31"/>
      <c r="I50" s="31"/>
      <c r="J50" s="31"/>
      <c r="K50" s="31"/>
      <c r="L50" s="31"/>
      <c r="M50" s="31"/>
      <c r="N50" s="31"/>
      <c r="O50" s="36"/>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16"/>
      <c r="BF50" s="16"/>
      <c r="BG50" s="16"/>
      <c r="BH50" s="16"/>
      <c r="BI50" s="49"/>
      <c r="BJ50" s="34"/>
    </row>
    <row r="51" spans="1:62" ht="15" thickBot="1">
      <c r="A51" s="244" t="s">
        <v>224</v>
      </c>
      <c r="B51" s="48"/>
      <c r="C51" s="31"/>
      <c r="D51" s="31"/>
      <c r="E51" s="31"/>
      <c r="F51" s="31"/>
      <c r="G51" s="235"/>
      <c r="H51" s="31"/>
      <c r="I51" s="31"/>
      <c r="J51" s="31"/>
      <c r="K51" s="31"/>
      <c r="L51" s="31"/>
      <c r="M51" s="31"/>
      <c r="N51" s="235"/>
      <c r="O51" s="31"/>
      <c r="P51" s="31"/>
      <c r="Q51" s="31"/>
      <c r="R51" s="235"/>
      <c r="S51" s="15"/>
      <c r="T51" s="15"/>
      <c r="U51" s="390" t="s">
        <v>127</v>
      </c>
      <c r="V51" s="390" t="s">
        <v>128</v>
      </c>
      <c r="W51" s="628" t="s">
        <v>205</v>
      </c>
      <c r="X51" s="628" t="s">
        <v>215</v>
      </c>
      <c r="Y51" s="390" t="s">
        <v>131</v>
      </c>
      <c r="Z51" s="643" t="str">
        <f>'Evaluation-Bewertung'!Z65</f>
        <v>n.e.</v>
      </c>
      <c r="AA51" s="643" t="str">
        <f>'Evaluation-Bewertung'!AA65</f>
        <v>Act.</v>
      </c>
      <c r="AB51" s="643" t="str">
        <f>'Evaluation-Bewertung'!AB65</f>
        <v>Target</v>
      </c>
      <c r="AC51" s="643" t="str">
        <f>'Evaluation-Bewertung'!AC65</f>
        <v>Max.</v>
      </c>
      <c r="AD51" s="643" t="str">
        <f>'Evaluation-Bewertung'!AD65</f>
        <v>Act.</v>
      </c>
      <c r="AE51" s="38"/>
      <c r="AF51" s="38"/>
      <c r="AG51" s="38"/>
      <c r="AH51" s="38"/>
      <c r="AI51" s="38"/>
      <c r="AJ51" s="38"/>
      <c r="AK51" s="38"/>
      <c r="AL51" s="38"/>
      <c r="AM51" s="38"/>
      <c r="AN51" s="38"/>
      <c r="AO51" s="38"/>
      <c r="AP51" s="38"/>
      <c r="AQ51" s="495"/>
      <c r="AR51" s="495"/>
      <c r="AS51" s="495"/>
      <c r="AT51" s="495"/>
      <c r="AU51" s="495"/>
      <c r="AV51" s="495"/>
      <c r="AW51" s="495"/>
      <c r="AX51" s="495"/>
      <c r="AY51" s="495"/>
      <c r="AZ51" s="495"/>
      <c r="BA51" s="495"/>
      <c r="BB51" s="495"/>
      <c r="BC51" s="495"/>
      <c r="BD51" s="495"/>
      <c r="BE51" s="16"/>
      <c r="BF51" s="16"/>
      <c r="BG51" s="16"/>
      <c r="BH51" s="16"/>
      <c r="BI51" s="52"/>
      <c r="BJ51" s="495"/>
    </row>
    <row r="52" spans="1:62" ht="16.5" thickBot="1">
      <c r="A52" s="243" t="str">
        <f>IF(COUNT(U52:Y52)=0,Z51,IF(MIN(U52:Y52)=0,"B","A"))</f>
        <v>n.e.</v>
      </c>
      <c r="B52" s="48"/>
      <c r="C52" s="71" t="s">
        <v>101</v>
      </c>
      <c r="D52" s="72" t="str">
        <f>'Questions - Fragen'!C362</f>
        <v>Customer care / customer satisfaction / service</v>
      </c>
      <c r="E52" s="31"/>
      <c r="F52" s="31"/>
      <c r="G52" s="31"/>
      <c r="H52" s="31"/>
      <c r="I52" s="31"/>
      <c r="J52" s="31"/>
      <c r="K52" s="31"/>
      <c r="L52" s="31"/>
      <c r="M52" s="31"/>
      <c r="N52" s="31"/>
      <c r="O52" s="36"/>
      <c r="P52" s="31"/>
      <c r="Q52" s="31"/>
      <c r="R52" s="31"/>
      <c r="S52" s="15"/>
      <c r="T52" s="15"/>
      <c r="U52" s="232" t="str">
        <f>IF($A$53=FALSE,$Z$51,IF(ISBLANK('Questions - Fragen'!D$363),"--",'Questions - Fragen'!D$363))</f>
        <v>n.e.</v>
      </c>
      <c r="V52" s="232" t="str">
        <f>IF($A$53=FALSE,$Z$51,IF(ISBLANK('Questions - Fragen'!D$364),"--",'Questions - Fragen'!D$364))</f>
        <v>n.e.</v>
      </c>
      <c r="W52" s="633" t="str">
        <f>IF($A$53=FALSE,$Z$51,IF(ISBLANK('Questions - Fragen'!D$365),"--",'Questions - Fragen'!D$365))</f>
        <v>n.e.</v>
      </c>
      <c r="X52" s="633" t="str">
        <f>IF($A$53=FALSE,$Z$51,IF(ISBLANK('Questions - Fragen'!D$366),"--",'Questions - Fragen'!D$366))</f>
        <v>n.e.</v>
      </c>
      <c r="Y52" s="232" t="str">
        <f>IF($A$53=FALSE,$Z$51,IF(ISBLANK('Questions - Fragen'!D$367),"--",'Questions - Fragen'!D$367))</f>
        <v>n.e.</v>
      </c>
      <c r="Z52" s="753">
        <f>COUNTIF(U52:Y52,"&gt;-")</f>
        <v>5</v>
      </c>
      <c r="AA52" s="753">
        <f>COUNT(U52:Y52)</f>
        <v>0</v>
      </c>
      <c r="AB52" s="753">
        <v>4</v>
      </c>
      <c r="AC52" s="753" t="str">
        <f>IF(AND($A53,AA52&gt;=AB52),AA52*10,"--")</f>
        <v>--</v>
      </c>
      <c r="AD52" s="753" t="str">
        <f>IF(AND($A53,AA52&gt;=AB52),SUM(U52:Y52),"--")</f>
        <v>--</v>
      </c>
      <c r="AE52" s="38"/>
      <c r="AF52" s="38"/>
      <c r="AG52" s="272"/>
      <c r="AH52" s="38"/>
      <c r="AI52" s="38"/>
      <c r="AJ52" s="38"/>
      <c r="AK52" s="38"/>
      <c r="AL52" s="38"/>
      <c r="AM52" s="38"/>
      <c r="AN52" s="38"/>
      <c r="AO52" s="38"/>
      <c r="AP52" s="38"/>
      <c r="AR52" s="204" t="s">
        <v>502</v>
      </c>
      <c r="AS52" s="1515" t="str">
        <f>IF(A53=FALSE,Z51,IF(AA52&gt;=AB52,ROUND(AD52/AC52,2),$AI$35))</f>
        <v>n.e.</v>
      </c>
      <c r="AT52" s="1516"/>
      <c r="AU52" s="16"/>
      <c r="AV52" s="184"/>
      <c r="AW52" s="184"/>
      <c r="AX52" s="184"/>
      <c r="AY52" s="184"/>
      <c r="AZ52" s="184"/>
      <c r="BA52" s="184"/>
      <c r="BB52" s="184"/>
      <c r="BC52" s="184"/>
      <c r="BD52" s="184"/>
      <c r="BE52" s="16"/>
      <c r="BF52" s="16"/>
      <c r="BG52" s="16"/>
      <c r="BH52" s="16"/>
      <c r="BI52" s="49"/>
      <c r="BJ52" s="34"/>
    </row>
    <row r="53" spans="1:62">
      <c r="A53" s="970" t="b">
        <f>'Evaluation-Bewertung'!A67</f>
        <v>0</v>
      </c>
      <c r="B53" s="635"/>
      <c r="C53" s="276"/>
      <c r="D53" s="640"/>
      <c r="E53" s="640"/>
      <c r="F53" s="640"/>
      <c r="G53" s="640"/>
      <c r="H53" s="640"/>
      <c r="I53" s="31"/>
      <c r="J53" s="15"/>
      <c r="K53" s="15"/>
      <c r="L53" s="15"/>
      <c r="M53" s="15"/>
      <c r="N53" s="15"/>
      <c r="O53" s="15"/>
      <c r="P53" s="15"/>
      <c r="Q53" s="15"/>
      <c r="R53" s="15"/>
      <c r="S53" s="31"/>
      <c r="T53" s="31"/>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6"/>
      <c r="BF53" s="16"/>
      <c r="BG53" s="16"/>
      <c r="BH53" s="16"/>
      <c r="BI53" s="51"/>
      <c r="BJ53" s="16"/>
    </row>
    <row r="54" spans="1:62">
      <c r="B54" s="574"/>
      <c r="C54" s="575"/>
      <c r="D54" s="575"/>
      <c r="E54" s="575"/>
      <c r="F54" s="575"/>
      <c r="G54" s="575"/>
      <c r="H54" s="575"/>
      <c r="I54" s="575"/>
      <c r="J54" s="575"/>
      <c r="K54" s="575"/>
      <c r="L54" s="575"/>
      <c r="M54" s="575"/>
      <c r="N54" s="575"/>
      <c r="O54" s="575"/>
      <c r="P54" s="575"/>
      <c r="Q54" s="575"/>
      <c r="R54" s="575"/>
      <c r="S54" s="575"/>
      <c r="T54" s="575"/>
      <c r="U54" s="575"/>
      <c r="V54" s="575"/>
      <c r="W54" s="575"/>
      <c r="X54" s="575"/>
      <c r="Y54" s="575"/>
      <c r="Z54" s="575"/>
      <c r="AA54" s="575"/>
      <c r="AB54" s="575"/>
      <c r="AC54" s="575"/>
      <c r="AD54" s="575"/>
      <c r="AE54" s="575"/>
      <c r="AF54" s="575"/>
      <c r="AG54" s="575"/>
      <c r="AH54" s="575"/>
      <c r="AI54" s="575"/>
      <c r="AJ54" s="575"/>
      <c r="AK54" s="575"/>
      <c r="AL54" s="575"/>
      <c r="AM54" s="575"/>
      <c r="AN54" s="575"/>
      <c r="AO54" s="575"/>
      <c r="AP54" s="575"/>
      <c r="AQ54" s="575"/>
      <c r="AR54" s="575"/>
      <c r="AS54" s="575"/>
      <c r="AT54" s="575"/>
      <c r="AU54" s="575"/>
      <c r="AV54" s="575"/>
      <c r="AW54" s="575"/>
      <c r="AX54" s="575"/>
      <c r="AY54" s="575"/>
      <c r="AZ54" s="575"/>
      <c r="BA54" s="575"/>
      <c r="BB54" s="575"/>
      <c r="BC54" s="575"/>
      <c r="BD54" s="575"/>
      <c r="BE54" s="575"/>
      <c r="BF54" s="575"/>
      <c r="BG54" s="575"/>
      <c r="BH54" s="575"/>
      <c r="BI54" s="576"/>
      <c r="BJ54" s="34"/>
    </row>
    <row r="55" spans="1:62">
      <c r="A55" s="254"/>
      <c r="B55" s="48"/>
      <c r="C55" s="577"/>
      <c r="D55" s="578"/>
      <c r="E55" s="578"/>
      <c r="F55" s="578"/>
      <c r="G55" s="578"/>
      <c r="H55" s="578"/>
      <c r="I55" s="578"/>
      <c r="J55" s="578"/>
      <c r="K55" s="578"/>
      <c r="L55" s="578"/>
      <c r="M55" s="578"/>
      <c r="N55" s="578"/>
      <c r="O55" s="578"/>
      <c r="P55" s="578"/>
      <c r="Q55" s="578"/>
      <c r="R55" s="578"/>
      <c r="S55" s="578"/>
      <c r="T55" s="578"/>
      <c r="U55" s="579"/>
      <c r="V55" s="579"/>
      <c r="W55" s="579"/>
      <c r="X55" s="579"/>
      <c r="Y55" s="579"/>
      <c r="Z55" s="579"/>
      <c r="AA55" s="579"/>
      <c r="AB55" s="579"/>
      <c r="AC55" s="579"/>
      <c r="AD55" s="579"/>
      <c r="AE55" s="579"/>
      <c r="AF55" s="579"/>
      <c r="AG55" s="579"/>
      <c r="AH55" s="579"/>
      <c r="AI55" s="580"/>
      <c r="AJ55" s="580"/>
      <c r="AK55" s="580"/>
      <c r="AL55" s="580"/>
      <c r="AM55" s="580"/>
      <c r="AN55" s="580"/>
      <c r="AO55" s="580"/>
      <c r="AP55" s="580"/>
      <c r="AQ55" s="580"/>
      <c r="AR55" s="580"/>
      <c r="AS55" s="580"/>
      <c r="AT55" s="580"/>
      <c r="AU55" s="580"/>
      <c r="AV55" s="580"/>
      <c r="AW55" s="580"/>
      <c r="AX55" s="580"/>
      <c r="AY55" s="580"/>
      <c r="AZ55" s="580"/>
      <c r="BA55" s="580"/>
      <c r="BB55" s="580"/>
      <c r="BC55" s="580"/>
      <c r="BD55" s="580"/>
      <c r="BE55" s="580"/>
      <c r="BF55" s="580"/>
      <c r="BG55" s="580"/>
      <c r="BH55" s="580"/>
      <c r="BI55" s="581"/>
      <c r="BJ55" s="582"/>
    </row>
    <row r="56" spans="1:62">
      <c r="B56" s="48"/>
      <c r="C56" s="578"/>
      <c r="D56" s="578"/>
      <c r="E56" s="578"/>
      <c r="F56" s="578"/>
      <c r="G56" s="578"/>
      <c r="H56" s="578"/>
      <c r="I56" s="578"/>
      <c r="J56" s="578"/>
      <c r="K56" s="578"/>
      <c r="L56" s="578"/>
      <c r="M56" s="578"/>
      <c r="N56" s="578"/>
      <c r="O56" s="578"/>
      <c r="P56" s="578"/>
      <c r="Q56" s="578"/>
      <c r="R56" s="578"/>
      <c r="S56" s="578"/>
      <c r="T56" s="578"/>
      <c r="U56" s="579"/>
      <c r="V56" s="579"/>
      <c r="W56" s="579"/>
      <c r="X56" s="579"/>
      <c r="Y56" s="579"/>
      <c r="Z56" s="579"/>
      <c r="AA56" s="579"/>
      <c r="AB56" s="579"/>
      <c r="AC56" s="579"/>
      <c r="AD56" s="579"/>
      <c r="AE56" s="579"/>
      <c r="AF56" s="579"/>
      <c r="AG56" s="579"/>
      <c r="AH56" s="579"/>
      <c r="AI56" s="580"/>
      <c r="AJ56" s="580"/>
      <c r="AK56" s="580"/>
      <c r="AL56" s="580"/>
      <c r="AM56" s="580"/>
      <c r="AN56" s="580"/>
      <c r="AO56" s="580"/>
      <c r="AP56" s="580"/>
      <c r="AQ56" s="580"/>
      <c r="AR56" s="580"/>
      <c r="AS56" s="580"/>
      <c r="AT56" s="580"/>
      <c r="AU56" s="580"/>
      <c r="AV56" s="580"/>
      <c r="AW56" s="38"/>
      <c r="AX56" s="38"/>
      <c r="AY56" s="38"/>
      <c r="AZ56" s="38"/>
      <c r="BA56" s="38"/>
      <c r="BB56" s="38"/>
      <c r="BC56" s="38"/>
      <c r="BD56" s="38"/>
      <c r="BE56" s="580"/>
      <c r="BF56" s="580"/>
      <c r="BG56" s="580"/>
      <c r="BH56" s="580"/>
      <c r="BI56" s="581"/>
      <c r="BJ56" s="582"/>
    </row>
    <row r="57" spans="1:62" s="493" customFormat="1" ht="18">
      <c r="A57" s="241"/>
      <c r="B57" s="583"/>
      <c r="C57" s="495"/>
      <c r="D57" s="584" t="str">
        <f>'Evaluation-Bewertung'!D71</f>
        <v>Responsible for downgrading</v>
      </c>
      <c r="E57" s="585"/>
      <c r="F57" s="585"/>
      <c r="G57" s="495"/>
      <c r="H57" s="585"/>
      <c r="I57" s="586"/>
      <c r="J57" s="586"/>
      <c r="K57" s="586"/>
      <c r="L57" s="586"/>
      <c r="M57" s="1525"/>
      <c r="N57" s="1525"/>
      <c r="O57" s="1525"/>
      <c r="P57" s="1525"/>
      <c r="Q57" s="586"/>
      <c r="R57" s="586"/>
      <c r="S57" s="586"/>
      <c r="T57" s="16"/>
      <c r="U57" s="16"/>
      <c r="V57" s="16"/>
      <c r="W57" s="16"/>
      <c r="X57" s="16"/>
      <c r="Y57" s="16"/>
      <c r="Z57" s="16"/>
      <c r="AA57" s="16"/>
      <c r="AB57" s="16"/>
      <c r="AC57" s="16"/>
      <c r="AD57" s="16"/>
      <c r="AE57" s="16"/>
      <c r="AF57" s="16"/>
      <c r="AG57" s="579"/>
      <c r="AH57" s="579"/>
      <c r="AI57" s="588"/>
      <c r="AJ57" s="588"/>
      <c r="AK57" s="588"/>
      <c r="AL57" s="588"/>
      <c r="AM57" s="588"/>
      <c r="AN57" s="1524">
        <f>'Input Form - EingabeMaske'!E34</f>
        <v>0</v>
      </c>
      <c r="AO57" s="1524"/>
      <c r="AP57" s="1524"/>
      <c r="AQ57" s="1524"/>
      <c r="AR57" s="1524"/>
      <c r="AS57" s="1524"/>
      <c r="AT57" s="1524"/>
      <c r="AU57" s="589" t="str">
        <f>'Evaluation-Bewertung'!AU71</f>
        <v>Overall compliance EG:</v>
      </c>
      <c r="AV57" s="590"/>
      <c r="AW57" s="591"/>
      <c r="AX57" s="591"/>
      <c r="AY57" s="591"/>
      <c r="AZ57" s="591"/>
      <c r="BA57" s="591"/>
      <c r="BB57" s="591"/>
      <c r="BC57" s="591"/>
      <c r="BD57" s="591"/>
      <c r="BE57" s="580"/>
      <c r="BF57" s="580"/>
      <c r="BG57" s="580"/>
      <c r="BH57" s="580"/>
      <c r="BI57" s="592"/>
      <c r="BJ57" s="593"/>
    </row>
    <row r="58" spans="1:62" ht="16.5" thickBot="1">
      <c r="B58" s="48"/>
      <c r="C58" s="578"/>
      <c r="D58" s="1499"/>
      <c r="E58" s="1499"/>
      <c r="F58" s="1499"/>
      <c r="G58" s="1499"/>
      <c r="H58" s="1499"/>
      <c r="I58" s="1500"/>
      <c r="J58" s="1500"/>
      <c r="K58" s="1500"/>
      <c r="L58" s="1500"/>
      <c r="M58" s="1500"/>
      <c r="N58" s="1500"/>
      <c r="O58" s="1500"/>
      <c r="P58" s="1500"/>
      <c r="Q58" s="724"/>
      <c r="R58" s="724"/>
      <c r="S58" s="724"/>
      <c r="T58" s="16"/>
      <c r="U58" s="16"/>
      <c r="V58" s="16"/>
      <c r="W58" s="16"/>
      <c r="X58" s="16"/>
      <c r="Y58" s="16"/>
      <c r="Z58" s="16"/>
      <c r="AA58" s="16"/>
      <c r="AB58" s="16"/>
      <c r="AC58" s="16"/>
      <c r="AD58" s="16"/>
      <c r="AE58" s="16"/>
      <c r="AF58" s="16"/>
      <c r="AG58" s="579"/>
      <c r="AH58" s="579"/>
      <c r="AI58" s="588"/>
      <c r="AJ58" s="588"/>
      <c r="AK58" s="588"/>
      <c r="AL58" s="588"/>
      <c r="AM58" s="588"/>
      <c r="AN58" s="588"/>
      <c r="AO58" s="588"/>
      <c r="AP58" s="588"/>
      <c r="AQ58" s="588"/>
      <c r="AR58" s="588"/>
      <c r="AS58" s="588"/>
      <c r="AT58" s="588"/>
      <c r="AU58" s="38"/>
      <c r="AV58" s="38"/>
      <c r="AW58" s="591"/>
      <c r="AX58" s="591"/>
      <c r="AY58" s="591"/>
      <c r="AZ58" s="591"/>
      <c r="BA58" s="591"/>
      <c r="BB58" s="591"/>
      <c r="BC58" s="591"/>
      <c r="BD58" s="591"/>
      <c r="BE58" s="580"/>
      <c r="BF58" s="580"/>
      <c r="BG58" s="580"/>
      <c r="BH58" s="580"/>
      <c r="BI58" s="581"/>
      <c r="BJ58" s="582"/>
    </row>
    <row r="59" spans="1:62" ht="15.75">
      <c r="B59" s="48"/>
      <c r="C59" s="38"/>
      <c r="D59" s="594" t="str">
        <f>+IF(K149="n.b.","n.b.",+IF(K149&lt;80%,"C",+IF(K149&lt;90%,"B","A")))</f>
        <v>A</v>
      </c>
      <c r="E59" s="595" t="str">
        <f>'Evaluation-Bewertung'!E73</f>
        <v>Calculated EG, C&lt;80, B&lt;90</v>
      </c>
      <c r="F59" s="596"/>
      <c r="G59" s="596"/>
      <c r="H59" s="596"/>
      <c r="I59" s="596"/>
      <c r="J59" s="596"/>
      <c r="K59" s="596"/>
      <c r="L59" s="596"/>
      <c r="M59" s="597"/>
      <c r="N59" s="597"/>
      <c r="O59" s="598"/>
      <c r="P59" s="598"/>
      <c r="Q59" s="598"/>
      <c r="R59" s="599"/>
      <c r="S59" s="38"/>
      <c r="T59" s="16"/>
      <c r="U59" s="16"/>
      <c r="V59" s="16"/>
      <c r="W59" s="16"/>
      <c r="X59" s="16"/>
      <c r="Y59" s="16"/>
      <c r="Z59" s="16"/>
      <c r="AA59" s="16"/>
      <c r="AB59" s="16"/>
      <c r="AC59" s="16"/>
      <c r="AD59" s="16"/>
      <c r="AE59" s="16"/>
      <c r="AF59" s="16"/>
      <c r="AG59" s="579"/>
      <c r="AH59" s="579"/>
      <c r="AI59" s="588"/>
      <c r="AJ59" s="588"/>
      <c r="AK59" s="588"/>
      <c r="AL59" s="588"/>
      <c r="AM59" s="588"/>
      <c r="AN59" s="588"/>
      <c r="AO59" s="588"/>
      <c r="AP59" s="588"/>
      <c r="AQ59" s="588"/>
      <c r="AR59" s="588"/>
      <c r="AS59" s="588"/>
      <c r="AT59" s="588"/>
      <c r="AU59" s="600"/>
      <c r="AV59" s="600"/>
      <c r="AW59" s="591"/>
      <c r="AX59" s="591"/>
      <c r="AY59" s="591"/>
      <c r="AZ59" s="591"/>
      <c r="BA59" s="591"/>
      <c r="BB59" s="591"/>
      <c r="BC59" s="591"/>
      <c r="BD59" s="591"/>
      <c r="BE59" s="580"/>
      <c r="BF59" s="580"/>
      <c r="BG59" s="580"/>
      <c r="BH59" s="580"/>
      <c r="BI59" s="581"/>
      <c r="BJ59" s="582"/>
    </row>
    <row r="60" spans="1:62" ht="18">
      <c r="B60" s="48"/>
      <c r="C60" s="38"/>
      <c r="D60" s="601" t="str">
        <f>+E146</f>
        <v>A</v>
      </c>
      <c r="E60" s="602" t="str">
        <f>'Evaluation-Bewertung'!E74</f>
        <v xml:space="preserve">Asterisk questions for EG, minimum 1 question with 4 ratings = "B", minimum 1 question with 0 = "C"  </v>
      </c>
      <c r="F60" s="603"/>
      <c r="G60" s="603"/>
      <c r="H60" s="603"/>
      <c r="I60" s="603"/>
      <c r="J60" s="603"/>
      <c r="K60" s="603"/>
      <c r="L60" s="603"/>
      <c r="M60" s="267"/>
      <c r="N60" s="267"/>
      <c r="O60" s="604"/>
      <c r="P60" s="604"/>
      <c r="Q60" s="604"/>
      <c r="R60" s="605"/>
      <c r="S60" s="38"/>
      <c r="T60" s="16"/>
      <c r="U60" s="16"/>
      <c r="V60" s="16"/>
      <c r="W60" s="16"/>
      <c r="X60" s="16"/>
      <c r="Y60" s="16"/>
      <c r="Z60" s="16"/>
      <c r="AA60" s="16"/>
      <c r="AB60" s="16"/>
      <c r="AC60" s="16"/>
      <c r="AD60" s="16"/>
      <c r="AE60" s="16"/>
      <c r="AF60" s="16"/>
      <c r="AG60" s="579"/>
      <c r="AH60" s="579"/>
      <c r="AI60" s="260"/>
      <c r="AJ60" s="260"/>
      <c r="AK60" s="260"/>
      <c r="AL60" s="260"/>
      <c r="AM60" s="579"/>
      <c r="AN60" s="579"/>
      <c r="AO60" s="579"/>
      <c r="AP60" s="579"/>
      <c r="AR60" s="38"/>
      <c r="AS60" s="589"/>
      <c r="AT60" s="589"/>
      <c r="AU60" s="589"/>
      <c r="AV60" s="589"/>
      <c r="AW60" s="589"/>
      <c r="AX60" s="589"/>
      <c r="AY60" s="589"/>
      <c r="AZ60" s="589"/>
      <c r="BA60" s="589"/>
      <c r="BB60" s="589"/>
      <c r="BC60" s="589"/>
      <c r="BD60" s="600"/>
      <c r="BE60" s="606"/>
      <c r="BF60" s="600"/>
      <c r="BG60" s="600"/>
      <c r="BH60" s="600"/>
      <c r="BI60" s="581"/>
      <c r="BJ60" s="582"/>
    </row>
    <row r="61" spans="1:62" ht="16.5" thickBot="1">
      <c r="B61" s="48"/>
      <c r="C61" s="38"/>
      <c r="D61" s="607" t="str">
        <f>IF(COUNTIF(A8:A52,Z51)=16,Z51,+IF(COUNTIF((A8:A52),"C")&gt;=1,"C",+IF(+COUNTIF((A8:A52),"B")&gt;=1,"B","A")))</f>
        <v>A</v>
      </c>
      <c r="E61" s="602" t="str">
        <f>'Evaluation-Bewertung'!E75</f>
        <v>No question rated 0, otherwise "B"</v>
      </c>
      <c r="F61" s="603"/>
      <c r="G61" s="603"/>
      <c r="H61" s="603"/>
      <c r="I61" s="603"/>
      <c r="J61" s="603"/>
      <c r="K61" s="603"/>
      <c r="L61" s="603"/>
      <c r="M61" s="267"/>
      <c r="N61" s="267"/>
      <c r="O61" s="604"/>
      <c r="P61" s="604"/>
      <c r="Q61" s="604"/>
      <c r="R61" s="605"/>
      <c r="S61" s="38"/>
      <c r="T61" s="16"/>
      <c r="U61" s="16"/>
      <c r="V61" s="16"/>
      <c r="W61" s="16"/>
      <c r="X61" s="16"/>
      <c r="Y61" s="16"/>
      <c r="Z61" s="16"/>
      <c r="AA61" s="16"/>
      <c r="AB61" s="16"/>
      <c r="AC61" s="16"/>
      <c r="AD61" s="16"/>
      <c r="AE61" s="16"/>
      <c r="AF61" s="16"/>
      <c r="AG61" s="579"/>
      <c r="AH61" s="579"/>
      <c r="AI61" s="608"/>
      <c r="AJ61" s="608"/>
      <c r="AK61" s="608"/>
      <c r="AL61" s="1454" t="str">
        <f>'Evaluation-Bewertung'!AL75</f>
        <v>Total points awarded for the relevant questions</v>
      </c>
      <c r="AM61" s="1454" t="e">
        <f>'Evaluation-Bewertung'!AM75</f>
        <v>#N/A</v>
      </c>
      <c r="AN61" s="1454" t="e">
        <f>'Evaluation-Bewertung'!AN75</f>
        <v>#N/A</v>
      </c>
      <c r="AO61" s="1454" t="e">
        <f>'Evaluation-Bewertung'!AO75</f>
        <v>#N/A</v>
      </c>
      <c r="AP61" s="1454" t="e">
        <f>'Evaluation-Bewertung'!AP75</f>
        <v>#N/A</v>
      </c>
      <c r="AQ61" s="1454" t="e">
        <f>'Evaluation-Bewertung'!AQ75</f>
        <v>#N/A</v>
      </c>
      <c r="AR61" s="1454" t="e">
        <f>'Evaluation-Bewertung'!AR75</f>
        <v>#N/A</v>
      </c>
      <c r="AS61" s="1454" t="e">
        <f>'Evaluation-Bewertung'!AS75</f>
        <v>#N/A</v>
      </c>
      <c r="AT61" s="1454" t="e">
        <f>'Evaluation-Bewertung'!AT75</f>
        <v>#N/A</v>
      </c>
      <c r="AU61" s="1454" t="e">
        <f>'Evaluation-Bewertung'!AU75</f>
        <v>#N/A</v>
      </c>
      <c r="AV61" s="1454" t="e">
        <f>'Evaluation-Bewertung'!AV75</f>
        <v>#N/A</v>
      </c>
      <c r="AW61" s="1454" t="e">
        <f>'Evaluation-Bewertung'!AW75</f>
        <v>#N/A</v>
      </c>
      <c r="AX61" s="1454" t="e">
        <f>'Evaluation-Bewertung'!AX75</f>
        <v>#N/A</v>
      </c>
      <c r="AY61" s="1587">
        <f>SUM(O8,AI14,AP22,W29,AM45,AD52)</f>
        <v>0</v>
      </c>
      <c r="AZ61" s="1587"/>
      <c r="BA61" s="741"/>
      <c r="BB61" s="1453" t="s">
        <v>257</v>
      </c>
      <c r="BC61" s="1453"/>
      <c r="BD61" s="1453"/>
      <c r="BE61" s="1453" t="str">
        <f>'Evaluation-Bewertung'!BE75</f>
        <v>Rating</v>
      </c>
      <c r="BF61" s="1453">
        <f>'Evaluation-Bewertung'!BF75</f>
        <v>0</v>
      </c>
      <c r="BG61" s="609"/>
      <c r="BH61" s="580"/>
      <c r="BI61" s="581"/>
      <c r="BJ61" s="582"/>
    </row>
    <row r="62" spans="1:62" ht="15.75">
      <c r="B62" s="48"/>
      <c r="C62" s="38"/>
      <c r="D62" s="601" t="e">
        <f>+AD152</f>
        <v>#DIV/0!</v>
      </c>
      <c r="E62" s="602" t="str">
        <f>'Evaluation-Bewertung'!E76</f>
        <v>Eu1…Eu7, &lt;80% rated "B"</v>
      </c>
      <c r="F62" s="603"/>
      <c r="G62" s="603"/>
      <c r="H62" s="603"/>
      <c r="I62" s="603"/>
      <c r="J62" s="603"/>
      <c r="K62" s="603"/>
      <c r="L62" s="603"/>
      <c r="M62" s="267"/>
      <c r="N62" s="267"/>
      <c r="O62" s="604"/>
      <c r="P62" s="604"/>
      <c r="Q62" s="604"/>
      <c r="R62" s="605"/>
      <c r="S62" s="38"/>
      <c r="T62" s="16"/>
      <c r="U62" s="16"/>
      <c r="V62" s="16"/>
      <c r="W62" s="16"/>
      <c r="X62" s="16"/>
      <c r="Y62" s="16"/>
      <c r="Z62" s="16"/>
      <c r="AA62" s="16"/>
      <c r="AB62" s="16"/>
      <c r="AC62" s="16"/>
      <c r="AD62" s="16"/>
      <c r="AE62" s="16"/>
      <c r="AF62" s="16"/>
      <c r="AG62" s="579"/>
      <c r="AH62" s="579"/>
      <c r="AI62" s="608"/>
      <c r="AJ62" s="608"/>
      <c r="AK62" s="608"/>
      <c r="AL62" s="1454" t="e">
        <f>'Evaluation-Bewertung'!AL76</f>
        <v>#N/A</v>
      </c>
      <c r="AM62" s="1454" t="e">
        <f>'Evaluation-Bewertung'!AM76</f>
        <v>#N/A</v>
      </c>
      <c r="AN62" s="1454" t="e">
        <f>'Evaluation-Bewertung'!AN76</f>
        <v>#N/A</v>
      </c>
      <c r="AO62" s="1454" t="e">
        <f>'Evaluation-Bewertung'!AO76</f>
        <v>#N/A</v>
      </c>
      <c r="AP62" s="1454" t="e">
        <f>'Evaluation-Bewertung'!AP76</f>
        <v>#N/A</v>
      </c>
      <c r="AQ62" s="1454" t="e">
        <f>'Evaluation-Bewertung'!AQ76</f>
        <v>#N/A</v>
      </c>
      <c r="AR62" s="1454" t="e">
        <f>'Evaluation-Bewertung'!AR76</f>
        <v>#N/A</v>
      </c>
      <c r="AS62" s="1454" t="e">
        <f>'Evaluation-Bewertung'!AS76</f>
        <v>#N/A</v>
      </c>
      <c r="AT62" s="1454" t="e">
        <f>'Evaluation-Bewertung'!AT76</f>
        <v>#N/A</v>
      </c>
      <c r="AU62" s="1454" t="e">
        <f>'Evaluation-Bewertung'!AU76</f>
        <v>#N/A</v>
      </c>
      <c r="AV62" s="1454" t="e">
        <f>'Evaluation-Bewertung'!AV76</f>
        <v>#N/A</v>
      </c>
      <c r="AW62" s="1454" t="e">
        <f>'Evaluation-Bewertung'!AW76</f>
        <v>#N/A</v>
      </c>
      <c r="AX62" s="1454" t="e">
        <f>'Evaluation-Bewertung'!AX76</f>
        <v>#N/A</v>
      </c>
      <c r="AY62" s="1587"/>
      <c r="AZ62" s="1587"/>
      <c r="BA62" s="741"/>
      <c r="BB62" s="1455" t="str">
        <f>IF(OR(AN57=0,ISERROR(AVERAGE(epm,epp,epr,ez,epg,ek))),$AI$35,ROUND(AY61/AY64,2))</f>
        <v>n.e.</v>
      </c>
      <c r="BC62" s="1456"/>
      <c r="BD62" s="1457"/>
      <c r="BE62" s="1597" t="str">
        <f>+IF(BB62=$AI$35,$AI$35,+D65)</f>
        <v>n.e.</v>
      </c>
      <c r="BF62" s="1598"/>
      <c r="BG62" s="609"/>
      <c r="BH62" s="38"/>
      <c r="BI62" s="581"/>
      <c r="BJ62" s="582"/>
    </row>
    <row r="63" spans="1:62" ht="30">
      <c r="B63" s="48"/>
      <c r="C63" s="38"/>
      <c r="D63" s="601" t="str">
        <f>+AD167</f>
        <v>C</v>
      </c>
      <c r="E63" s="602" t="str">
        <f>'Evaluation-Bewertung'!E77</f>
        <v>E1…E10, &lt;80% rated "B", &lt;70% rated "C"</v>
      </c>
      <c r="F63" s="603"/>
      <c r="G63" s="603"/>
      <c r="H63" s="603"/>
      <c r="I63" s="603"/>
      <c r="J63" s="603"/>
      <c r="K63" s="603"/>
      <c r="L63" s="603"/>
      <c r="M63" s="267"/>
      <c r="N63" s="267"/>
      <c r="O63" s="604"/>
      <c r="P63" s="604"/>
      <c r="Q63" s="604"/>
      <c r="R63" s="605"/>
      <c r="S63" s="38"/>
      <c r="T63" s="16"/>
      <c r="U63" s="16"/>
      <c r="V63" s="16"/>
      <c r="W63" s="16"/>
      <c r="X63" s="16"/>
      <c r="Y63" s="16"/>
      <c r="Z63" s="16"/>
      <c r="AA63" s="16"/>
      <c r="AB63" s="16"/>
      <c r="AC63" s="16"/>
      <c r="AD63" s="16"/>
      <c r="AE63" s="16"/>
      <c r="AF63" s="16"/>
      <c r="AG63" s="579"/>
      <c r="AH63" s="579"/>
      <c r="AI63" s="608"/>
      <c r="AJ63" s="608"/>
      <c r="AK63" s="608"/>
      <c r="AL63" s="490" t="s">
        <v>259</v>
      </c>
      <c r="AM63" s="490"/>
      <c r="AN63" s="490"/>
      <c r="AO63" s="490"/>
      <c r="AP63" s="490"/>
      <c r="AQ63" s="490"/>
      <c r="AR63" s="490"/>
      <c r="AS63" s="490"/>
      <c r="AT63" s="490"/>
      <c r="AU63" s="490"/>
      <c r="AV63" s="490"/>
      <c r="AW63" s="490"/>
      <c r="AX63" s="490"/>
      <c r="AY63" s="490"/>
      <c r="AZ63" s="490"/>
      <c r="BA63" s="490"/>
      <c r="BB63" s="1458"/>
      <c r="BC63" s="1459"/>
      <c r="BD63" s="1460"/>
      <c r="BE63" s="1599"/>
      <c r="BF63" s="1600"/>
      <c r="BG63" s="610"/>
      <c r="BH63" s="610"/>
      <c r="BI63" s="581"/>
      <c r="BJ63" s="582"/>
    </row>
    <row r="64" spans="1:62" ht="30.75" thickBot="1">
      <c r="B64" s="48"/>
      <c r="C64" s="38"/>
      <c r="D64" s="601" t="str">
        <f>++IF(K149=$AI$35,$AI$35,+IF(MIN(epm,ede,epe,elm,ek,epg)&lt;70%,"C",+IF(MIN(epm,ede,epe,elm,ek,epg)&lt;80%,"B","A")))</f>
        <v>n.e.</v>
      </c>
      <c r="E64" s="602" t="str">
        <f>'Evaluation-Bewertung'!E78</f>
        <v>Sub ratings Ep2, Ep3, Ep4, Ep5, Ep6, Ep7 &lt;80% rate "B", &lt;70% rate "C"</v>
      </c>
      <c r="F64" s="603"/>
      <c r="G64" s="603"/>
      <c r="H64" s="603"/>
      <c r="I64" s="603"/>
      <c r="J64" s="603"/>
      <c r="K64" s="603"/>
      <c r="L64" s="603"/>
      <c r="M64" s="267"/>
      <c r="N64" s="267"/>
      <c r="O64" s="604"/>
      <c r="P64" s="604"/>
      <c r="Q64" s="604"/>
      <c r="R64" s="605"/>
      <c r="S64" s="38"/>
      <c r="T64" s="16"/>
      <c r="U64" s="16"/>
      <c r="V64" s="16"/>
      <c r="W64" s="16"/>
      <c r="X64" s="16"/>
      <c r="Y64" s="16"/>
      <c r="Z64" s="16"/>
      <c r="AA64" s="16"/>
      <c r="AB64" s="16"/>
      <c r="AC64" s="16"/>
      <c r="AD64" s="16"/>
      <c r="AE64" s="16"/>
      <c r="AF64" s="16"/>
      <c r="AG64" s="579"/>
      <c r="AH64" s="579"/>
      <c r="AI64" s="608"/>
      <c r="AJ64" s="608"/>
      <c r="AK64" s="608"/>
      <c r="AL64" s="1454" t="str">
        <f>'Evaluation-Bewertung'!AL78</f>
        <v>Total possible number of points for the relevant questions</v>
      </c>
      <c r="AM64" s="1454" t="e">
        <f>'Evaluation-Bewertung'!AM78</f>
        <v>#N/A</v>
      </c>
      <c r="AN64" s="1454" t="e">
        <f>'Evaluation-Bewertung'!AN78</f>
        <v>#N/A</v>
      </c>
      <c r="AO64" s="1454" t="e">
        <f>'Evaluation-Bewertung'!AO78</f>
        <v>#N/A</v>
      </c>
      <c r="AP64" s="1454" t="e">
        <f>'Evaluation-Bewertung'!AP78</f>
        <v>#N/A</v>
      </c>
      <c r="AQ64" s="1454" t="e">
        <f>'Evaluation-Bewertung'!AQ78</f>
        <v>#N/A</v>
      </c>
      <c r="AR64" s="1454" t="e">
        <f>'Evaluation-Bewertung'!AR78</f>
        <v>#N/A</v>
      </c>
      <c r="AS64" s="1454" t="e">
        <f>'Evaluation-Bewertung'!AS78</f>
        <v>#N/A</v>
      </c>
      <c r="AT64" s="1454" t="e">
        <f>'Evaluation-Bewertung'!AT78</f>
        <v>#N/A</v>
      </c>
      <c r="AU64" s="1454" t="e">
        <f>'Evaluation-Bewertung'!AU78</f>
        <v>#N/A</v>
      </c>
      <c r="AV64" s="1454" t="e">
        <f>'Evaluation-Bewertung'!AV78</f>
        <v>#N/A</v>
      </c>
      <c r="AW64" s="1454" t="e">
        <f>'Evaluation-Bewertung'!AW78</f>
        <v>#N/A</v>
      </c>
      <c r="AX64" s="1454" t="e">
        <f>'Evaluation-Bewertung'!AX78</f>
        <v>#N/A</v>
      </c>
      <c r="AY64" s="1587">
        <f>SUM(N8,AH14,AO22,V29,AL45,AC52)</f>
        <v>0</v>
      </c>
      <c r="AZ64" s="1587"/>
      <c r="BA64" s="741"/>
      <c r="BB64" s="1461"/>
      <c r="BC64" s="1462"/>
      <c r="BD64" s="1463"/>
      <c r="BE64" s="1601"/>
      <c r="BF64" s="1602"/>
      <c r="BG64" s="610"/>
      <c r="BH64" s="38"/>
      <c r="BI64" s="581"/>
      <c r="BJ64" s="582"/>
    </row>
    <row r="65" spans="2:62" ht="30.75" thickBot="1">
      <c r="B65" s="48"/>
      <c r="C65" s="38"/>
      <c r="D65" s="611" t="str">
        <f>IF(COUNTIF(D59:D64,"n.b.")=6,"n.b.",IF(COUNTIF(D59:D64,"C")&gt;=1,"C",IF(COUNTIF(D59:D64,"B")&gt;=1,"B","A")))</f>
        <v>C</v>
      </c>
      <c r="E65" s="612" t="str">
        <f>'Evaluation-Bewertung'!E79</f>
        <v>Overall compliance EG:</v>
      </c>
      <c r="F65" s="613"/>
      <c r="G65" s="613"/>
      <c r="H65" s="613"/>
      <c r="I65" s="613"/>
      <c r="J65" s="613"/>
      <c r="K65" s="613"/>
      <c r="L65" s="613"/>
      <c r="M65" s="614"/>
      <c r="N65" s="614"/>
      <c r="O65" s="615"/>
      <c r="P65" s="615"/>
      <c r="Q65" s="615"/>
      <c r="R65" s="616"/>
      <c r="S65" s="38"/>
      <c r="T65" s="16"/>
      <c r="U65" s="16"/>
      <c r="V65" s="16"/>
      <c r="W65" s="16"/>
      <c r="X65" s="16"/>
      <c r="Y65" s="16"/>
      <c r="Z65" s="16"/>
      <c r="AA65" s="16"/>
      <c r="AB65" s="16"/>
      <c r="AC65" s="16"/>
      <c r="AD65" s="16"/>
      <c r="AE65" s="16"/>
      <c r="AF65" s="16"/>
      <c r="AG65" s="579"/>
      <c r="AH65" s="579"/>
      <c r="AI65" s="608"/>
      <c r="AJ65" s="608"/>
      <c r="AK65" s="608"/>
      <c r="AL65" s="1454" t="e">
        <f>'Evaluation-Bewertung'!AL79</f>
        <v>#N/A</v>
      </c>
      <c r="AM65" s="1454" t="e">
        <f>'Evaluation-Bewertung'!AM79</f>
        <v>#N/A</v>
      </c>
      <c r="AN65" s="1454" t="e">
        <f>'Evaluation-Bewertung'!AN79</f>
        <v>#N/A</v>
      </c>
      <c r="AO65" s="1454" t="e">
        <f>'Evaluation-Bewertung'!AO79</f>
        <v>#N/A</v>
      </c>
      <c r="AP65" s="1454" t="e">
        <f>'Evaluation-Bewertung'!AP79</f>
        <v>#N/A</v>
      </c>
      <c r="AQ65" s="1454" t="e">
        <f>'Evaluation-Bewertung'!AQ79</f>
        <v>#N/A</v>
      </c>
      <c r="AR65" s="1454" t="e">
        <f>'Evaluation-Bewertung'!AR79</f>
        <v>#N/A</v>
      </c>
      <c r="AS65" s="1454" t="e">
        <f>'Evaluation-Bewertung'!AS79</f>
        <v>#N/A</v>
      </c>
      <c r="AT65" s="1454" t="e">
        <f>'Evaluation-Bewertung'!AT79</f>
        <v>#N/A</v>
      </c>
      <c r="AU65" s="1454" t="e">
        <f>'Evaluation-Bewertung'!AU79</f>
        <v>#N/A</v>
      </c>
      <c r="AV65" s="1454" t="e">
        <f>'Evaluation-Bewertung'!AV79</f>
        <v>#N/A</v>
      </c>
      <c r="AW65" s="1454" t="e">
        <f>'Evaluation-Bewertung'!AW79</f>
        <v>#N/A</v>
      </c>
      <c r="AX65" s="1454" t="e">
        <f>'Evaluation-Bewertung'!AX79</f>
        <v>#N/A</v>
      </c>
      <c r="AY65" s="1587"/>
      <c r="AZ65" s="1587"/>
      <c r="BA65" s="741"/>
      <c r="BB65" s="490"/>
      <c r="BC65" s="38"/>
      <c r="BD65" s="38"/>
      <c r="BE65" s="38"/>
      <c r="BF65" s="38"/>
      <c r="BG65" s="610"/>
      <c r="BH65" s="38"/>
      <c r="BI65" s="581"/>
      <c r="BJ65" s="582"/>
    </row>
    <row r="66" spans="2:62" ht="19.5" customHeight="1">
      <c r="B66" s="48"/>
      <c r="C66" s="580"/>
      <c r="D66" s="604"/>
      <c r="E66" s="604"/>
      <c r="F66" s="604"/>
      <c r="G66" s="604"/>
      <c r="H66" s="604"/>
      <c r="I66" s="604"/>
      <c r="J66" s="604"/>
      <c r="K66" s="604"/>
      <c r="L66" s="604"/>
      <c r="M66" s="604"/>
      <c r="N66" s="604"/>
      <c r="O66" s="604"/>
      <c r="P66" s="604"/>
      <c r="Q66" s="604"/>
      <c r="R66" s="604"/>
      <c r="S66" s="604"/>
      <c r="T66" s="580"/>
      <c r="U66" s="579"/>
      <c r="V66" s="579"/>
      <c r="W66" s="579"/>
      <c r="X66" s="579"/>
      <c r="Y66" s="579"/>
      <c r="Z66" s="579"/>
      <c r="AA66" s="579"/>
      <c r="AB66" s="579"/>
      <c r="AC66" s="579"/>
      <c r="AD66" s="579"/>
      <c r="AE66" s="579"/>
      <c r="AF66" s="579"/>
      <c r="AG66" s="579"/>
      <c r="AH66" s="579"/>
      <c r="AI66" s="608"/>
      <c r="AJ66" s="608"/>
      <c r="AK66" s="608"/>
      <c r="AL66" s="608"/>
      <c r="AM66" s="608"/>
      <c r="AN66" s="608"/>
      <c r="AO66" s="608"/>
      <c r="AP66" s="608"/>
      <c r="AQ66" s="608"/>
      <c r="AR66" s="608"/>
      <c r="AS66" s="608"/>
      <c r="AT66" s="608"/>
      <c r="AU66" s="608"/>
      <c r="AV66" s="608"/>
      <c r="AW66" s="608"/>
      <c r="AX66" s="608"/>
      <c r="AY66" s="608"/>
      <c r="AZ66" s="38"/>
      <c r="BA66" s="38"/>
      <c r="BB66" s="38"/>
      <c r="BC66" s="38"/>
      <c r="BD66" s="610"/>
      <c r="BE66" s="38"/>
      <c r="BF66" s="38"/>
      <c r="BG66" s="38"/>
      <c r="BH66" s="38"/>
      <c r="BI66" s="581"/>
      <c r="BJ66" s="582"/>
    </row>
    <row r="67" spans="2:62" ht="15" customHeight="1">
      <c r="B67" s="48"/>
      <c r="D67" s="604"/>
      <c r="E67" s="604"/>
      <c r="F67" s="604"/>
      <c r="G67" s="604"/>
      <c r="H67" s="604"/>
      <c r="I67" s="604"/>
      <c r="J67" s="604"/>
      <c r="K67" s="604"/>
      <c r="L67" s="604"/>
      <c r="M67" s="604"/>
      <c r="N67" s="604"/>
      <c r="O67" s="604"/>
      <c r="P67" s="604"/>
      <c r="Q67" s="604"/>
      <c r="R67" s="604"/>
      <c r="S67" s="604"/>
      <c r="T67" s="31"/>
      <c r="U67" s="579"/>
      <c r="V67" s="38"/>
      <c r="W67" s="579"/>
      <c r="X67" s="579"/>
      <c r="Y67" s="579"/>
      <c r="Z67" s="579"/>
      <c r="AA67" s="579"/>
      <c r="AB67" s="579"/>
      <c r="AC67" s="579"/>
      <c r="AD67" s="579"/>
      <c r="AE67" s="579"/>
      <c r="AF67" s="579"/>
      <c r="AG67" s="579"/>
      <c r="AH67" s="579"/>
      <c r="AI67" s="1474"/>
      <c r="AJ67" s="1474"/>
      <c r="AK67" s="1474"/>
      <c r="AL67" s="1474"/>
      <c r="AM67" s="1474"/>
      <c r="AN67" s="1474"/>
      <c r="AO67" s="1474"/>
      <c r="AP67" s="1474"/>
      <c r="AQ67" s="1596"/>
      <c r="AR67" s="491"/>
      <c r="AS67" s="491"/>
      <c r="AT67" s="964"/>
      <c r="AU67" s="38"/>
      <c r="AV67" s="38"/>
      <c r="AW67" s="38"/>
      <c r="AX67" s="617"/>
      <c r="AY67" s="617"/>
      <c r="AZ67" s="38"/>
      <c r="BA67" s="38"/>
      <c r="BB67" s="38"/>
      <c r="BC67" s="38"/>
      <c r="BD67" s="38"/>
      <c r="BE67" s="606"/>
      <c r="BF67" s="617"/>
      <c r="BG67" s="617"/>
      <c r="BH67" s="617"/>
      <c r="BI67" s="618"/>
      <c r="BJ67" s="34"/>
    </row>
    <row r="68" spans="2:62" ht="14.25" customHeight="1">
      <c r="B68" s="48"/>
      <c r="C68" s="33"/>
      <c r="D68" s="31"/>
      <c r="E68" s="31"/>
      <c r="F68" s="31"/>
      <c r="G68" s="31"/>
      <c r="H68" s="31"/>
      <c r="I68" s="31"/>
      <c r="J68" s="31"/>
      <c r="K68" s="31"/>
      <c r="L68" s="31"/>
      <c r="M68" s="31"/>
      <c r="N68" s="31"/>
      <c r="O68" s="174"/>
      <c r="P68" s="31"/>
      <c r="Q68" s="31"/>
      <c r="R68" s="31"/>
      <c r="S68" s="31"/>
      <c r="T68" s="31"/>
      <c r="U68" s="31"/>
      <c r="V68" s="965"/>
      <c r="W68" s="965"/>
      <c r="X68" s="965"/>
      <c r="Y68" s="606"/>
      <c r="Z68" s="212"/>
      <c r="AA68" s="212"/>
      <c r="AB68" s="31"/>
      <c r="AC68" s="31"/>
      <c r="AD68" s="31"/>
      <c r="AE68" s="619"/>
      <c r="AF68" s="966"/>
      <c r="AG68" s="967"/>
      <c r="AH68" s="966"/>
      <c r="AI68" s="213"/>
      <c r="AJ68" s="213"/>
      <c r="AK68" s="213"/>
      <c r="AL68" s="213"/>
      <c r="AM68" s="213"/>
      <c r="AN68" s="213"/>
      <c r="AO68" s="213"/>
      <c r="AP68" s="213"/>
      <c r="AQ68" s="966"/>
      <c r="AR68" s="212"/>
      <c r="AS68" s="212"/>
      <c r="AT68" s="965"/>
      <c r="AU68" s="38"/>
      <c r="AV68" s="38"/>
      <c r="AW68" s="38"/>
      <c r="AX68" s="617"/>
      <c r="AY68" s="617"/>
      <c r="AZ68" s="38"/>
      <c r="BA68" s="38"/>
      <c r="BB68" s="38"/>
      <c r="BC68" s="38"/>
      <c r="BD68" s="38"/>
      <c r="BE68" s="38"/>
      <c r="BF68" s="617"/>
      <c r="BG68" s="617"/>
      <c r="BH68" s="617"/>
      <c r="BI68" s="618"/>
      <c r="BJ68" s="34"/>
    </row>
    <row r="69" spans="2:62" ht="15" customHeight="1">
      <c r="B69" s="48"/>
      <c r="C69" s="620" t="str">
        <f>'Evaluation-Bewertung'!C83</f>
        <v>At least 2/3 of questions must be answered for each evaluated process element and sub element</v>
      </c>
      <c r="D69" s="580"/>
      <c r="E69" s="580"/>
      <c r="F69" s="580"/>
      <c r="G69" s="580"/>
      <c r="H69" s="580"/>
      <c r="I69" s="31"/>
      <c r="J69" s="580"/>
      <c r="K69" s="580"/>
      <c r="L69" s="580"/>
      <c r="M69" s="580"/>
      <c r="N69" s="578"/>
      <c r="O69" s="621"/>
      <c r="P69" s="622"/>
      <c r="Q69" s="578"/>
      <c r="R69" s="578"/>
      <c r="S69" s="267"/>
      <c r="T69" s="267"/>
      <c r="U69" s="578"/>
      <c r="V69" s="578"/>
      <c r="W69" s="38"/>
      <c r="X69" s="578"/>
      <c r="Y69" s="578"/>
      <c r="Z69" s="578"/>
      <c r="AA69" s="580"/>
      <c r="AB69" s="580"/>
      <c r="AC69" s="580"/>
      <c r="AD69" s="580"/>
      <c r="AE69" s="38"/>
      <c r="AF69" s="38"/>
      <c r="AG69" s="272" t="str">
        <f>'Evaluation-Bewertung'!AG83</f>
        <v xml:space="preserve">Down grading rules must be applied to the classification results (A, B. C). This must be checked by the auditor! </v>
      </c>
      <c r="AH69" s="38"/>
      <c r="AI69" s="38"/>
      <c r="AJ69" s="38"/>
      <c r="AK69" s="38"/>
      <c r="AL69" s="38"/>
      <c r="AQ69" s="38"/>
      <c r="AR69" s="38"/>
      <c r="AS69" s="38"/>
      <c r="AT69" s="38"/>
      <c r="AU69" s="38"/>
      <c r="AV69" s="38"/>
      <c r="AW69" s="38"/>
      <c r="AX69" s="617"/>
      <c r="AY69" s="617"/>
      <c r="AZ69" s="617"/>
      <c r="BA69" s="617"/>
      <c r="BB69" s="617"/>
      <c r="BC69" s="617"/>
      <c r="BD69" s="617"/>
      <c r="BE69" s="617"/>
      <c r="BF69" s="617"/>
      <c r="BG69" s="617"/>
      <c r="BH69" s="617"/>
      <c r="BI69" s="581"/>
      <c r="BJ69" s="582"/>
    </row>
    <row r="70" spans="2:62" ht="7.15" customHeight="1" thickBot="1">
      <c r="B70" s="101"/>
      <c r="C70" s="623"/>
      <c r="D70" s="624"/>
      <c r="E70" s="624"/>
      <c r="F70" s="624"/>
      <c r="G70" s="624"/>
      <c r="H70" s="624"/>
      <c r="I70" s="624"/>
      <c r="J70" s="624"/>
      <c r="K70" s="624"/>
      <c r="L70" s="624"/>
      <c r="M70" s="624"/>
      <c r="N70" s="624"/>
      <c r="O70" s="624"/>
      <c r="P70" s="624"/>
      <c r="Q70" s="624"/>
      <c r="R70" s="624"/>
      <c r="S70" s="624"/>
      <c r="T70" s="624"/>
      <c r="U70" s="624"/>
      <c r="V70" s="624"/>
      <c r="W70" s="624"/>
      <c r="X70" s="624"/>
      <c r="Y70" s="624"/>
      <c r="Z70" s="624"/>
      <c r="AA70" s="624"/>
      <c r="AB70" s="624"/>
      <c r="AC70" s="624"/>
      <c r="AD70" s="624"/>
      <c r="AE70" s="624"/>
      <c r="AF70" s="624"/>
      <c r="AG70" s="624"/>
      <c r="AH70" s="624"/>
      <c r="AI70" s="624"/>
      <c r="AJ70" s="624"/>
      <c r="AK70" s="624"/>
      <c r="AL70" s="624"/>
      <c r="AM70" s="624"/>
      <c r="AN70" s="624"/>
      <c r="AO70" s="624"/>
      <c r="AP70" s="624"/>
      <c r="AQ70" s="624"/>
      <c r="AR70" s="624"/>
      <c r="AS70" s="624"/>
      <c r="AT70" s="624"/>
      <c r="AU70" s="624"/>
      <c r="AV70" s="624"/>
      <c r="AW70" s="624"/>
      <c r="AX70" s="624"/>
      <c r="AY70" s="624"/>
      <c r="AZ70" s="624"/>
      <c r="BA70" s="624"/>
      <c r="BB70" s="624"/>
      <c r="BC70" s="624"/>
      <c r="BD70" s="624"/>
      <c r="BE70" s="624"/>
      <c r="BF70" s="624"/>
      <c r="BG70" s="624"/>
      <c r="BH70" s="624"/>
      <c r="BI70" s="625"/>
      <c r="BJ70" s="582"/>
    </row>
    <row r="71" spans="2:62" ht="10.5" customHeight="1">
      <c r="C71" s="214"/>
      <c r="D71" s="215"/>
      <c r="E71" s="215"/>
      <c r="F71" s="215"/>
      <c r="G71" s="215"/>
      <c r="H71" s="215"/>
      <c r="I71" s="215"/>
      <c r="J71" s="215"/>
      <c r="K71" s="215"/>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row>
    <row r="72" spans="2:62" ht="21" customHeight="1">
      <c r="T72" s="290"/>
      <c r="U72" s="290"/>
      <c r="V72" s="290"/>
      <c r="W72" s="290"/>
      <c r="X72" s="290"/>
      <c r="Y72" s="290"/>
      <c r="Z72" s="290"/>
      <c r="AA72" s="290"/>
      <c r="AB72" s="290"/>
      <c r="AC72" s="290"/>
      <c r="AD72" s="290"/>
      <c r="AE72" s="290"/>
      <c r="AF72" s="290"/>
      <c r="AG72" s="290"/>
      <c r="AH72" s="290"/>
      <c r="AI72" s="290"/>
      <c r="AJ72" s="290"/>
      <c r="AK72" s="290"/>
      <c r="AL72" s="290"/>
      <c r="AM72" s="290"/>
      <c r="AN72" s="290"/>
      <c r="AO72" s="290"/>
      <c r="AP72" s="290"/>
      <c r="AQ72" s="290"/>
      <c r="AR72" s="290"/>
      <c r="AS72" s="290"/>
      <c r="AT72" s="290"/>
      <c r="AU72" s="290"/>
      <c r="AV72" s="290"/>
      <c r="AW72" s="1498"/>
      <c r="AX72" s="1498"/>
      <c r="AY72" s="1498"/>
      <c r="AZ72" s="1498"/>
      <c r="BA72" s="1498"/>
      <c r="BB72" s="1498"/>
      <c r="BC72" s="1498"/>
      <c r="BD72" s="1498"/>
      <c r="BE72" s="1498"/>
      <c r="BF72" s="1498"/>
      <c r="BG72" s="1498"/>
      <c r="BH72" s="1498"/>
      <c r="BI72" s="1498"/>
    </row>
    <row r="73" spans="2:62" ht="138" customHeight="1">
      <c r="D73" s="309" t="s">
        <v>76</v>
      </c>
      <c r="E73" s="310" t="s">
        <v>147</v>
      </c>
      <c r="F73" s="311"/>
      <c r="G73" s="274"/>
      <c r="H73" s="310" t="s">
        <v>153</v>
      </c>
      <c r="I73" s="312" t="s">
        <v>154</v>
      </c>
      <c r="J73" s="289"/>
      <c r="K73" s="289"/>
      <c r="L73" s="289"/>
      <c r="T73" s="290"/>
      <c r="U73" s="290"/>
      <c r="V73" s="290"/>
      <c r="W73" s="290"/>
      <c r="X73" s="290"/>
      <c r="Y73" s="290"/>
      <c r="Z73" s="290"/>
      <c r="AA73" s="290"/>
      <c r="AB73" s="290"/>
      <c r="AC73" s="290"/>
      <c r="AD73" s="290"/>
      <c r="AE73" s="290"/>
      <c r="AF73" s="289"/>
      <c r="AG73" s="289"/>
      <c r="AH73" s="289"/>
      <c r="AI73" s="289"/>
      <c r="AJ73" s="289"/>
      <c r="AK73" s="289"/>
      <c r="AL73" s="289"/>
      <c r="AM73" s="290"/>
      <c r="AN73" s="290"/>
      <c r="AO73" s="290"/>
      <c r="AP73" s="290"/>
      <c r="AQ73" s="290"/>
      <c r="AR73" s="290"/>
      <c r="AS73" s="290"/>
      <c r="AT73" s="290"/>
      <c r="AU73" s="290"/>
      <c r="AV73" s="290"/>
      <c r="AW73" s="1498"/>
      <c r="AX73" s="1498"/>
      <c r="AY73" s="1498"/>
      <c r="AZ73" s="1498"/>
      <c r="BA73" s="1498"/>
      <c r="BB73" s="1498"/>
      <c r="BC73" s="1498"/>
      <c r="BD73" s="1498"/>
      <c r="BE73" s="1498"/>
      <c r="BF73" s="1498"/>
      <c r="BG73" s="1498"/>
      <c r="BH73" s="1498"/>
      <c r="BI73" s="1498"/>
    </row>
    <row r="74" spans="2:62" ht="15.75">
      <c r="D74" s="313" t="s">
        <v>96</v>
      </c>
      <c r="E74" s="38"/>
      <c r="F74" s="38"/>
      <c r="G74" s="38"/>
      <c r="H74" s="38"/>
      <c r="I74" s="275"/>
      <c r="T74" s="290"/>
      <c r="U74" s="290"/>
      <c r="V74" s="290"/>
      <c r="W74" s="290"/>
      <c r="X74" s="290"/>
      <c r="Y74" s="290"/>
      <c r="Z74" s="290"/>
      <c r="AA74" s="290"/>
      <c r="AB74" s="290"/>
      <c r="AC74" s="290"/>
      <c r="AD74" s="290"/>
      <c r="AE74" s="290"/>
      <c r="AM74" s="290"/>
      <c r="AN74" s="290"/>
      <c r="AO74" s="290"/>
      <c r="AP74" s="290"/>
      <c r="AQ74" s="290"/>
      <c r="AR74" s="290"/>
      <c r="AS74" s="290"/>
      <c r="AT74" s="290"/>
      <c r="AU74" s="290"/>
      <c r="AV74" s="290"/>
      <c r="AW74" s="1589"/>
      <c r="AX74" s="1589"/>
      <c r="AY74" s="1589"/>
      <c r="AZ74" s="1589"/>
      <c r="BA74" s="1589"/>
      <c r="BB74" s="1589"/>
      <c r="BC74" s="1589"/>
      <c r="BD74" s="1589"/>
      <c r="BE74" s="1589"/>
      <c r="BF74" s="1589"/>
      <c r="BG74" s="1589"/>
      <c r="BH74" s="1589"/>
      <c r="BI74" s="1589"/>
    </row>
    <row r="75" spans="2:62" ht="15">
      <c r="D75" s="314" t="str">
        <f>+'Questions - Fragen'!$A13</f>
        <v>2.1</v>
      </c>
      <c r="E75" s="38"/>
      <c r="F75" s="38"/>
      <c r="G75" s="38"/>
      <c r="H75" s="38"/>
      <c r="I75" s="275"/>
      <c r="T75" s="290"/>
      <c r="U75" s="290"/>
      <c r="V75" s="290"/>
      <c r="W75" s="290"/>
      <c r="X75" s="290"/>
      <c r="Y75" s="290"/>
      <c r="Z75" s="290"/>
      <c r="AA75" s="290"/>
      <c r="AB75" s="290"/>
      <c r="AC75" s="290"/>
      <c r="AD75" s="290"/>
      <c r="AE75" s="290"/>
      <c r="AM75" s="290"/>
      <c r="AN75" s="290"/>
      <c r="AO75" s="290"/>
      <c r="AP75" s="290"/>
      <c r="AQ75" s="290"/>
      <c r="AR75" s="290"/>
      <c r="AS75" s="290"/>
      <c r="AT75" s="290"/>
      <c r="AU75" s="290"/>
      <c r="AV75" s="290"/>
      <c r="AW75" s="1589"/>
      <c r="AX75" s="1589"/>
      <c r="AY75" s="1589"/>
      <c r="AZ75" s="1589"/>
      <c r="BA75" s="1589"/>
      <c r="BB75" s="1589"/>
      <c r="BC75" s="1589"/>
      <c r="BD75" s="1589"/>
      <c r="BE75" s="1589"/>
      <c r="BF75" s="1589"/>
      <c r="BG75" s="1589"/>
      <c r="BH75" s="1589"/>
      <c r="BI75" s="1589"/>
    </row>
    <row r="76" spans="2:62" ht="15">
      <c r="D76" s="314" t="str">
        <f>+'Questions - Fragen'!$A14</f>
        <v>2.2</v>
      </c>
      <c r="E76" s="38"/>
      <c r="F76" s="38"/>
      <c r="G76" s="38"/>
      <c r="H76" s="38"/>
      <c r="I76" s="275"/>
      <c r="T76" s="290"/>
      <c r="U76" s="744"/>
      <c r="V76" s="744"/>
      <c r="W76" s="291"/>
      <c r="X76" s="744"/>
      <c r="Y76" s="744"/>
      <c r="Z76" s="744"/>
      <c r="AA76" s="744"/>
      <c r="AB76" s="744"/>
      <c r="AC76" s="744"/>
      <c r="AD76" s="744"/>
      <c r="AE76" s="744"/>
      <c r="AF76" s="744"/>
      <c r="AG76" s="744"/>
      <c r="AH76" s="744"/>
      <c r="AI76" s="744"/>
      <c r="AJ76" s="744"/>
      <c r="AK76" s="744"/>
      <c r="AL76" s="744"/>
      <c r="AM76" s="744"/>
      <c r="AN76" s="744"/>
      <c r="AO76" s="744"/>
      <c r="AP76" s="744"/>
      <c r="AQ76" s="744"/>
      <c r="AR76" s="744"/>
      <c r="AS76" s="744"/>
      <c r="AT76" s="744"/>
      <c r="AU76" s="744"/>
      <c r="AV76" s="744"/>
      <c r="AW76" s="1498"/>
      <c r="AX76" s="1498"/>
      <c r="AY76" s="1498"/>
      <c r="AZ76" s="1498"/>
      <c r="BA76" s="1498"/>
      <c r="BB76" s="1498"/>
      <c r="BC76" s="1498"/>
      <c r="BD76" s="1498"/>
      <c r="BE76" s="1498"/>
      <c r="BF76" s="1498"/>
      <c r="BG76" s="1498"/>
      <c r="BH76" s="1498"/>
      <c r="BI76" s="1498"/>
    </row>
    <row r="77" spans="2:62" ht="15">
      <c r="D77" s="314" t="str">
        <f>+'Questions - Fragen'!$A15</f>
        <v>2.3</v>
      </c>
      <c r="E77" s="38"/>
      <c r="F77" s="38"/>
      <c r="G77" s="38"/>
      <c r="H77" s="38"/>
      <c r="I77" s="275"/>
      <c r="T77" s="290"/>
      <c r="U77" s="744"/>
      <c r="V77" s="744"/>
      <c r="W77" s="744"/>
      <c r="X77" s="744"/>
      <c r="Y77" s="744"/>
      <c r="Z77" s="744"/>
      <c r="AA77" s="744"/>
      <c r="AB77" s="744"/>
      <c r="AC77" s="744"/>
      <c r="AD77" s="744"/>
      <c r="AE77" s="744"/>
      <c r="AF77" s="744"/>
      <c r="AG77" s="744"/>
      <c r="AH77" s="744"/>
      <c r="AI77" s="744"/>
      <c r="AJ77" s="744"/>
      <c r="AK77" s="744"/>
      <c r="AL77" s="744"/>
      <c r="AM77" s="744"/>
      <c r="AN77" s="744"/>
      <c r="AO77" s="744"/>
      <c r="AP77" s="744"/>
      <c r="AQ77" s="744"/>
      <c r="AR77" s="744"/>
      <c r="AS77" s="744"/>
      <c r="AT77" s="744"/>
      <c r="AU77" s="744"/>
      <c r="AV77" s="744"/>
      <c r="AW77" s="1498"/>
      <c r="AX77" s="1498"/>
      <c r="AY77" s="1498"/>
      <c r="AZ77" s="1498"/>
      <c r="BA77" s="1498"/>
      <c r="BB77" s="1498"/>
      <c r="BC77" s="1498"/>
      <c r="BD77" s="1498"/>
      <c r="BE77" s="1498"/>
      <c r="BF77" s="1498"/>
      <c r="BG77" s="1498"/>
      <c r="BH77" s="1498"/>
      <c r="BI77" s="1498"/>
    </row>
    <row r="78" spans="2:62" ht="15">
      <c r="D78" s="314" t="str">
        <f>+'Questions - Fragen'!$A16</f>
        <v>2.4</v>
      </c>
      <c r="E78" s="38"/>
      <c r="F78" s="38"/>
      <c r="G78" s="38"/>
      <c r="H78" s="38"/>
      <c r="I78" s="275"/>
      <c r="T78" s="290"/>
      <c r="U78" s="744"/>
      <c r="V78" s="744"/>
      <c r="W78" s="1479"/>
      <c r="X78" s="1480"/>
      <c r="Y78" s="1480"/>
      <c r="Z78" s="1480"/>
      <c r="AA78" s="1480"/>
      <c r="AB78" s="1480"/>
      <c r="AC78" s="1480"/>
      <c r="AD78" s="1480"/>
      <c r="AE78" s="1480"/>
      <c r="AF78" s="1480"/>
      <c r="AG78" s="1480"/>
      <c r="AH78" s="1480"/>
      <c r="AI78" s="1480"/>
      <c r="AJ78" s="1480"/>
      <c r="AK78" s="1480"/>
      <c r="AL78" s="1480"/>
      <c r="AM78" s="1480"/>
      <c r="AN78" s="1480"/>
      <c r="AO78" s="1480"/>
      <c r="AP78" s="1480"/>
      <c r="AQ78" s="1480"/>
      <c r="AR78" s="1480"/>
      <c r="AS78" s="1480"/>
      <c r="AT78" s="1480"/>
      <c r="AU78" s="1480"/>
      <c r="AV78" s="1480"/>
      <c r="AW78" s="1498"/>
      <c r="AX78" s="1498"/>
      <c r="AY78" s="1498"/>
      <c r="AZ78" s="1498"/>
      <c r="BA78" s="1498"/>
      <c r="BB78" s="1498"/>
      <c r="BC78" s="1498"/>
      <c r="BD78" s="1498"/>
      <c r="BE78" s="1498"/>
      <c r="BF78" s="1498"/>
      <c r="BG78" s="1498"/>
      <c r="BH78" s="1498"/>
      <c r="BI78" s="1498"/>
    </row>
    <row r="79" spans="2:62" ht="15">
      <c r="D79" s="314" t="str">
        <f>+'Questions - Fragen'!$A17</f>
        <v>2.5</v>
      </c>
      <c r="E79" s="38" t="str">
        <f>H8</f>
        <v>n.e.</v>
      </c>
      <c r="F79" s="38"/>
      <c r="G79" s="38"/>
      <c r="H79" s="38"/>
      <c r="I79" s="275"/>
      <c r="T79" s="290"/>
      <c r="U79" s="744"/>
      <c r="V79" s="744"/>
      <c r="W79" s="1480"/>
      <c r="X79" s="1480"/>
      <c r="Y79" s="1480"/>
      <c r="Z79" s="1480"/>
      <c r="AA79" s="1480"/>
      <c r="AB79" s="1480"/>
      <c r="AC79" s="1480"/>
      <c r="AD79" s="1480"/>
      <c r="AE79" s="1480"/>
      <c r="AF79" s="1480"/>
      <c r="AG79" s="1480"/>
      <c r="AH79" s="1480"/>
      <c r="AI79" s="1480"/>
      <c r="AJ79" s="1480"/>
      <c r="AK79" s="1480"/>
      <c r="AL79" s="1480"/>
      <c r="AM79" s="1480"/>
      <c r="AN79" s="1480"/>
      <c r="AO79" s="1480"/>
      <c r="AP79" s="1480"/>
      <c r="AQ79" s="1480"/>
      <c r="AR79" s="1480"/>
      <c r="AS79" s="1480"/>
      <c r="AT79" s="1480"/>
      <c r="AU79" s="1480"/>
      <c r="AV79" s="1480"/>
      <c r="AW79" s="1498"/>
      <c r="AX79" s="1498"/>
      <c r="AY79" s="1498"/>
      <c r="AZ79" s="1498"/>
      <c r="BA79" s="1498"/>
      <c r="BB79" s="1498"/>
      <c r="BC79" s="1498"/>
      <c r="BD79" s="1498"/>
      <c r="BE79" s="1498"/>
      <c r="BF79" s="1498"/>
      <c r="BG79" s="1498"/>
      <c r="BH79" s="1498"/>
      <c r="BI79" s="1498"/>
    </row>
    <row r="80" spans="2:62" ht="15">
      <c r="D80" s="314" t="str">
        <f>+'Questions - Fragen'!$A18</f>
        <v>2.6</v>
      </c>
      <c r="E80" s="38" t="str">
        <f>I8</f>
        <v>n.e.</v>
      </c>
      <c r="F80" s="38"/>
      <c r="G80" s="38"/>
      <c r="H80" s="38"/>
      <c r="I80" s="275"/>
      <c r="T80" s="290"/>
      <c r="U80" s="744"/>
      <c r="V80" s="744"/>
      <c r="W80" s="1476"/>
      <c r="X80" s="1477"/>
      <c r="Y80" s="1477"/>
      <c r="Z80" s="1477"/>
      <c r="AA80" s="1477"/>
      <c r="AB80" s="1477"/>
      <c r="AC80" s="1477"/>
      <c r="AD80" s="1477"/>
      <c r="AE80" s="1477"/>
      <c r="AF80" s="1477"/>
      <c r="AG80" s="1477"/>
      <c r="AH80" s="1477"/>
      <c r="AI80" s="1477"/>
      <c r="AJ80" s="1477"/>
      <c r="AK80" s="1477"/>
      <c r="AL80" s="1477"/>
      <c r="AM80" s="1477"/>
      <c r="AN80" s="1477"/>
      <c r="AO80" s="1477"/>
      <c r="AP80" s="1477"/>
      <c r="AQ80" s="1477"/>
      <c r="AR80" s="1477"/>
      <c r="AS80" s="1477"/>
      <c r="AT80" s="1477"/>
      <c r="AU80" s="1477"/>
      <c r="AV80" s="1477"/>
      <c r="AW80" s="1498"/>
      <c r="AX80" s="1498"/>
      <c r="AY80" s="1498"/>
      <c r="AZ80" s="1498"/>
      <c r="BA80" s="1498"/>
      <c r="BB80" s="1498"/>
      <c r="BC80" s="1498"/>
      <c r="BD80" s="1498"/>
      <c r="BE80" s="1498"/>
      <c r="BF80" s="1498"/>
      <c r="BG80" s="1498"/>
      <c r="BH80" s="1498"/>
      <c r="BI80" s="1498"/>
    </row>
    <row r="81" spans="4:61" ht="15">
      <c r="D81" s="314" t="str">
        <f>+'Questions - Fragen'!$A19</f>
        <v>2.7</v>
      </c>
      <c r="E81" s="38"/>
      <c r="F81" s="38"/>
      <c r="G81" s="38"/>
      <c r="H81" s="38"/>
      <c r="I81" s="275"/>
      <c r="T81" s="290"/>
      <c r="U81" s="744"/>
      <c r="V81" s="744"/>
      <c r="W81" s="1477"/>
      <c r="X81" s="1477"/>
      <c r="Y81" s="1477"/>
      <c r="Z81" s="1477"/>
      <c r="AA81" s="1477"/>
      <c r="AB81" s="1477"/>
      <c r="AC81" s="1477"/>
      <c r="AD81" s="1477"/>
      <c r="AE81" s="1477"/>
      <c r="AF81" s="1477"/>
      <c r="AG81" s="1477"/>
      <c r="AH81" s="1477"/>
      <c r="AI81" s="1477"/>
      <c r="AJ81" s="1477"/>
      <c r="AK81" s="1477"/>
      <c r="AL81" s="1477"/>
      <c r="AM81" s="1477"/>
      <c r="AN81" s="1477"/>
      <c r="AO81" s="1477"/>
      <c r="AP81" s="1477"/>
      <c r="AQ81" s="1477"/>
      <c r="AR81" s="1477"/>
      <c r="AS81" s="1477"/>
      <c r="AT81" s="1477"/>
      <c r="AU81" s="1477"/>
      <c r="AV81" s="1477"/>
      <c r="AW81" s="1498"/>
      <c r="AX81" s="1498"/>
      <c r="AY81" s="1498"/>
      <c r="AZ81" s="1498"/>
      <c r="BA81" s="1498"/>
      <c r="BB81" s="1498"/>
      <c r="BC81" s="1498"/>
      <c r="BD81" s="1498"/>
      <c r="BE81" s="1498"/>
      <c r="BF81" s="1498"/>
      <c r="BG81" s="1498"/>
      <c r="BH81" s="1498"/>
      <c r="BI81" s="1498"/>
    </row>
    <row r="82" spans="4:61" ht="15.75">
      <c r="D82" s="315" t="str">
        <f>+'Questions - Fragen'!$A20</f>
        <v>P3</v>
      </c>
      <c r="E82" s="38"/>
      <c r="F82" s="38"/>
      <c r="G82" s="272" t="s">
        <v>96</v>
      </c>
      <c r="H82" s="38" t="str">
        <f>+IF(COUNT(E75:E81)=0,"n.b.",+IF(MIN(E75:E81)=0,"C",+IF(MIN(E75:E81)=4,"B","A")))</f>
        <v>n.b.</v>
      </c>
      <c r="I82" s="275" t="str">
        <f>+A8</f>
        <v>n.e.</v>
      </c>
      <c r="T82" s="290"/>
      <c r="U82" s="744"/>
      <c r="V82" s="744"/>
      <c r="W82" s="1477"/>
      <c r="X82" s="1477"/>
      <c r="Y82" s="1477"/>
      <c r="Z82" s="1477"/>
      <c r="AA82" s="1477"/>
      <c r="AB82" s="1477"/>
      <c r="AC82" s="1477"/>
      <c r="AD82" s="1477"/>
      <c r="AE82" s="1477"/>
      <c r="AF82" s="1477"/>
      <c r="AG82" s="1477"/>
      <c r="AH82" s="1477"/>
      <c r="AI82" s="1477"/>
      <c r="AJ82" s="1477"/>
      <c r="AK82" s="1477"/>
      <c r="AL82" s="1477"/>
      <c r="AM82" s="1477"/>
      <c r="AN82" s="1477"/>
      <c r="AO82" s="1477"/>
      <c r="AP82" s="1477"/>
      <c r="AQ82" s="1477"/>
      <c r="AR82" s="1477"/>
      <c r="AS82" s="1477"/>
      <c r="AT82" s="1477"/>
      <c r="AU82" s="1477"/>
      <c r="AV82" s="1477"/>
      <c r="AW82" s="1482"/>
      <c r="AX82" s="1482"/>
      <c r="AY82" s="1482"/>
      <c r="AZ82" s="1482"/>
      <c r="BA82" s="1482"/>
      <c r="BB82" s="1482"/>
      <c r="BC82" s="1482"/>
      <c r="BD82" s="1482"/>
      <c r="BE82" s="1482"/>
      <c r="BF82" s="1482"/>
      <c r="BG82" s="1482"/>
      <c r="BH82" s="1482"/>
      <c r="BI82" s="1482"/>
    </row>
    <row r="83" spans="4:61" ht="15">
      <c r="D83" s="314" t="str">
        <f>+'Questions - Fragen'!$A22</f>
        <v>3.1</v>
      </c>
      <c r="E83" s="38"/>
      <c r="F83" s="38"/>
      <c r="G83" s="38"/>
      <c r="H83" s="38"/>
      <c r="I83" s="275"/>
      <c r="T83" s="290"/>
      <c r="U83" s="744"/>
      <c r="V83" s="744"/>
      <c r="W83" s="1476"/>
      <c r="X83" s="1477"/>
      <c r="Y83" s="1477"/>
      <c r="Z83" s="1477"/>
      <c r="AA83" s="1477"/>
      <c r="AB83" s="1477"/>
      <c r="AC83" s="1477"/>
      <c r="AD83" s="1477"/>
      <c r="AE83" s="1477"/>
      <c r="AF83" s="1477"/>
      <c r="AG83" s="1477"/>
      <c r="AH83" s="1477"/>
      <c r="AI83" s="1477"/>
      <c r="AJ83" s="1477"/>
      <c r="AK83" s="1477"/>
      <c r="AL83" s="1477"/>
      <c r="AM83" s="1477"/>
      <c r="AN83" s="1477"/>
      <c r="AO83" s="1477"/>
      <c r="AP83" s="1477"/>
      <c r="AQ83" s="1477"/>
      <c r="AR83" s="1477"/>
      <c r="AS83" s="1477"/>
      <c r="AT83" s="1477"/>
      <c r="AU83" s="1477"/>
      <c r="AV83" s="1477"/>
      <c r="AW83" s="1481"/>
      <c r="AX83" s="1482"/>
      <c r="AY83" s="1482"/>
      <c r="AZ83" s="1482"/>
      <c r="BA83" s="1482"/>
      <c r="BB83" s="1482"/>
      <c r="BC83" s="1482"/>
      <c r="BD83" s="1482"/>
      <c r="BE83" s="1482"/>
      <c r="BF83" s="1482"/>
      <c r="BG83" s="1482"/>
      <c r="BH83" s="1482"/>
      <c r="BI83" s="1482"/>
    </row>
    <row r="84" spans="4:61" ht="15">
      <c r="D84" s="314" t="str">
        <f>+'Questions - Fragen'!$A25</f>
        <v>3.2</v>
      </c>
      <c r="E84" s="38" t="str">
        <f>IF(COUNT(J84:K84)&gt;0,MIN(J84:K84),"n.b")</f>
        <v>n.b</v>
      </c>
      <c r="F84" s="38"/>
      <c r="G84" s="38"/>
      <c r="H84" s="38"/>
      <c r="I84" s="275"/>
      <c r="J84" s="167" t="str">
        <f>E14</f>
        <v>n.e.</v>
      </c>
      <c r="K84" s="167" t="str">
        <f>P14</f>
        <v>n.e.</v>
      </c>
      <c r="T84" s="290"/>
      <c r="U84" s="744"/>
      <c r="V84" s="744"/>
      <c r="W84" s="1477"/>
      <c r="X84" s="1477"/>
      <c r="Y84" s="1477"/>
      <c r="Z84" s="1477"/>
      <c r="AA84" s="1477"/>
      <c r="AB84" s="1477"/>
      <c r="AC84" s="1477"/>
      <c r="AD84" s="1477"/>
      <c r="AE84" s="1477"/>
      <c r="AF84" s="1477"/>
      <c r="AG84" s="1477"/>
      <c r="AH84" s="1477"/>
      <c r="AI84" s="1477"/>
      <c r="AJ84" s="1477"/>
      <c r="AK84" s="1477"/>
      <c r="AL84" s="1477"/>
      <c r="AM84" s="1477"/>
      <c r="AN84" s="1477"/>
      <c r="AO84" s="1477"/>
      <c r="AP84" s="1477"/>
      <c r="AQ84" s="1477"/>
      <c r="AR84" s="1477"/>
      <c r="AS84" s="1477"/>
      <c r="AT84" s="1477"/>
      <c r="AU84" s="1477"/>
      <c r="AV84" s="1477"/>
      <c r="AW84" s="1482"/>
      <c r="AX84" s="1482"/>
      <c r="AY84" s="1482"/>
      <c r="AZ84" s="1482"/>
      <c r="BA84" s="1482"/>
      <c r="BB84" s="1482"/>
      <c r="BC84" s="1482"/>
      <c r="BD84" s="1482"/>
      <c r="BE84" s="1482"/>
      <c r="BF84" s="1482"/>
      <c r="BG84" s="1482"/>
      <c r="BH84" s="1482"/>
      <c r="BI84" s="1482"/>
    </row>
    <row r="85" spans="4:61" ht="15">
      <c r="D85" s="314" t="str">
        <f>+'Questions - Fragen'!$A28</f>
        <v>3.3</v>
      </c>
      <c r="E85" s="38"/>
      <c r="F85" s="38"/>
      <c r="G85" s="38"/>
      <c r="H85" s="38"/>
      <c r="I85" s="275"/>
      <c r="J85" s="167"/>
      <c r="K85" s="167"/>
      <c r="T85" s="290"/>
      <c r="U85" s="744"/>
      <c r="V85" s="744"/>
      <c r="W85" s="1588"/>
      <c r="X85" s="1588"/>
      <c r="Y85" s="1588"/>
      <c r="Z85" s="1588"/>
      <c r="AA85" s="1588"/>
      <c r="AB85" s="1588"/>
      <c r="AC85" s="1588"/>
      <c r="AD85" s="1588"/>
      <c r="AE85" s="1588"/>
      <c r="AF85" s="1588"/>
      <c r="AG85" s="1588"/>
      <c r="AH85" s="1588"/>
      <c r="AI85" s="1588"/>
      <c r="AJ85" s="1588"/>
      <c r="AK85" s="1588"/>
      <c r="AL85" s="1588"/>
      <c r="AM85" s="1588"/>
      <c r="AN85" s="1588"/>
      <c r="AO85" s="1588"/>
      <c r="AP85" s="1588"/>
      <c r="AQ85" s="1588"/>
      <c r="AR85" s="1588"/>
      <c r="AS85" s="1588"/>
      <c r="AT85" s="1588"/>
      <c r="AU85" s="1588"/>
      <c r="AV85" s="1588"/>
      <c r="AW85" s="1481"/>
      <c r="AX85" s="1482"/>
      <c r="AY85" s="1482"/>
      <c r="AZ85" s="1482"/>
      <c r="BA85" s="1482"/>
      <c r="BB85" s="1482"/>
      <c r="BC85" s="1482"/>
      <c r="BD85" s="1482"/>
      <c r="BE85" s="1482"/>
      <c r="BF85" s="1482"/>
      <c r="BG85" s="1482"/>
      <c r="BH85" s="1482"/>
      <c r="BI85" s="1482"/>
    </row>
    <row r="86" spans="4:61" ht="15">
      <c r="D86" s="314" t="str">
        <f>+'Questions - Fragen'!$A31</f>
        <v>3.4</v>
      </c>
      <c r="E86" s="38"/>
      <c r="F86" s="38"/>
      <c r="G86" s="38"/>
      <c r="H86" s="38"/>
      <c r="I86" s="275"/>
      <c r="J86" s="167"/>
      <c r="K86" s="167"/>
      <c r="T86" s="290"/>
      <c r="U86" s="744"/>
      <c r="V86" s="744"/>
      <c r="W86" s="1588"/>
      <c r="X86" s="1588"/>
      <c r="Y86" s="1588"/>
      <c r="Z86" s="1588"/>
      <c r="AA86" s="1588"/>
      <c r="AB86" s="1588"/>
      <c r="AC86" s="1588"/>
      <c r="AD86" s="1588"/>
      <c r="AE86" s="1588"/>
      <c r="AF86" s="1588"/>
      <c r="AG86" s="1588"/>
      <c r="AH86" s="1588"/>
      <c r="AI86" s="1588"/>
      <c r="AJ86" s="1588"/>
      <c r="AK86" s="1588"/>
      <c r="AL86" s="1588"/>
      <c r="AM86" s="1588"/>
      <c r="AN86" s="1588"/>
      <c r="AO86" s="1588"/>
      <c r="AP86" s="1588"/>
      <c r="AQ86" s="1588"/>
      <c r="AR86" s="1588"/>
      <c r="AS86" s="1588"/>
      <c r="AT86" s="1588"/>
      <c r="AU86" s="1588"/>
      <c r="AV86" s="1588"/>
      <c r="AW86" s="1482"/>
      <c r="AX86" s="1482"/>
      <c r="AY86" s="1482"/>
      <c r="AZ86" s="1482"/>
      <c r="BA86" s="1482"/>
      <c r="BB86" s="1482"/>
      <c r="BC86" s="1482"/>
      <c r="BD86" s="1482"/>
      <c r="BE86" s="1482"/>
      <c r="BF86" s="1482"/>
      <c r="BG86" s="1482"/>
      <c r="BH86" s="1482"/>
      <c r="BI86" s="1482"/>
    </row>
    <row r="87" spans="4:61">
      <c r="D87" s="314" t="str">
        <f>+'Questions - Fragen'!$A34</f>
        <v>3.5</v>
      </c>
      <c r="E87" s="38"/>
      <c r="F87" s="38"/>
      <c r="G87" s="38"/>
      <c r="H87" s="38"/>
      <c r="I87" s="275"/>
      <c r="J87" s="167"/>
      <c r="K87" s="167"/>
      <c r="T87" s="260"/>
      <c r="U87" s="1497"/>
      <c r="V87" s="1497"/>
      <c r="W87" s="1497"/>
      <c r="X87" s="1497"/>
      <c r="Y87" s="1497"/>
      <c r="Z87" s="1497"/>
      <c r="AA87" s="1497"/>
      <c r="AB87" s="1497"/>
      <c r="AC87" s="1497"/>
      <c r="AD87" s="1497"/>
      <c r="AE87" s="1497"/>
      <c r="AF87" s="1497"/>
      <c r="AG87" s="1497"/>
      <c r="AH87" s="1497"/>
      <c r="AI87" s="1497"/>
      <c r="AJ87" s="1497"/>
      <c r="AK87" s="1497"/>
      <c r="AL87" s="1497"/>
      <c r="AM87" s="1497"/>
      <c r="AN87" s="1497"/>
      <c r="AO87" s="1497"/>
      <c r="AP87" s="1497"/>
      <c r="AQ87" s="1497"/>
      <c r="AR87" s="1497"/>
      <c r="AS87" s="1497"/>
      <c r="AT87" s="1497"/>
      <c r="AU87" s="1497"/>
      <c r="AV87" s="1497"/>
      <c r="AW87" s="1482"/>
      <c r="AX87" s="1482"/>
      <c r="AY87" s="1482"/>
      <c r="AZ87" s="1482"/>
      <c r="BA87" s="1482"/>
      <c r="BB87" s="1482"/>
      <c r="BC87" s="1482"/>
      <c r="BD87" s="1482"/>
      <c r="BE87" s="1482"/>
      <c r="BF87" s="1482"/>
      <c r="BG87" s="1482"/>
      <c r="BH87" s="1482"/>
      <c r="BI87" s="1482"/>
    </row>
    <row r="88" spans="4:61" ht="15">
      <c r="D88" s="315" t="str">
        <f>+'Questions - Fragen'!$A37</f>
        <v>P4</v>
      </c>
      <c r="E88" s="38"/>
      <c r="F88" s="38"/>
      <c r="G88" s="272" t="s">
        <v>97</v>
      </c>
      <c r="H88" s="38" t="str">
        <f>+IF(COUNT(E82:E87)=0,"n.b.",+IF(MIN(E82:E87)=0,"C",+IF(MIN(E82:E87)=4,"B","A")))</f>
        <v>n.b.</v>
      </c>
      <c r="I88" s="275" t="str">
        <f>+A14</f>
        <v>n.e.</v>
      </c>
      <c r="J88" s="167"/>
      <c r="K88" s="167"/>
      <c r="T88" s="260"/>
      <c r="U88" s="1497"/>
      <c r="V88" s="1497"/>
      <c r="W88" s="1497"/>
      <c r="X88" s="1497"/>
      <c r="Y88" s="1497"/>
      <c r="Z88" s="1497"/>
      <c r="AA88" s="1497"/>
      <c r="AB88" s="1497"/>
      <c r="AC88" s="1497"/>
      <c r="AD88" s="1497"/>
      <c r="AE88" s="1497"/>
      <c r="AF88" s="1497"/>
      <c r="AG88" s="1497"/>
      <c r="AH88" s="1497"/>
      <c r="AI88" s="1497"/>
      <c r="AJ88" s="1497"/>
      <c r="AK88" s="1497"/>
      <c r="AL88" s="1497"/>
      <c r="AM88" s="1497"/>
      <c r="AN88" s="1497"/>
      <c r="AO88" s="1497"/>
      <c r="AP88" s="1497"/>
      <c r="AQ88" s="1497"/>
      <c r="AR88" s="1497"/>
      <c r="AS88" s="1497"/>
      <c r="AT88" s="1497"/>
      <c r="AU88" s="1497"/>
      <c r="AV88" s="1497"/>
      <c r="AW88" s="1482"/>
      <c r="AX88" s="1482"/>
      <c r="AY88" s="1482"/>
      <c r="AZ88" s="1482"/>
      <c r="BA88" s="1482"/>
      <c r="BB88" s="1482"/>
      <c r="BC88" s="1482"/>
      <c r="BD88" s="1482"/>
      <c r="BE88" s="1482"/>
      <c r="BF88" s="1482"/>
      <c r="BG88" s="1482"/>
      <c r="BH88" s="1482"/>
      <c r="BI88" s="1482"/>
    </row>
    <row r="89" spans="4:61">
      <c r="D89" s="314" t="str">
        <f>+'Questions - Fragen'!$A39</f>
        <v>4.1</v>
      </c>
      <c r="E89" s="38" t="str">
        <f>IF(COUNT(J89:K89)&gt;0,MIN(J89:K89),"n.b")</f>
        <v>n.b</v>
      </c>
      <c r="F89" s="38"/>
      <c r="G89" s="38"/>
      <c r="H89" s="38"/>
      <c r="I89" s="275"/>
      <c r="J89" s="167" t="str">
        <f>D22</f>
        <v>n.e.</v>
      </c>
      <c r="K89" s="167" t="str">
        <f>Q22</f>
        <v>n.e.</v>
      </c>
      <c r="T89" s="260"/>
      <c r="U89" s="1497"/>
      <c r="V89" s="1497"/>
      <c r="W89" s="1497"/>
      <c r="X89" s="1497"/>
      <c r="Y89" s="1497"/>
      <c r="Z89" s="1497"/>
      <c r="AA89" s="1497"/>
      <c r="AB89" s="1497"/>
      <c r="AC89" s="1497"/>
      <c r="AD89" s="1497"/>
      <c r="AE89" s="1497"/>
      <c r="AF89" s="1497"/>
      <c r="AG89" s="1497"/>
      <c r="AH89" s="1497"/>
      <c r="AI89" s="1497"/>
      <c r="AJ89" s="1497"/>
      <c r="AK89" s="1497"/>
      <c r="AL89" s="1497"/>
      <c r="AM89" s="1497"/>
      <c r="AN89" s="1497"/>
      <c r="AO89" s="1497"/>
      <c r="AP89" s="1497"/>
      <c r="AQ89" s="1497"/>
      <c r="AR89" s="1497"/>
      <c r="AS89" s="1497"/>
      <c r="AT89" s="1497"/>
      <c r="AU89" s="1497"/>
      <c r="AV89" s="1497"/>
      <c r="AW89" s="1482"/>
      <c r="AX89" s="1482"/>
      <c r="AY89" s="1482"/>
      <c r="AZ89" s="1482"/>
      <c r="BA89" s="1482"/>
      <c r="BB89" s="1482"/>
      <c r="BC89" s="1482"/>
      <c r="BD89" s="1482"/>
      <c r="BE89" s="1482"/>
      <c r="BF89" s="1482"/>
      <c r="BG89" s="1482"/>
      <c r="BH89" s="1482"/>
      <c r="BI89" s="1482"/>
    </row>
    <row r="90" spans="4:61">
      <c r="D90" s="314" t="str">
        <f>+'Questions - Fragen'!$A42</f>
        <v>4.2</v>
      </c>
      <c r="E90" s="38"/>
      <c r="F90" s="38"/>
      <c r="G90" s="38"/>
      <c r="H90" s="38"/>
      <c r="I90" s="275"/>
      <c r="J90" s="167"/>
      <c r="K90" s="167"/>
      <c r="T90" s="260"/>
      <c r="U90" s="1497"/>
      <c r="V90" s="1497"/>
      <c r="W90" s="1497"/>
      <c r="X90" s="1497"/>
      <c r="Y90" s="1497"/>
      <c r="Z90" s="1497"/>
      <c r="AA90" s="1497"/>
      <c r="AB90" s="1497"/>
      <c r="AC90" s="1497"/>
      <c r="AD90" s="1497"/>
      <c r="AE90" s="1497"/>
      <c r="AF90" s="1497"/>
      <c r="AG90" s="1497"/>
      <c r="AH90" s="1497"/>
      <c r="AI90" s="1497"/>
      <c r="AJ90" s="1497"/>
      <c r="AK90" s="1497"/>
      <c r="AL90" s="1497"/>
      <c r="AM90" s="1497"/>
      <c r="AN90" s="1497"/>
      <c r="AO90" s="1497"/>
      <c r="AP90" s="1497"/>
      <c r="AQ90" s="1497"/>
      <c r="AR90" s="1497"/>
      <c r="AS90" s="1497"/>
      <c r="AT90" s="1497"/>
      <c r="AU90" s="1497"/>
      <c r="AV90" s="1497"/>
      <c r="AW90" s="1482"/>
      <c r="AX90" s="1482"/>
      <c r="AY90" s="1482"/>
      <c r="AZ90" s="1482"/>
      <c r="BA90" s="1482"/>
      <c r="BB90" s="1482"/>
      <c r="BC90" s="1482"/>
      <c r="BD90" s="1482"/>
      <c r="BE90" s="1482"/>
      <c r="BF90" s="1482"/>
      <c r="BG90" s="1482"/>
      <c r="BH90" s="1482"/>
      <c r="BI90" s="1482"/>
    </row>
    <row r="91" spans="4:61">
      <c r="D91" s="314" t="str">
        <f>+'Questions - Fragen'!$A45</f>
        <v>4.3</v>
      </c>
      <c r="E91" s="38"/>
      <c r="F91" s="38"/>
      <c r="G91" s="38"/>
      <c r="H91" s="38"/>
      <c r="I91" s="275"/>
      <c r="J91" s="167"/>
      <c r="K91" s="167"/>
      <c r="T91" s="260"/>
      <c r="U91" s="1497"/>
      <c r="V91" s="1497"/>
      <c r="W91" s="1497"/>
      <c r="X91" s="1497"/>
      <c r="Y91" s="1497"/>
      <c r="Z91" s="1497"/>
      <c r="AA91" s="1497"/>
      <c r="AB91" s="1497"/>
      <c r="AC91" s="1497"/>
      <c r="AD91" s="1497"/>
      <c r="AE91" s="1497"/>
      <c r="AF91" s="1497"/>
      <c r="AG91" s="1497"/>
      <c r="AH91" s="1497"/>
      <c r="AI91" s="1497"/>
      <c r="AJ91" s="1497"/>
      <c r="AK91" s="1497"/>
      <c r="AL91" s="1497"/>
      <c r="AM91" s="1497"/>
      <c r="AN91" s="1497"/>
      <c r="AO91" s="1497"/>
      <c r="AP91" s="1497"/>
      <c r="AQ91" s="1497"/>
      <c r="AR91" s="1497"/>
      <c r="AS91" s="1497"/>
      <c r="AT91" s="1497"/>
      <c r="AU91" s="1497"/>
      <c r="AV91" s="1497"/>
      <c r="AW91" s="1482"/>
      <c r="AX91" s="1482"/>
      <c r="AY91" s="1482"/>
      <c r="AZ91" s="1482"/>
      <c r="BA91" s="1482"/>
      <c r="BB91" s="1482"/>
      <c r="BC91" s="1482"/>
      <c r="BD91" s="1482"/>
      <c r="BE91" s="1482"/>
      <c r="BF91" s="1482"/>
      <c r="BG91" s="1482"/>
      <c r="BH91" s="1482"/>
      <c r="BI91" s="1482"/>
    </row>
    <row r="92" spans="4:61">
      <c r="D92" s="314" t="str">
        <f>+'Questions - Fragen'!$A48</f>
        <v>4.4</v>
      </c>
      <c r="E92" s="38" t="str">
        <f>IF(COUNT(J92:K92)&gt;0,MIN(J92:K92),"n.b")</f>
        <v>n.b</v>
      </c>
      <c r="F92" s="38"/>
      <c r="G92" s="38"/>
      <c r="H92" s="38"/>
      <c r="I92" s="275"/>
      <c r="J92" s="167" t="str">
        <f>G22</f>
        <v>n.e.</v>
      </c>
      <c r="K92" s="167" t="str">
        <f>T22</f>
        <v>n.e.</v>
      </c>
      <c r="T92" s="260"/>
      <c r="U92" s="1497"/>
      <c r="V92" s="1497"/>
      <c r="W92" s="1497"/>
      <c r="X92" s="1497"/>
      <c r="Y92" s="1497"/>
      <c r="Z92" s="1497"/>
      <c r="AA92" s="1497"/>
      <c r="AB92" s="1497"/>
      <c r="AC92" s="1497"/>
      <c r="AD92" s="1497"/>
      <c r="AE92" s="1497"/>
      <c r="AF92" s="1497"/>
      <c r="AG92" s="1497"/>
      <c r="AH92" s="1497"/>
      <c r="AI92" s="1497"/>
      <c r="AJ92" s="1497"/>
      <c r="AK92" s="1497"/>
      <c r="AL92" s="1497"/>
      <c r="AM92" s="1497"/>
      <c r="AN92" s="1497"/>
      <c r="AO92" s="1497"/>
      <c r="AP92" s="1497"/>
      <c r="AQ92" s="1497"/>
      <c r="AR92" s="1497"/>
      <c r="AS92" s="1497"/>
      <c r="AT92" s="1497"/>
      <c r="AU92" s="1497"/>
      <c r="AV92" s="1497"/>
      <c r="AW92" s="1482"/>
      <c r="AX92" s="1482"/>
      <c r="AY92" s="1482"/>
      <c r="AZ92" s="1482"/>
      <c r="BA92" s="1482"/>
      <c r="BB92" s="1482"/>
      <c r="BC92" s="1482"/>
      <c r="BD92" s="1482"/>
      <c r="BE92" s="1482"/>
      <c r="BF92" s="1482"/>
      <c r="BG92" s="1482"/>
      <c r="BH92" s="1482"/>
      <c r="BI92" s="1482"/>
    </row>
    <row r="93" spans="4:61">
      <c r="D93" s="314" t="str">
        <f>+'Questions - Fragen'!$A51</f>
        <v>4.5</v>
      </c>
      <c r="E93" s="38"/>
      <c r="F93" s="38"/>
      <c r="G93" s="38"/>
      <c r="H93" s="38"/>
      <c r="I93" s="275"/>
      <c r="J93" s="167"/>
      <c r="K93" s="167"/>
      <c r="T93" s="260"/>
      <c r="U93" s="1497"/>
      <c r="V93" s="1497"/>
      <c r="W93" s="1497"/>
      <c r="X93" s="1497"/>
      <c r="Y93" s="1497"/>
      <c r="Z93" s="1497"/>
      <c r="AA93" s="1497"/>
      <c r="AB93" s="1497"/>
      <c r="AC93" s="1497"/>
      <c r="AD93" s="1497"/>
      <c r="AE93" s="1497"/>
      <c r="AF93" s="1497"/>
      <c r="AG93" s="1497"/>
      <c r="AH93" s="1497"/>
      <c r="AI93" s="1497"/>
      <c r="AJ93" s="1497"/>
      <c r="AK93" s="1497"/>
      <c r="AL93" s="1497"/>
      <c r="AM93" s="1497"/>
      <c r="AN93" s="1497"/>
      <c r="AO93" s="1497"/>
      <c r="AP93" s="1497"/>
      <c r="AQ93" s="1497"/>
      <c r="AR93" s="1497"/>
      <c r="AS93" s="1497"/>
      <c r="AT93" s="1497"/>
      <c r="AU93" s="1497"/>
      <c r="AV93" s="1497"/>
      <c r="AW93" s="1482"/>
      <c r="AX93" s="1482"/>
      <c r="AY93" s="1482"/>
      <c r="AZ93" s="1482"/>
      <c r="BA93" s="1482"/>
      <c r="BB93" s="1482"/>
      <c r="BC93" s="1482"/>
      <c r="BD93" s="1482"/>
      <c r="BE93" s="1482"/>
      <c r="BF93" s="1482"/>
      <c r="BG93" s="1482"/>
      <c r="BH93" s="1482"/>
      <c r="BI93" s="1482"/>
    </row>
    <row r="94" spans="4:61">
      <c r="D94" s="314" t="str">
        <f>+'Questions - Fragen'!$A54</f>
        <v>4.6</v>
      </c>
      <c r="E94" s="38"/>
      <c r="F94" s="38"/>
      <c r="G94" s="38"/>
      <c r="H94" s="38"/>
      <c r="I94" s="275"/>
      <c r="J94" s="167"/>
      <c r="K94" s="167"/>
      <c r="T94" s="260"/>
      <c r="U94" s="1497"/>
      <c r="V94" s="1497"/>
      <c r="W94" s="1497"/>
      <c r="X94" s="1497"/>
      <c r="Y94" s="1497"/>
      <c r="Z94" s="1497"/>
      <c r="AA94" s="1497"/>
      <c r="AB94" s="1497"/>
      <c r="AC94" s="1497"/>
      <c r="AD94" s="1497"/>
      <c r="AE94" s="1497"/>
      <c r="AF94" s="1497"/>
      <c r="AG94" s="1497"/>
      <c r="AH94" s="1497"/>
      <c r="AI94" s="1497"/>
      <c r="AJ94" s="1497"/>
      <c r="AK94" s="1497"/>
      <c r="AL94" s="1497"/>
      <c r="AM94" s="1497"/>
      <c r="AN94" s="1497"/>
      <c r="AO94" s="1497"/>
      <c r="AP94" s="1497"/>
      <c r="AQ94" s="1497"/>
      <c r="AR94" s="1497"/>
      <c r="AS94" s="1497"/>
      <c r="AT94" s="1497"/>
      <c r="AU94" s="1497"/>
      <c r="AV94" s="1497"/>
      <c r="AW94" s="1482"/>
      <c r="AX94" s="1482"/>
      <c r="AY94" s="1482"/>
      <c r="AZ94" s="1482"/>
      <c r="BA94" s="1482"/>
      <c r="BB94" s="1482"/>
      <c r="BC94" s="1482"/>
      <c r="BD94" s="1482"/>
      <c r="BE94" s="1482"/>
      <c r="BF94" s="1482"/>
      <c r="BG94" s="1482"/>
      <c r="BH94" s="1482"/>
      <c r="BI94" s="1482"/>
    </row>
    <row r="95" spans="4:61" ht="15">
      <c r="D95" s="398" t="str">
        <f>+'Questions - Fragen'!$A56</f>
        <v>4.7</v>
      </c>
      <c r="E95" s="38"/>
      <c r="F95" s="38"/>
      <c r="G95" s="38"/>
      <c r="H95" s="38"/>
      <c r="I95" s="275"/>
      <c r="J95" s="167"/>
      <c r="K95" s="167"/>
      <c r="T95" s="260"/>
      <c r="U95" s="1022"/>
      <c r="V95" s="1022"/>
      <c r="W95" s="1022"/>
      <c r="X95" s="1022"/>
      <c r="Y95" s="1022"/>
      <c r="Z95" s="1022"/>
      <c r="AA95" s="1022"/>
      <c r="AB95" s="1022"/>
      <c r="AC95" s="1022"/>
      <c r="AD95" s="1022"/>
      <c r="AE95" s="1022"/>
      <c r="AF95" s="1022"/>
      <c r="AG95" s="1022"/>
      <c r="AH95" s="1022"/>
      <c r="AI95" s="1022"/>
      <c r="AJ95" s="1022"/>
      <c r="AK95" s="1022"/>
      <c r="AL95" s="1022"/>
      <c r="AM95" s="1022"/>
      <c r="AN95" s="1022"/>
      <c r="AO95" s="1022"/>
      <c r="AP95" s="1022"/>
      <c r="AQ95" s="1022"/>
      <c r="AR95" s="1022"/>
      <c r="AS95" s="1022"/>
      <c r="AT95" s="1022"/>
      <c r="AU95" s="1022"/>
      <c r="AV95" s="1022"/>
      <c r="AW95" s="1021"/>
      <c r="AX95" s="1021"/>
      <c r="AY95" s="1021"/>
      <c r="AZ95" s="1021"/>
      <c r="BA95" s="1021"/>
      <c r="BB95" s="1021"/>
      <c r="BC95" s="1021"/>
      <c r="BD95" s="1021"/>
      <c r="BE95" s="1021"/>
      <c r="BF95" s="1021"/>
      <c r="BG95" s="1021"/>
      <c r="BH95" s="1021"/>
      <c r="BI95" s="1021"/>
    </row>
    <row r="96" spans="4:61" ht="15">
      <c r="D96" s="314" t="str">
        <f>+'Questions - Fragen'!$A58</f>
        <v>4.8</v>
      </c>
      <c r="E96" s="38" t="str">
        <f>IF(COUNT(J96:K96)&gt;0,MIN(J96:K96),"n.b")</f>
        <v>n.b</v>
      </c>
      <c r="F96" s="38"/>
      <c r="G96" s="38"/>
      <c r="H96" s="38"/>
      <c r="I96" s="275"/>
      <c r="J96" s="167" t="str">
        <f>K22</f>
        <v>n.e.</v>
      </c>
      <c r="K96" s="167" t="str">
        <f>X22</f>
        <v>n.e.</v>
      </c>
      <c r="T96" s="260"/>
      <c r="U96" s="1497"/>
      <c r="V96" s="1497"/>
      <c r="W96" s="1497"/>
      <c r="X96" s="1497"/>
      <c r="Y96" s="1497"/>
      <c r="Z96" s="1497"/>
      <c r="AA96" s="1497"/>
      <c r="AB96" s="1497"/>
      <c r="AC96" s="1497"/>
      <c r="AD96" s="1497"/>
      <c r="AE96" s="1497"/>
      <c r="AF96" s="1497"/>
      <c r="AG96" s="1497"/>
      <c r="AH96" s="1497"/>
      <c r="AI96" s="1497"/>
      <c r="AJ96" s="1497"/>
      <c r="AK96" s="1497"/>
      <c r="AL96" s="1497"/>
      <c r="AM96" s="1497"/>
      <c r="AN96" s="1497"/>
      <c r="AO96" s="1497"/>
      <c r="AP96" s="1497"/>
      <c r="AQ96" s="1497"/>
      <c r="AR96" s="1497"/>
      <c r="AS96" s="1497"/>
      <c r="AT96" s="1497"/>
      <c r="AU96" s="1497"/>
      <c r="AV96" s="1497"/>
      <c r="AW96" s="1482"/>
      <c r="AX96" s="1482"/>
      <c r="AY96" s="1482"/>
      <c r="AZ96" s="1482"/>
      <c r="BA96" s="1482"/>
      <c r="BB96" s="1482"/>
      <c r="BC96" s="1482"/>
      <c r="BD96" s="1482"/>
      <c r="BE96" s="1482"/>
      <c r="BF96" s="1482"/>
      <c r="BG96" s="1482"/>
      <c r="BH96" s="1482"/>
      <c r="BI96" s="1482"/>
    </row>
    <row r="97" spans="4:20" ht="15">
      <c r="D97" s="315" t="str">
        <f>+'Questions - Fragen'!$A61</f>
        <v>P5</v>
      </c>
      <c r="E97" s="38"/>
      <c r="F97" s="38"/>
      <c r="G97" s="272" t="s">
        <v>98</v>
      </c>
      <c r="H97" s="38" t="str">
        <f>+IF(COUNT(E89:E96)=0,"n.b.",+IF(MIN(E89:E96)=0,"C",+IF(MIN(E89:E96)=4,"B","A")))</f>
        <v>n.b.</v>
      </c>
      <c r="I97" s="275" t="str">
        <f>+A22</f>
        <v>n.e.</v>
      </c>
    </row>
    <row r="98" spans="4:20">
      <c r="D98" s="314" t="str">
        <f>+'Questions - Fragen'!$A62</f>
        <v>5.1</v>
      </c>
      <c r="E98" s="38"/>
      <c r="F98" s="38"/>
      <c r="G98" s="38"/>
      <c r="H98" s="38"/>
      <c r="I98" s="275"/>
    </row>
    <row r="99" spans="4:20">
      <c r="D99" s="314" t="str">
        <f>+'Questions - Fragen'!$A63</f>
        <v>5.2</v>
      </c>
      <c r="E99" s="38"/>
      <c r="F99" s="38"/>
      <c r="G99" s="38"/>
      <c r="H99" s="38"/>
      <c r="I99" s="275"/>
    </row>
    <row r="100" spans="4:20">
      <c r="D100" s="314" t="str">
        <f>+'Questions - Fragen'!$A64</f>
        <v>5.3</v>
      </c>
      <c r="E100" s="38"/>
      <c r="F100" s="38"/>
      <c r="G100" s="38"/>
      <c r="H100" s="38"/>
      <c r="I100" s="275"/>
    </row>
    <row r="101" spans="4:20">
      <c r="D101" s="314" t="str">
        <f>+'Questions - Fragen'!$A65</f>
        <v>5.4</v>
      </c>
      <c r="E101" s="38" t="str">
        <f>O29</f>
        <v>n.e.</v>
      </c>
      <c r="F101" s="38"/>
      <c r="G101" s="38"/>
      <c r="H101" s="38"/>
      <c r="I101" s="275"/>
    </row>
    <row r="102" spans="4:20">
      <c r="D102" s="314" t="str">
        <f>+'Questions - Fragen'!$A66</f>
        <v>5.5</v>
      </c>
      <c r="E102" s="38" t="str">
        <f>P29</f>
        <v>n.e.</v>
      </c>
      <c r="F102" s="38"/>
      <c r="G102" s="38"/>
      <c r="H102" s="38"/>
      <c r="I102" s="275"/>
    </row>
    <row r="103" spans="4:20">
      <c r="D103" s="314" t="str">
        <f>+'Questions - Fragen'!$A67</f>
        <v>5.6</v>
      </c>
      <c r="E103" s="38"/>
      <c r="F103" s="38"/>
      <c r="G103" s="38"/>
      <c r="H103" s="38"/>
      <c r="I103" s="275"/>
    </row>
    <row r="104" spans="4:20">
      <c r="D104" s="314" t="str">
        <f>+'Questions - Fragen'!$A68</f>
        <v>5.7</v>
      </c>
      <c r="E104" s="38"/>
      <c r="F104" s="38"/>
      <c r="G104" s="272" t="s">
        <v>99</v>
      </c>
      <c r="H104" s="186" t="str">
        <f>+IF(COUNT(E98:E104)=0,"n.b.",+IF(MIN(E98:E104)=0,"C",+IF(MIN(E98:E104)=4,"B","A")))</f>
        <v>n.b.</v>
      </c>
      <c r="I104" s="275" t="str">
        <f>+A29</f>
        <v>n.e.</v>
      </c>
    </row>
    <row r="105" spans="4:20" ht="15">
      <c r="D105" s="315" t="str">
        <f>+'Questions - Fragen'!$A69</f>
        <v>P6</v>
      </c>
      <c r="E105" s="272" t="s">
        <v>162</v>
      </c>
      <c r="F105" s="38"/>
      <c r="G105" s="38"/>
      <c r="H105" s="38"/>
      <c r="I105" s="275"/>
      <c r="J105" s="32">
        <f>'Input Form - EingabeMaske'!E54</f>
        <v>0</v>
      </c>
      <c r="K105" s="32">
        <f>'Input Form - EingabeMaske'!E55</f>
        <v>0</v>
      </c>
      <c r="L105" s="32">
        <f>'Input Form - EingabeMaske'!E56</f>
        <v>0</v>
      </c>
      <c r="T105" s="32" t="s">
        <v>306</v>
      </c>
    </row>
    <row r="106" spans="4:20">
      <c r="D106" s="314" t="str">
        <f>+'Questions - Fragen'!$A70</f>
        <v>6.1</v>
      </c>
      <c r="E106" s="272" t="s">
        <v>162</v>
      </c>
      <c r="F106" s="38"/>
      <c r="G106" s="38"/>
      <c r="H106" s="38"/>
      <c r="I106" s="275"/>
      <c r="J106" s="32" t="s">
        <v>197</v>
      </c>
      <c r="K106" s="32" t="s">
        <v>198</v>
      </c>
      <c r="L106" s="32" t="s">
        <v>199</v>
      </c>
    </row>
    <row r="107" spans="4:20">
      <c r="D107" s="314" t="str">
        <f>+'Questions - Fragen'!$A71</f>
        <v>6.1.1</v>
      </c>
      <c r="E107" s="38" t="s">
        <v>210</v>
      </c>
      <c r="F107" s="38"/>
      <c r="G107" s="38"/>
      <c r="H107" s="38"/>
      <c r="I107" s="275"/>
      <c r="J107" s="177"/>
      <c r="K107" s="177"/>
      <c r="L107" s="177"/>
      <c r="M107" s="177"/>
      <c r="N107" s="177"/>
      <c r="O107" s="177"/>
      <c r="P107" s="177"/>
      <c r="Q107" s="177"/>
      <c r="R107" s="177"/>
      <c r="S107" s="177"/>
    </row>
    <row r="108" spans="4:20">
      <c r="D108" s="314" t="str">
        <f>+'Questions - Fragen'!$A82</f>
        <v>6.1.2</v>
      </c>
      <c r="E108" s="38" t="str">
        <f>+IF('Questions - Fragen'!B82&lt;&gt;"x","kein *",+IF(ISERROR(AVERAGE('Questions - Fragen'!D83:D85)),"n.b.",+MIN('Questions - Fragen'!D83:D85)))</f>
        <v>kein *</v>
      </c>
      <c r="F108" s="38"/>
      <c r="G108" s="38"/>
      <c r="H108" s="38"/>
      <c r="I108" s="275"/>
      <c r="J108" s="177"/>
      <c r="K108" s="177"/>
      <c r="L108" s="177"/>
      <c r="M108" s="177"/>
      <c r="N108" s="177"/>
      <c r="O108" s="177"/>
      <c r="P108" s="177"/>
      <c r="Q108" s="177"/>
      <c r="R108" s="177"/>
      <c r="S108" s="177"/>
    </row>
    <row r="109" spans="4:20">
      <c r="D109" s="314" t="str">
        <f>+'Questions - Fragen'!$A93</f>
        <v>6.1.3</v>
      </c>
      <c r="E109" s="38" t="str">
        <f>+IF('Questions - Fragen'!B93&lt;&gt;"x","kein *",+IF(ISERROR(AVERAGE('Questions - Fragen'!D94:D96)),"n.b.",+MIN('Questions - Fragen'!D94:D96)))</f>
        <v>kein *</v>
      </c>
      <c r="F109" s="38"/>
      <c r="G109" s="38"/>
      <c r="H109" s="38"/>
      <c r="I109" s="275"/>
      <c r="J109" s="177"/>
      <c r="K109" s="177"/>
      <c r="L109" s="177"/>
      <c r="M109" s="177"/>
      <c r="N109" s="177"/>
      <c r="O109" s="177"/>
      <c r="P109" s="177"/>
      <c r="Q109" s="177"/>
      <c r="R109" s="177"/>
      <c r="S109" s="177"/>
    </row>
    <row r="110" spans="4:20">
      <c r="D110" s="314" t="str">
        <f>+'Questions - Fragen'!$A104</f>
        <v>6.1.4</v>
      </c>
      <c r="E110" s="38" t="str">
        <f>+IF('Questions - Fragen'!B104&lt;&gt;"x","kein *",+IF(ISERROR(AVERAGE('Questions - Fragen'!D105:D107)),"n.b.",+MIN('Questions - Fragen'!D105:D107)))</f>
        <v>kein *</v>
      </c>
      <c r="F110" s="38"/>
      <c r="G110" s="38"/>
      <c r="H110" s="38"/>
      <c r="I110" s="275"/>
      <c r="J110" s="177"/>
      <c r="K110" s="177"/>
      <c r="L110" s="177"/>
      <c r="M110" s="177"/>
      <c r="N110" s="177"/>
      <c r="O110" s="177"/>
      <c r="P110" s="177"/>
      <c r="Q110" s="177"/>
      <c r="R110" s="177"/>
      <c r="S110" s="177"/>
    </row>
    <row r="111" spans="4:20">
      <c r="D111" s="314" t="str">
        <f>+'Questions - Fragen'!$A115</f>
        <v>6.1.5</v>
      </c>
      <c r="E111" s="38" t="str">
        <f>IF(COUNT(J111:S111)&gt;0,MIN(J111:S111),"n.b")</f>
        <v>n.b</v>
      </c>
      <c r="F111" s="38"/>
      <c r="G111" s="38"/>
      <c r="H111" s="38"/>
      <c r="I111" s="275"/>
      <c r="J111" s="177" t="str">
        <f>IF(OR(J$105=0,ISBLANK('Questions - Fragen'!$D$116)),"--",'Questions - Fragen'!$D$116)</f>
        <v>--</v>
      </c>
      <c r="K111" s="177" t="str">
        <f>IF(OR(K$105=0,ISBLANK('Questions - Fragen'!$D$117)),"--",'Questions - Fragen'!$D$117)</f>
        <v>--</v>
      </c>
      <c r="L111" s="177" t="str">
        <f>IF(OR(L$105=0,ISBLANK('Questions - Fragen'!$D$118)),"--",'Questions - Fragen'!$D$118)</f>
        <v>--</v>
      </c>
      <c r="M111" s="177"/>
      <c r="N111" s="177"/>
      <c r="O111" s="177"/>
      <c r="P111" s="177"/>
      <c r="Q111" s="177"/>
      <c r="R111" s="177"/>
      <c r="S111" s="177"/>
    </row>
    <row r="112" spans="4:20">
      <c r="D112" s="314" t="str">
        <f>+'Questions - Fragen'!$A126</f>
        <v>6.2</v>
      </c>
      <c r="E112" s="272" t="s">
        <v>162</v>
      </c>
      <c r="F112" s="38"/>
      <c r="G112" s="38"/>
      <c r="H112" s="38"/>
      <c r="I112" s="275"/>
      <c r="J112" s="177"/>
      <c r="K112" s="177"/>
      <c r="L112" s="177"/>
      <c r="M112" s="177"/>
      <c r="N112" s="177"/>
      <c r="O112" s="177"/>
      <c r="P112" s="177"/>
      <c r="Q112" s="177"/>
      <c r="R112" s="177"/>
      <c r="S112" s="177"/>
    </row>
    <row r="113" spans="4:19">
      <c r="D113" s="314" t="str">
        <f>+'Questions - Fragen'!$A127</f>
        <v>6.2.1</v>
      </c>
      <c r="E113" s="38" t="s">
        <v>210</v>
      </c>
      <c r="F113" s="38"/>
      <c r="G113" s="38"/>
      <c r="H113" s="38"/>
      <c r="I113" s="275"/>
      <c r="J113" s="177"/>
      <c r="K113" s="177"/>
      <c r="L113" s="177"/>
      <c r="M113" s="177"/>
      <c r="N113" s="177"/>
      <c r="O113" s="177"/>
      <c r="P113" s="177"/>
      <c r="Q113" s="177"/>
      <c r="R113" s="177"/>
      <c r="S113" s="177"/>
    </row>
    <row r="114" spans="4:19">
      <c r="D114" s="314" t="str">
        <f>+'Questions - Fragen'!$A138</f>
        <v>6.2.2</v>
      </c>
      <c r="E114" s="38" t="s">
        <v>210</v>
      </c>
      <c r="F114" s="38"/>
      <c r="G114" s="38"/>
      <c r="H114" s="38"/>
      <c r="I114" s="275"/>
      <c r="J114" s="177"/>
      <c r="K114" s="177"/>
      <c r="L114" s="177"/>
      <c r="M114" s="177"/>
      <c r="N114" s="177"/>
      <c r="O114" s="177"/>
      <c r="P114" s="177"/>
      <c r="Q114" s="177"/>
      <c r="R114" s="177"/>
      <c r="S114" s="177"/>
    </row>
    <row r="115" spans="4:19">
      <c r="D115" s="314" t="str">
        <f>+'Questions - Fragen'!$A149</f>
        <v>6.2.3</v>
      </c>
      <c r="E115" s="38" t="str">
        <f>IF(COUNT(J115:S115)&gt;0,MIN(J115:S115),"n.b")</f>
        <v>n.b</v>
      </c>
      <c r="F115" s="38"/>
      <c r="G115" s="38"/>
      <c r="H115" s="38"/>
      <c r="I115" s="275"/>
      <c r="J115" s="177" t="str">
        <f>IF(OR(J$105=0,ISBLANK('Questions - Fragen'!$D$150)),"--",'Questions - Fragen'!$D$150)</f>
        <v>--</v>
      </c>
      <c r="K115" s="177" t="str">
        <f>IF(OR(K$105=0,ISBLANK('Questions - Fragen'!$D$151)),"--",'Questions - Fragen'!$D$151)</f>
        <v>--</v>
      </c>
      <c r="L115" s="177" t="str">
        <f>IF(OR(L$105=0,ISBLANK('Questions - Fragen'!$D$152)),"--",'Questions - Fragen'!$D$152)</f>
        <v>--</v>
      </c>
      <c r="M115" s="177"/>
      <c r="N115" s="177"/>
      <c r="O115" s="177"/>
      <c r="P115" s="177"/>
      <c r="Q115" s="177"/>
      <c r="R115" s="177"/>
      <c r="S115" s="177"/>
    </row>
    <row r="116" spans="4:19">
      <c r="D116" s="314" t="str">
        <f>+'Questions - Fragen'!$A160</f>
        <v>6.2.4</v>
      </c>
      <c r="E116" s="38" t="str">
        <f>IF(COUNT(J116:S116)&gt;0,MIN(J116:S116),"n.b")</f>
        <v>n.b</v>
      </c>
      <c r="F116" s="38"/>
      <c r="G116" s="38"/>
      <c r="H116" s="38"/>
      <c r="I116" s="275"/>
      <c r="J116" s="177" t="str">
        <f>IF(OR(J$105=0,ISBLANK('Questions - Fragen'!$D$161)),"--",'Questions - Fragen'!$D$161)</f>
        <v>--</v>
      </c>
      <c r="K116" s="177" t="str">
        <f>IF(OR(K$105=0,ISBLANK('Questions - Fragen'!$D$162)),"--",'Questions - Fragen'!$D$162)</f>
        <v>--</v>
      </c>
      <c r="L116" s="177" t="str">
        <f>IF(OR(L$105=0,ISBLANK('Questions - Fragen'!$D$163)),"--",'Questions - Fragen'!$D$163)</f>
        <v>--</v>
      </c>
      <c r="M116" s="177"/>
      <c r="N116" s="177"/>
      <c r="O116" s="177"/>
      <c r="P116" s="177"/>
      <c r="Q116" s="177"/>
      <c r="R116" s="177"/>
      <c r="S116" s="177"/>
    </row>
    <row r="117" spans="4:19">
      <c r="D117" s="314" t="str">
        <f>+'Questions - Fragen'!$A171</f>
        <v>6.2.5</v>
      </c>
      <c r="E117" s="38" t="str">
        <f>+IF('Questions - Fragen'!B171&lt;&gt;"x","kein *",+IF(ISERROR(AVERAGE('Questions - Fragen'!D172:D174)),"n.b.",+MIN('Questions - Fragen'!D172:D174)))</f>
        <v>kein *</v>
      </c>
      <c r="F117" s="38"/>
      <c r="G117" s="38"/>
      <c r="H117" s="38"/>
      <c r="I117" s="275"/>
      <c r="J117" s="177"/>
      <c r="K117" s="177"/>
      <c r="L117" s="177"/>
      <c r="M117" s="177"/>
      <c r="N117" s="177"/>
      <c r="O117" s="177"/>
      <c r="P117" s="177"/>
      <c r="Q117" s="177"/>
      <c r="R117" s="177"/>
      <c r="S117" s="177"/>
    </row>
    <row r="118" spans="4:19">
      <c r="D118" s="314" t="str">
        <f>+'Questions - Fragen'!$A182</f>
        <v>6.3</v>
      </c>
      <c r="E118" s="272" t="s">
        <v>162</v>
      </c>
      <c r="F118" s="38"/>
      <c r="G118" s="38"/>
      <c r="H118" s="38"/>
      <c r="I118" s="275"/>
      <c r="J118" s="177"/>
      <c r="K118" s="177"/>
      <c r="L118" s="177"/>
      <c r="M118" s="177"/>
      <c r="N118" s="177"/>
      <c r="O118" s="177"/>
      <c r="P118" s="177"/>
      <c r="Q118" s="177"/>
      <c r="R118" s="177"/>
      <c r="S118" s="177"/>
    </row>
    <row r="119" spans="4:19">
      <c r="D119" s="314" t="str">
        <f>+'Questions - Fragen'!$A183</f>
        <v>6.3.1</v>
      </c>
      <c r="E119" s="38" t="str">
        <f>IF(COUNT(J119:S119)&gt;0,MIN(J119:S119),"n.b")</f>
        <v>n.b</v>
      </c>
      <c r="F119" s="38"/>
      <c r="G119" s="38"/>
      <c r="H119" s="38"/>
      <c r="I119" s="275"/>
      <c r="J119" s="177" t="str">
        <f>IF(OR(J$105=0,ISBLANK('Questions - Fragen'!$D$184)),"--",'Questions - Fragen'!$D$184)</f>
        <v>--</v>
      </c>
      <c r="K119" s="177" t="str">
        <f>IF(OR(K$105=0,ISBLANK('Questions - Fragen'!$D$185)),"--",'Questions - Fragen'!$D$185)</f>
        <v>--</v>
      </c>
      <c r="L119" s="177" t="str">
        <f>IF(OR(L$105=0,ISBLANK('Questions - Fragen'!$D$186)),"--",'Questions - Fragen'!$D$186)</f>
        <v>--</v>
      </c>
      <c r="M119" s="177"/>
      <c r="N119" s="177"/>
      <c r="O119" s="177"/>
      <c r="P119" s="177"/>
      <c r="Q119" s="177"/>
      <c r="R119" s="177"/>
      <c r="S119" s="177"/>
    </row>
    <row r="120" spans="4:19">
      <c r="D120" s="314" t="str">
        <f>+'Questions - Fragen'!$A194</f>
        <v>6.3.2</v>
      </c>
      <c r="E120" s="38" t="s">
        <v>210</v>
      </c>
      <c r="F120" s="38"/>
      <c r="G120" s="38"/>
      <c r="H120" s="38"/>
      <c r="I120" s="275"/>
      <c r="J120" s="177"/>
      <c r="K120" s="177"/>
      <c r="L120" s="177"/>
      <c r="M120" s="177"/>
      <c r="N120" s="177"/>
      <c r="O120" s="177"/>
      <c r="P120" s="177"/>
      <c r="Q120" s="177"/>
      <c r="R120" s="177"/>
      <c r="S120" s="177"/>
    </row>
    <row r="121" spans="4:19">
      <c r="D121" s="314" t="str">
        <f>+'Questions - Fragen'!$A205</f>
        <v>6.3.3</v>
      </c>
      <c r="E121" s="38" t="str">
        <f>+IF('Questions - Fragen'!B205&lt;&gt;"x","kein *",+IF(ISERROR(AVERAGE('Questions - Fragen'!D206:D208)),"n.b.",+MIN('Questions - Fragen'!D206:D208)))</f>
        <v>kein *</v>
      </c>
      <c r="F121" s="38"/>
      <c r="G121" s="38"/>
      <c r="H121" s="38"/>
      <c r="I121" s="275"/>
      <c r="J121" s="177"/>
      <c r="K121" s="177"/>
      <c r="L121" s="177"/>
      <c r="M121" s="177"/>
      <c r="N121" s="177"/>
      <c r="O121" s="177"/>
      <c r="P121" s="177"/>
      <c r="Q121" s="177"/>
      <c r="R121" s="177"/>
      <c r="S121" s="177"/>
    </row>
    <row r="122" spans="4:19">
      <c r="D122" s="314" t="str">
        <f>+'Questions - Fragen'!$A216</f>
        <v>6.4</v>
      </c>
      <c r="E122" s="272" t="s">
        <v>162</v>
      </c>
      <c r="F122" s="38"/>
      <c r="G122" s="38"/>
      <c r="H122" s="38"/>
      <c r="I122" s="275"/>
      <c r="J122" s="177"/>
      <c r="K122" s="177"/>
      <c r="L122" s="177"/>
      <c r="M122" s="177"/>
      <c r="N122" s="177"/>
      <c r="O122" s="177"/>
      <c r="P122" s="177"/>
      <c r="Q122" s="177"/>
      <c r="R122" s="177"/>
      <c r="S122" s="177"/>
    </row>
    <row r="123" spans="4:19">
      <c r="D123" s="314" t="str">
        <f>+'Questions - Fragen'!$A217</f>
        <v>6.4.1</v>
      </c>
      <c r="E123" s="38" t="str">
        <f>IF(COUNT(J123:S123)&gt;0,MIN(J123:S123),"n.b")</f>
        <v>n.b</v>
      </c>
      <c r="F123" s="38"/>
      <c r="G123" s="38"/>
      <c r="H123" s="38"/>
      <c r="I123" s="275"/>
      <c r="J123" s="177" t="str">
        <f>IF(OR(J$105=0,ISBLANK('Questions - Fragen'!$D$218)),"--",'Questions - Fragen'!$D$218)</f>
        <v>--</v>
      </c>
      <c r="K123" s="177" t="str">
        <f>IF(OR(K$105=0,ISBLANK('Questions - Fragen'!$D$219)),"--",'Questions - Fragen'!$D$219)</f>
        <v>--</v>
      </c>
      <c r="L123" s="177" t="str">
        <f>IF(OR(L$105=0,ISBLANK('Questions - Fragen'!$D$220)),"--",'Questions - Fragen'!$D$220)</f>
        <v>--</v>
      </c>
      <c r="M123" s="177"/>
      <c r="N123" s="177"/>
      <c r="O123" s="177"/>
      <c r="P123" s="177"/>
      <c r="Q123" s="177"/>
      <c r="R123" s="177"/>
      <c r="S123" s="177"/>
    </row>
    <row r="124" spans="4:19">
      <c r="D124" s="314" t="str">
        <f>+'Questions - Fragen'!$A228</f>
        <v>6.4.2</v>
      </c>
      <c r="E124" s="38" t="s">
        <v>210</v>
      </c>
      <c r="F124" s="38"/>
      <c r="G124" s="38"/>
      <c r="H124" s="38"/>
      <c r="I124" s="275"/>
      <c r="J124" s="177"/>
      <c r="K124" s="177"/>
      <c r="L124" s="177"/>
      <c r="M124" s="177"/>
      <c r="N124" s="177"/>
      <c r="O124" s="177"/>
      <c r="P124" s="177"/>
      <c r="Q124" s="177"/>
      <c r="R124" s="177"/>
      <c r="S124" s="177"/>
    </row>
    <row r="125" spans="4:19">
      <c r="D125" s="314" t="str">
        <f>+'Questions - Fragen'!$A239</f>
        <v>6.4.3</v>
      </c>
      <c r="E125" s="38" t="str">
        <f>IF(COUNT(J125:S125)&gt;0,MIN(J125:S125),"n.b")</f>
        <v>n.b</v>
      </c>
      <c r="F125" s="38"/>
      <c r="G125" s="38"/>
      <c r="H125" s="38"/>
      <c r="I125" s="275"/>
      <c r="J125" s="177" t="str">
        <f>IF(OR(J$105=0,ISBLANK('Questions - Fragen'!$D$240)),"--",'Questions - Fragen'!$D$240)</f>
        <v>--</v>
      </c>
      <c r="K125" s="177" t="str">
        <f>IF(OR(K$105=0,ISBLANK('Questions - Fragen'!$D$241)),"--",'Questions - Fragen'!$D$241)</f>
        <v>--</v>
      </c>
      <c r="L125" s="177" t="str">
        <f>IF(OR(L$105=0,ISBLANK('Questions - Fragen'!$D$242)),"--",'Questions - Fragen'!$D$242)</f>
        <v>--</v>
      </c>
      <c r="M125" s="177"/>
      <c r="N125" s="177"/>
      <c r="O125" s="177"/>
      <c r="P125" s="177"/>
      <c r="Q125" s="177"/>
      <c r="R125" s="177"/>
      <c r="S125" s="177"/>
    </row>
    <row r="126" spans="4:19">
      <c r="D126" s="314" t="str">
        <f>+'Questions - Fragen'!$A250</f>
        <v>6.4.4</v>
      </c>
      <c r="E126" s="38" t="str">
        <f>+IF('Questions - Fragen'!B250&lt;&gt;"x","kein *",+IF(ISERROR(AVERAGE('Questions - Fragen'!D251:D253)),"n.b.",+MIN('Questions - Fragen'!D251:D253)))</f>
        <v>kein *</v>
      </c>
      <c r="F126" s="38"/>
      <c r="G126" s="38"/>
      <c r="H126" s="38"/>
      <c r="I126" s="275"/>
      <c r="J126" s="177"/>
      <c r="K126" s="177"/>
      <c r="L126" s="177"/>
      <c r="M126" s="177"/>
      <c r="N126" s="177"/>
      <c r="O126" s="177"/>
      <c r="P126" s="177"/>
      <c r="Q126" s="177"/>
      <c r="R126" s="177"/>
      <c r="S126" s="177"/>
    </row>
    <row r="127" spans="4:19">
      <c r="D127" s="398" t="str">
        <f>'Questions - Fragen'!A261</f>
        <v>6.4.5</v>
      </c>
      <c r="E127" s="38" t="s">
        <v>210</v>
      </c>
      <c r="F127" s="38"/>
      <c r="G127" s="38"/>
      <c r="H127" s="38"/>
      <c r="I127" s="275"/>
      <c r="J127" s="177"/>
      <c r="K127" s="177"/>
      <c r="L127" s="177"/>
      <c r="M127" s="177"/>
      <c r="N127" s="177"/>
      <c r="O127" s="177"/>
      <c r="P127" s="177"/>
      <c r="Q127" s="177"/>
      <c r="R127" s="177"/>
      <c r="S127" s="177"/>
    </row>
    <row r="128" spans="4:19">
      <c r="D128" s="314" t="str">
        <f>+'Questions - Fragen'!$A272</f>
        <v>6.5</v>
      </c>
      <c r="E128" s="272" t="s">
        <v>162</v>
      </c>
      <c r="F128" s="38"/>
      <c r="G128" s="38"/>
      <c r="H128" s="38"/>
      <c r="I128" s="275"/>
      <c r="J128" s="177"/>
      <c r="K128" s="177"/>
      <c r="L128" s="177"/>
      <c r="M128" s="177"/>
      <c r="N128" s="177"/>
      <c r="O128" s="177"/>
      <c r="P128" s="177"/>
      <c r="Q128" s="177"/>
      <c r="R128" s="177"/>
      <c r="S128" s="177"/>
    </row>
    <row r="129" spans="4:19">
      <c r="D129" s="314" t="str">
        <f>+'Questions - Fragen'!$A273</f>
        <v>6.5.1</v>
      </c>
      <c r="E129" s="38" t="str">
        <f>+IF('Questions - Fragen'!B273&lt;&gt;"x","kein *",+IF(ISERROR(AVERAGE('Questions - Fragen'!D274:D276)),"n.b.",+MIN('Questions - Fragen'!D274:D276)))</f>
        <v>kein *</v>
      </c>
      <c r="F129" s="38"/>
      <c r="G129" s="38"/>
      <c r="H129" s="38"/>
      <c r="I129" s="275"/>
      <c r="J129" s="177"/>
      <c r="K129" s="177"/>
      <c r="L129" s="177"/>
      <c r="M129" s="177"/>
      <c r="N129" s="177"/>
      <c r="O129" s="177"/>
      <c r="P129" s="177"/>
      <c r="Q129" s="177"/>
      <c r="R129" s="177"/>
      <c r="S129" s="177"/>
    </row>
    <row r="130" spans="4:19">
      <c r="D130" s="314" t="str">
        <f>+'Questions - Fragen'!$A284</f>
        <v>6.5.2</v>
      </c>
      <c r="E130" s="38" t="str">
        <f>+IF('Questions - Fragen'!B284&lt;&gt;"x","kein *",+IF(ISERROR(AVERAGE('Questions - Fragen'!D285:D287)),"n.b.",+MIN('Questions - Fragen'!D285:D287)))</f>
        <v>kein *</v>
      </c>
      <c r="F130" s="38"/>
      <c r="G130" s="38"/>
      <c r="H130" s="38"/>
      <c r="I130" s="275"/>
      <c r="J130" s="177"/>
      <c r="K130" s="177"/>
      <c r="L130" s="177"/>
      <c r="M130" s="177"/>
      <c r="N130" s="177"/>
      <c r="O130" s="177"/>
      <c r="P130" s="177"/>
      <c r="Q130" s="177"/>
      <c r="R130" s="177"/>
      <c r="S130" s="177"/>
    </row>
    <row r="131" spans="4:19">
      <c r="D131" s="314" t="str">
        <f>+'Questions - Fragen'!$A295</f>
        <v>6.5.3</v>
      </c>
      <c r="E131" s="38">
        <f>IF(COUNT(J131:S131)&gt;0,MIN(J131:S131),"n.b")</f>
        <v>10</v>
      </c>
      <c r="F131" s="38"/>
      <c r="G131" s="38"/>
      <c r="H131" s="38"/>
      <c r="I131" s="275"/>
      <c r="J131" s="177">
        <f>IF('Questions - Fragen'!$B295&lt;&gt;"x","kein *",IF(ISBLANK('Questions - Fragen'!D296),"--",'Questions - Fragen'!D296))</f>
        <v>10</v>
      </c>
      <c r="K131" s="177">
        <f>IF('Questions - Fragen'!$B295&lt;&gt;"x","kein *",IF(ISBLANK('Questions - Fragen'!D297),"--",'Questions - Fragen'!D297))</f>
        <v>10</v>
      </c>
      <c r="L131" s="177" t="str">
        <f>IF('Questions - Fragen'!$B295&lt;&gt;"x","kein *",IF(ISBLANK('Questions - Fragen'!D298),"--",'Questions - Fragen'!D298))</f>
        <v>n.e.</v>
      </c>
      <c r="M131" s="177"/>
      <c r="N131" s="177"/>
      <c r="O131" s="177"/>
      <c r="P131" s="177"/>
      <c r="Q131" s="177"/>
      <c r="R131" s="177"/>
      <c r="S131" s="177"/>
    </row>
    <row r="132" spans="4:19">
      <c r="D132" s="314" t="str">
        <f>+'Questions - Fragen'!$A306</f>
        <v>6.5.4</v>
      </c>
      <c r="E132" s="38" t="s">
        <v>210</v>
      </c>
      <c r="F132" s="38"/>
      <c r="G132" s="38"/>
      <c r="H132" s="38"/>
      <c r="I132" s="275"/>
      <c r="J132" s="177"/>
      <c r="K132" s="177"/>
      <c r="L132" s="177"/>
      <c r="M132" s="177"/>
      <c r="N132" s="177"/>
      <c r="O132" s="177"/>
      <c r="P132" s="177"/>
      <c r="Q132" s="177"/>
      <c r="R132" s="177"/>
      <c r="S132" s="177"/>
    </row>
    <row r="133" spans="4:19">
      <c r="D133" s="314" t="str">
        <f>+'Questions - Fragen'!$A317</f>
        <v>6.6</v>
      </c>
      <c r="E133" s="272" t="s">
        <v>162</v>
      </c>
      <c r="F133" s="38"/>
      <c r="G133" s="38"/>
      <c r="H133" s="38"/>
      <c r="I133" s="275"/>
      <c r="J133" s="177"/>
      <c r="K133" s="177"/>
      <c r="L133" s="177"/>
      <c r="M133" s="177"/>
      <c r="N133" s="177"/>
      <c r="O133" s="177"/>
      <c r="P133" s="177"/>
      <c r="Q133" s="177"/>
      <c r="R133" s="177"/>
      <c r="S133" s="177"/>
    </row>
    <row r="134" spans="4:19">
      <c r="D134" s="314" t="str">
        <f>+'Questions - Fragen'!$A318</f>
        <v>6.6.1</v>
      </c>
      <c r="E134" s="38" t="s">
        <v>210</v>
      </c>
      <c r="F134" s="38"/>
      <c r="G134" s="38"/>
      <c r="H134" s="38"/>
      <c r="I134" s="275"/>
      <c r="J134" s="177"/>
      <c r="K134" s="177"/>
      <c r="L134" s="177"/>
      <c r="M134" s="177"/>
      <c r="N134" s="177"/>
      <c r="O134" s="177"/>
      <c r="P134" s="177"/>
      <c r="Q134" s="177"/>
      <c r="R134" s="177"/>
      <c r="S134" s="177"/>
    </row>
    <row r="135" spans="4:19">
      <c r="D135" s="314" t="str">
        <f>+'Questions - Fragen'!$A329</f>
        <v>6.6.2</v>
      </c>
      <c r="E135" s="38" t="str">
        <f>+IF('Questions - Fragen'!B329&lt;&gt;"x","kein *",+IF(ISERROR(AVERAGE('Questions - Fragen'!D330:D332)),"n.b.",+MIN('Questions - Fragen'!D330:D332)))</f>
        <v>kein *</v>
      </c>
      <c r="F135" s="38"/>
      <c r="G135" s="38"/>
      <c r="H135" s="38"/>
      <c r="I135" s="275"/>
      <c r="J135" s="177"/>
      <c r="K135" s="177"/>
      <c r="L135" s="177"/>
      <c r="M135" s="177"/>
      <c r="N135" s="177"/>
      <c r="O135" s="177"/>
      <c r="P135" s="177"/>
      <c r="Q135" s="177"/>
      <c r="R135" s="177"/>
      <c r="S135" s="177"/>
    </row>
    <row r="136" spans="4:19">
      <c r="D136" s="314" t="str">
        <f>+'Questions - Fragen'!$A340</f>
        <v>6.6.3</v>
      </c>
      <c r="E136" s="38" t="str">
        <f>+IF('Questions - Fragen'!B340&lt;&gt;"x","kein *",+IF(ISERROR(AVERAGE('Questions - Fragen'!D341:D343)),"n.b.",+MIN('Questions - Fragen'!D341:D343)))</f>
        <v>kein *</v>
      </c>
      <c r="F136" s="38"/>
      <c r="G136" s="38"/>
      <c r="H136" s="38"/>
      <c r="I136" s="275"/>
      <c r="J136" s="177"/>
      <c r="K136" s="177"/>
      <c r="L136" s="177"/>
      <c r="M136" s="177"/>
      <c r="N136" s="177"/>
      <c r="O136" s="177"/>
      <c r="P136" s="177"/>
      <c r="Q136" s="177"/>
      <c r="R136" s="177"/>
      <c r="S136" s="177"/>
    </row>
    <row r="137" spans="4:19">
      <c r="D137" s="314" t="str">
        <f>+'Questions - Fragen'!$A351</f>
        <v>6.6.4</v>
      </c>
      <c r="E137" s="38" t="str">
        <f>IF(COUNT(J137:S137)&gt;0,MIN(J137:S137),"n.b")</f>
        <v>n.b</v>
      </c>
      <c r="F137" s="38"/>
      <c r="G137" s="38"/>
      <c r="H137" s="38"/>
      <c r="I137" s="275"/>
      <c r="J137" s="177" t="str">
        <f>IF(OR(J$105=0,ISBLANK('Questions - Fragen'!$D$352)),"--",'Questions - Fragen'!$D$352)</f>
        <v>--</v>
      </c>
      <c r="K137" s="177" t="str">
        <f>IF(OR(K$105=0,ISBLANK('Questions - Fragen'!$D$353)),"--",'Questions - Fragen'!$D$353)</f>
        <v>--</v>
      </c>
      <c r="L137" s="177" t="str">
        <f>IF(OR(L$105=0,ISBLANK('Questions - Fragen'!$D$354)),"--",'Questions - Fragen'!$D$354)</f>
        <v>--</v>
      </c>
      <c r="M137" s="177"/>
      <c r="N137" s="177"/>
      <c r="O137" s="177"/>
      <c r="P137" s="177"/>
      <c r="Q137" s="177"/>
      <c r="R137" s="177"/>
      <c r="S137" s="177"/>
    </row>
    <row r="138" spans="4:19" ht="15">
      <c r="D138" s="315" t="str">
        <f>+'Questions - Fragen'!$A362</f>
        <v>P7</v>
      </c>
      <c r="E138" s="272" t="s">
        <v>162</v>
      </c>
      <c r="F138" s="38"/>
      <c r="G138" s="272" t="s">
        <v>100</v>
      </c>
      <c r="H138" s="273" t="str">
        <f>IF(COUNT(E106:E137)=0,"n.b.",IF(MIN(E106:E137)=0,"C",IF(MIN(E106:E137)=4,"B","A")))</f>
        <v>A</v>
      </c>
      <c r="I138" s="292" t="str">
        <f>+A42</f>
        <v>A</v>
      </c>
      <c r="J138" s="273" t="str">
        <f>+IF(COUNTIFS('Questions - Fragen'!$A$72:$A$354,J106,'Questions - Fragen'!$D$72:$D$354,"n.b.")=26,"n.b.",+IF(MIN(J107:J137)=0,"C",+IF(MIN(J107:J137)=4,"B","A")))</f>
        <v>A</v>
      </c>
      <c r="K138" s="273" t="str">
        <f>+IF(COUNTIFS('Questions - Fragen'!$A$72:$A$354,K106,'Questions - Fragen'!$D$72:$D$354,"n.b.")=26,"n.b.",+IF(MIN(K107:K137)=0,"C",+IF(MIN(K107:K137)=4,"B","A")))</f>
        <v>A</v>
      </c>
      <c r="L138" s="273" t="str">
        <f>+IF(COUNTIFS('Questions - Fragen'!$A$72:$A$354,L106,'Questions - Fragen'!$D$72:$D$354,"n.b.")=26,"n.b.",+IF(MIN(L107:L137)=0,"C",+IF(MIN(L107:L137)=4,"B","A")))</f>
        <v>C</v>
      </c>
    </row>
    <row r="139" spans="4:19">
      <c r="D139" s="314" t="str">
        <f>+'Questions - Fragen'!$A363</f>
        <v>7.1</v>
      </c>
      <c r="E139" s="38"/>
      <c r="F139" s="38"/>
      <c r="G139" s="38"/>
      <c r="H139" s="38"/>
      <c r="I139" s="275"/>
      <c r="J139" s="32">
        <v>1</v>
      </c>
      <c r="K139" s="32">
        <v>2</v>
      </c>
      <c r="L139" s="32">
        <v>3</v>
      </c>
    </row>
    <row r="140" spans="4:19">
      <c r="D140" s="314" t="str">
        <f>+'Questions - Fragen'!$A364</f>
        <v>7.2</v>
      </c>
      <c r="E140" s="38"/>
      <c r="F140" s="38"/>
      <c r="G140" s="38"/>
      <c r="H140" s="38"/>
      <c r="I140" s="275"/>
    </row>
    <row r="141" spans="4:19">
      <c r="D141" s="314" t="str">
        <f>+'Questions - Fragen'!$A365</f>
        <v>7.3</v>
      </c>
      <c r="E141" s="38" t="str">
        <f>W52</f>
        <v>n.e.</v>
      </c>
      <c r="F141" s="38"/>
      <c r="G141" s="38"/>
      <c r="H141" s="38"/>
      <c r="I141" s="275"/>
    </row>
    <row r="142" spans="4:19">
      <c r="D142" s="314" t="str">
        <f>+'Questions - Fragen'!$A366</f>
        <v>7.4</v>
      </c>
      <c r="E142" s="38" t="str">
        <f>X52</f>
        <v>n.e.</v>
      </c>
      <c r="F142" s="38"/>
      <c r="G142" s="38"/>
      <c r="H142" s="38"/>
      <c r="I142" s="275"/>
    </row>
    <row r="143" spans="4:19">
      <c r="D143" s="314" t="str">
        <f>+'Questions - Fragen'!$A367</f>
        <v>7.5</v>
      </c>
      <c r="E143" s="38"/>
      <c r="F143" s="38"/>
      <c r="G143" s="38"/>
      <c r="H143" s="38"/>
      <c r="I143" s="275"/>
    </row>
    <row r="144" spans="4:19">
      <c r="D144" s="316"/>
      <c r="E144" s="276"/>
      <c r="F144" s="276"/>
      <c r="G144" s="317" t="s">
        <v>101</v>
      </c>
      <c r="H144" s="325" t="str">
        <f>IF(COUNT(E139:E143)=0,"n.b.",+IF(MIN(E139:E143)=0,"C",+IF(MIN(E139:E143)=4,"B","A")))</f>
        <v>n.b.</v>
      </c>
      <c r="I144" s="248" t="str">
        <f>+A52</f>
        <v>n.e.</v>
      </c>
    </row>
    <row r="145" spans="2:31" ht="15" thickBot="1">
      <c r="D145" s="304" t="s">
        <v>148</v>
      </c>
      <c r="E145" s="305">
        <f>+COUNT((E75:E143))</f>
        <v>1</v>
      </c>
      <c r="F145" s="305">
        <f>+COUNTIF(E75:E143,0)</f>
        <v>0</v>
      </c>
      <c r="G145" s="305">
        <f>+IF(COUNT(E75:E143)=0,"n.b.",+MIN(E75:E143))</f>
        <v>10</v>
      </c>
      <c r="H145" s="305"/>
      <c r="I145" s="306"/>
      <c r="Z145" s="177" t="s">
        <v>165</v>
      </c>
      <c r="AA145" s="177" t="s">
        <v>163</v>
      </c>
      <c r="AB145" s="195" t="str">
        <f>+G48</f>
        <v>n.e.</v>
      </c>
    </row>
    <row r="146" spans="2:31" ht="15" thickBot="1">
      <c r="D146" s="307" t="s">
        <v>149</v>
      </c>
      <c r="E146" s="303" t="str">
        <f>+IF(E145=0,"n.b.",(+IF(F145&gt;=1,"C",(+IF(F146&gt;=1,"B","A")))))</f>
        <v>A</v>
      </c>
      <c r="F146" s="302">
        <f>+COUNTIF(E75:E143,4)</f>
        <v>0</v>
      </c>
      <c r="G146" s="302" t="str">
        <f>+IF(G145="n.b.","n.b.",+IF(G145=0,"C",+IF(G145=4,"B","A")))</f>
        <v>A</v>
      </c>
      <c r="H146" s="302"/>
      <c r="I146" s="308"/>
      <c r="Z146" s="177" t="s">
        <v>166</v>
      </c>
      <c r="AA146" s="177" t="s">
        <v>164</v>
      </c>
      <c r="AB146" s="195" t="str">
        <f>+M48</f>
        <v>n.e.</v>
      </c>
    </row>
    <row r="147" spans="2:31" ht="18">
      <c r="D147" s="236"/>
      <c r="G147" s="282"/>
      <c r="H147" s="260"/>
      <c r="I147" s="260"/>
      <c r="J147" s="283"/>
      <c r="K147" s="281"/>
      <c r="L147" s="268"/>
      <c r="M147" s="318" t="s">
        <v>183</v>
      </c>
      <c r="N147" s="268"/>
      <c r="O147" s="268"/>
      <c r="P147" s="268"/>
      <c r="Q147" s="268"/>
      <c r="R147" s="268"/>
      <c r="S147" s="268"/>
      <c r="T147" s="268"/>
      <c r="U147" s="268"/>
      <c r="V147" s="269"/>
      <c r="X147" s="177"/>
      <c r="Z147" s="177" t="s">
        <v>167</v>
      </c>
      <c r="AA147" s="177" t="s">
        <v>188</v>
      </c>
      <c r="AB147" s="195" t="str">
        <f>+Q48</f>
        <v>n.e.</v>
      </c>
    </row>
    <row r="148" spans="2:31">
      <c r="D148" s="236"/>
      <c r="G148" s="284"/>
      <c r="H148" s="260"/>
      <c r="I148" s="260"/>
      <c r="J148" s="283"/>
      <c r="K148" s="48"/>
      <c r="L148" s="38"/>
      <c r="M148" s="38"/>
      <c r="N148" s="38"/>
      <c r="O148" s="38"/>
      <c r="P148" s="38"/>
      <c r="Q148" s="38"/>
      <c r="R148" s="38"/>
      <c r="S148" s="38"/>
      <c r="T148" s="38"/>
      <c r="U148" s="38"/>
      <c r="V148" s="54"/>
      <c r="Z148" s="177" t="s">
        <v>168</v>
      </c>
      <c r="AA148" s="177" t="s">
        <v>190</v>
      </c>
      <c r="AB148" s="195" t="str">
        <f>+W48</f>
        <v>n.e.</v>
      </c>
    </row>
    <row r="149" spans="2:31">
      <c r="D149" s="236"/>
      <c r="G149" s="260"/>
      <c r="H149" s="260"/>
      <c r="I149" s="260"/>
      <c r="J149" s="283"/>
      <c r="K149" s="278" t="str">
        <f>BB62</f>
        <v>n.e.</v>
      </c>
      <c r="L149" s="277" t="str">
        <f>+IF(K149="n.b.","n.b.",+IF(K149&lt;80%,"C",+IF(K149&lt;90%,"B","A")))</f>
        <v>A</v>
      </c>
      <c r="M149" s="319" t="s">
        <v>181</v>
      </c>
      <c r="N149" s="319"/>
      <c r="O149" s="319"/>
      <c r="P149" s="319"/>
      <c r="Q149" s="319"/>
      <c r="R149" s="319"/>
      <c r="S149" s="319"/>
      <c r="T149" s="319"/>
      <c r="U149" s="260"/>
      <c r="V149" s="283"/>
      <c r="Z149" s="177" t="s">
        <v>169</v>
      </c>
      <c r="AA149" s="177" t="s">
        <v>191</v>
      </c>
      <c r="AB149" s="195" t="str">
        <f>+AB48</f>
        <v>n.e.</v>
      </c>
    </row>
    <row r="150" spans="2:31">
      <c r="B150" s="16"/>
      <c r="C150" s="16"/>
      <c r="D150" s="16"/>
      <c r="E150" s="16"/>
      <c r="F150" s="16"/>
      <c r="G150" s="16"/>
      <c r="H150" s="260"/>
      <c r="I150" s="285"/>
      <c r="J150" s="286"/>
      <c r="K150" s="279"/>
      <c r="L150" s="270" t="str">
        <f>+E146</f>
        <v>A</v>
      </c>
      <c r="M150" s="319" t="s">
        <v>182</v>
      </c>
      <c r="N150" s="319"/>
      <c r="O150" s="319"/>
      <c r="P150" s="319"/>
      <c r="Q150" s="319"/>
      <c r="R150" s="319"/>
      <c r="S150" s="319"/>
      <c r="T150" s="319"/>
      <c r="U150" s="260"/>
      <c r="V150" s="283"/>
      <c r="Z150" s="177" t="s">
        <v>170</v>
      </c>
      <c r="AA150" s="177" t="s">
        <v>192</v>
      </c>
      <c r="AB150" s="195" t="str">
        <f>+AG48</f>
        <v>n.e.</v>
      </c>
    </row>
    <row r="151" spans="2:31">
      <c r="B151" s="16"/>
      <c r="C151" s="16"/>
      <c r="D151" s="16"/>
      <c r="E151" s="16"/>
      <c r="F151" s="16"/>
      <c r="G151" s="16"/>
      <c r="H151" s="287"/>
      <c r="I151" s="260"/>
      <c r="J151" s="283"/>
      <c r="K151" s="279"/>
      <c r="L151" s="270" t="str">
        <f>IF(COUNT((A8:A52)=0),"n.b.",+IF(COUNTIF((A8:A52),"C")&gt;=1,"C",+IF(+COUNTIF((A8:A52),"B")&gt;=1,"B","A")))</f>
        <v>A</v>
      </c>
      <c r="M151" s="319" t="s">
        <v>185</v>
      </c>
      <c r="N151" s="319"/>
      <c r="O151" s="319"/>
      <c r="P151" s="319"/>
      <c r="Q151" s="319"/>
      <c r="R151" s="319"/>
      <c r="S151" s="319"/>
      <c r="T151" s="319"/>
      <c r="U151" s="260"/>
      <c r="V151" s="283"/>
      <c r="Z151" s="177" t="s">
        <v>171</v>
      </c>
      <c r="AA151" s="177" t="s">
        <v>193</v>
      </c>
      <c r="AB151" s="195" t="e">
        <f>+BD48</f>
        <v>#DIV/0!</v>
      </c>
    </row>
    <row r="152" spans="2:31">
      <c r="B152" s="16"/>
      <c r="C152" s="16"/>
      <c r="D152" s="16"/>
      <c r="E152" s="16"/>
      <c r="F152" s="16"/>
      <c r="G152" s="16"/>
      <c r="H152" s="260"/>
      <c r="I152" s="260"/>
      <c r="J152" s="283"/>
      <c r="K152" s="279"/>
      <c r="L152" s="270" t="e">
        <f>+AD152</f>
        <v>#DIV/0!</v>
      </c>
      <c r="M152" s="319" t="s">
        <v>431</v>
      </c>
      <c r="N152" s="319"/>
      <c r="O152" s="319"/>
      <c r="P152" s="319"/>
      <c r="Q152" s="319"/>
      <c r="R152" s="319"/>
      <c r="S152" s="319"/>
      <c r="T152" s="319"/>
      <c r="U152" s="260"/>
      <c r="V152" s="283"/>
      <c r="AA152" s="177"/>
      <c r="AB152" s="32">
        <f>+COUNTIF(AB145:AB151,"n.b.")</f>
        <v>0</v>
      </c>
      <c r="AD152" s="327" t="e">
        <f>+IF(AB152=7,$AI$35,+IF(MIN(G48,M48,Q48,W48,AB48,AG48,BD48)&lt;80%,"B","A"))</f>
        <v>#DIV/0!</v>
      </c>
      <c r="AE152" s="32">
        <f>+COUNTIF((AB145:AB151),"=&lt;80")</f>
        <v>0</v>
      </c>
    </row>
    <row r="153" spans="2:31">
      <c r="B153" s="16"/>
      <c r="C153" s="16"/>
      <c r="D153" s="16"/>
      <c r="E153" s="16"/>
      <c r="F153" s="16"/>
      <c r="G153" s="16"/>
      <c r="H153" s="260"/>
      <c r="I153" s="260"/>
      <c r="J153" s="283"/>
      <c r="K153" s="279"/>
      <c r="L153" s="270" t="str">
        <f>+AD167</f>
        <v>C</v>
      </c>
      <c r="M153" s="319" t="s">
        <v>150</v>
      </c>
      <c r="N153" s="319"/>
      <c r="O153" s="319"/>
      <c r="P153" s="319"/>
      <c r="Q153" s="319"/>
      <c r="R153" s="319"/>
      <c r="S153" s="319"/>
      <c r="T153" s="319"/>
      <c r="U153" s="260"/>
      <c r="V153" s="283"/>
      <c r="AA153" s="177"/>
    </row>
    <row r="154" spans="2:31" ht="15" thickBot="1">
      <c r="B154" s="16"/>
      <c r="C154" s="16"/>
      <c r="D154" s="16"/>
      <c r="E154" s="16"/>
      <c r="F154" s="16"/>
      <c r="G154" s="16"/>
      <c r="H154" s="260"/>
      <c r="I154" s="260"/>
      <c r="J154" s="283"/>
      <c r="K154" s="48"/>
      <c r="L154" s="270" t="e">
        <f>++IF(K149="n.b.","n.b.",+IF(MIN(epm,ede,epe,elm,ek,epg)&lt;70%,"C",+IF(MIN(epm,ede,epe,elm,ek,epg)&lt;80%,"B","kA")))</f>
        <v>#DIV/0!</v>
      </c>
      <c r="M154" s="320" t="s">
        <v>194</v>
      </c>
      <c r="N154" s="319"/>
      <c r="O154" s="319"/>
      <c r="P154" s="319"/>
      <c r="Q154" s="319"/>
      <c r="R154" s="319"/>
      <c r="S154" s="319"/>
      <c r="T154" s="319"/>
      <c r="U154" s="260"/>
      <c r="V154" s="283"/>
      <c r="AA154" s="177"/>
    </row>
    <row r="155" spans="2:31" ht="15" thickBot="1">
      <c r="B155" s="16"/>
      <c r="C155" s="16"/>
      <c r="D155" s="16"/>
      <c r="E155" s="16"/>
      <c r="F155" s="16"/>
      <c r="G155" s="16"/>
      <c r="H155" s="260"/>
      <c r="I155" s="260"/>
      <c r="J155" s="283"/>
      <c r="K155" s="279"/>
      <c r="L155" s="288" t="str">
        <f>IF(COUNTIF(L149:L154,"n.b.")=6,"n.b.",IF(COUNTIF(L149:L154,"C")&gt;=1,"C",IF(COUNTIF(L149:L154,"B")&gt;=1,"B","A")))</f>
        <v>C</v>
      </c>
      <c r="M155" s="321" t="s">
        <v>151</v>
      </c>
      <c r="N155" s="321"/>
      <c r="O155" s="322"/>
      <c r="P155" s="319"/>
      <c r="Q155" s="319"/>
      <c r="R155" s="319"/>
      <c r="S155" s="319"/>
      <c r="T155" s="319"/>
      <c r="U155" s="260"/>
      <c r="V155" s="283"/>
    </row>
    <row r="156" spans="2:31">
      <c r="B156" s="16"/>
      <c r="C156" s="16"/>
      <c r="D156" s="16"/>
      <c r="E156" s="16"/>
      <c r="F156" s="16"/>
      <c r="G156" s="16"/>
      <c r="H156" s="260"/>
      <c r="I156" s="260"/>
      <c r="J156" s="283"/>
      <c r="K156" s="279"/>
      <c r="L156" s="271"/>
      <c r="M156" s="319"/>
      <c r="N156" s="319"/>
      <c r="O156" s="319"/>
      <c r="P156" s="319"/>
      <c r="Q156" s="319"/>
      <c r="R156" s="319"/>
      <c r="S156" s="319"/>
      <c r="T156" s="319"/>
      <c r="U156" s="260"/>
      <c r="V156" s="283"/>
      <c r="Z156" s="177" t="s">
        <v>189</v>
      </c>
    </row>
    <row r="157" spans="2:31">
      <c r="B157" s="16"/>
      <c r="C157" s="16"/>
      <c r="D157" s="16"/>
      <c r="E157" s="16"/>
      <c r="F157" s="16"/>
      <c r="G157" s="16"/>
      <c r="H157" s="260"/>
      <c r="I157" s="260"/>
      <c r="J157" s="283"/>
      <c r="K157" s="279"/>
      <c r="L157" s="271"/>
      <c r="M157" s="319"/>
      <c r="N157" s="319"/>
      <c r="O157" s="319"/>
      <c r="P157" s="319"/>
      <c r="Q157" s="319"/>
      <c r="R157" s="319"/>
      <c r="S157" s="319"/>
      <c r="T157" s="319"/>
      <c r="U157" s="260"/>
      <c r="V157" s="283"/>
      <c r="Y157" s="237"/>
      <c r="Z157" s="177" t="s">
        <v>12</v>
      </c>
      <c r="AA157" s="177" t="s">
        <v>172</v>
      </c>
      <c r="AB157" s="195" t="str">
        <f>+AS36</f>
        <v>xx</v>
      </c>
    </row>
    <row r="158" spans="2:31">
      <c r="B158" s="16"/>
      <c r="C158" s="16"/>
      <c r="D158" s="16"/>
      <c r="E158" s="16"/>
      <c r="F158" s="16"/>
      <c r="G158" s="16"/>
      <c r="H158" s="260"/>
      <c r="I158" s="260"/>
      <c r="J158" s="283"/>
      <c r="K158" s="278" t="str">
        <f>+IF(ISERROR(+AVERAGE(epm,ede,epe)),"n.b.",+ROUND((+AVERAGE(epm,ede,epe)),2))</f>
        <v>n.b.</v>
      </c>
      <c r="L158" s="277" t="str">
        <f>+IF(K158="n.b.","n.b.",(+IF(K158&lt;80%,"C",+IF(K158&lt;90%,"B","A"))))</f>
        <v>n.b.</v>
      </c>
      <c r="M158" s="319" t="s">
        <v>155</v>
      </c>
      <c r="N158" s="319"/>
      <c r="O158" s="319"/>
      <c r="P158" s="319"/>
      <c r="Q158" s="319"/>
      <c r="R158" s="319"/>
      <c r="S158" s="319"/>
      <c r="T158" s="319"/>
      <c r="U158" s="260"/>
      <c r="V158" s="283"/>
      <c r="Y158" s="237"/>
      <c r="Z158" s="177" t="s">
        <v>13</v>
      </c>
      <c r="AA158" s="177" t="s">
        <v>173</v>
      </c>
      <c r="AB158" s="195" t="str">
        <f>+AS38</f>
        <v>xx</v>
      </c>
    </row>
    <row r="159" spans="2:31">
      <c r="B159" s="16"/>
      <c r="C159" s="16"/>
      <c r="D159" s="16"/>
      <c r="E159" s="16"/>
      <c r="F159" s="16"/>
      <c r="G159" s="16"/>
      <c r="H159" s="260"/>
      <c r="I159" s="260"/>
      <c r="J159" s="283"/>
      <c r="K159" s="279"/>
      <c r="L159" s="270" t="str">
        <f>+IF(COUNTIF(H82:H97,"n.b.")=3,"n.b.",+IF(COUNTIF((H82:H97),"C")&gt;=1,"C",+IF(+COUNTIF((H82:H97),"B")&gt;=1,"B","A")))</f>
        <v>n.b.</v>
      </c>
      <c r="M159" s="319" t="s">
        <v>184</v>
      </c>
      <c r="N159" s="319"/>
      <c r="O159" s="319"/>
      <c r="P159" s="319"/>
      <c r="Q159" s="319"/>
      <c r="R159" s="319"/>
      <c r="S159" s="319"/>
      <c r="T159" s="319"/>
      <c r="U159" s="260"/>
      <c r="V159" s="283"/>
      <c r="Y159" s="237"/>
      <c r="Z159" s="177" t="s">
        <v>14</v>
      </c>
      <c r="AA159" s="177" t="s">
        <v>174</v>
      </c>
      <c r="AB159" s="195" t="str">
        <f>+AS40</f>
        <v>xx</v>
      </c>
    </row>
    <row r="160" spans="2:31">
      <c r="B160" s="16"/>
      <c r="C160" s="16"/>
      <c r="D160" s="16"/>
      <c r="E160" s="16"/>
      <c r="F160" s="16"/>
      <c r="G160" s="16"/>
      <c r="H160" s="260"/>
      <c r="I160" s="260"/>
      <c r="J160" s="283"/>
      <c r="K160" s="48"/>
      <c r="L160" s="270" t="str">
        <f>++IF(K158="n.b.","n.b.",+IF(MIN(epm,ede,epe)&lt;70%,"C",+IF(MIN(epm,ede,epe)&lt;80%,"B","kA")))</f>
        <v>n.b.</v>
      </c>
      <c r="M160" s="320" t="s">
        <v>187</v>
      </c>
      <c r="N160" s="319"/>
      <c r="O160" s="319"/>
      <c r="P160" s="260"/>
      <c r="Q160" s="319"/>
      <c r="R160" s="319"/>
      <c r="S160" s="319"/>
      <c r="T160" s="319"/>
      <c r="U160" s="260"/>
      <c r="V160" s="283"/>
      <c r="Y160" s="237"/>
      <c r="Z160" s="177"/>
      <c r="AA160" s="177"/>
      <c r="AB160" s="195"/>
    </row>
    <row r="161" spans="2:30" ht="15" thickBot="1">
      <c r="B161" s="16"/>
      <c r="C161" s="16"/>
      <c r="D161" s="16"/>
      <c r="E161" s="16"/>
      <c r="F161" s="16"/>
      <c r="G161" s="16"/>
      <c r="H161" s="260"/>
      <c r="I161" s="260"/>
      <c r="J161" s="283"/>
      <c r="K161" s="48"/>
      <c r="L161" s="270" t="str">
        <f>IF(COUNT((A8:A22)=0),"n.b.",+IF(+COUNTIF((A8:A22),"C")&gt;=1,"C",+IF(+COUNTIF((A8:A22),"B")&gt;=1,"B","A")))</f>
        <v>A</v>
      </c>
      <c r="M161" s="320" t="s">
        <v>180</v>
      </c>
      <c r="N161" s="319"/>
      <c r="O161" s="319"/>
      <c r="P161" s="260"/>
      <c r="Q161" s="319"/>
      <c r="R161" s="319"/>
      <c r="S161" s="319"/>
      <c r="T161" s="319"/>
      <c r="U161" s="260"/>
      <c r="V161" s="283"/>
      <c r="Y161" s="237"/>
      <c r="Z161" s="177"/>
      <c r="AA161" s="177"/>
      <c r="AB161" s="195"/>
    </row>
    <row r="162" spans="2:30" ht="15" thickBot="1">
      <c r="B162" s="16"/>
      <c r="C162" s="16"/>
      <c r="D162" s="16"/>
      <c r="E162" s="16"/>
      <c r="F162" s="16"/>
      <c r="G162" s="16"/>
      <c r="H162" s="260"/>
      <c r="I162" s="260"/>
      <c r="J162" s="283"/>
      <c r="K162" s="279"/>
      <c r="L162" s="288" t="str">
        <f>+IF(L158="n.b.","n.b.",+IF(COUNTIF(L158:L161,"C")&gt;=1,"C",+IF(COUNTIF(L158:L161,"B")&gt;=1,"B","A")))</f>
        <v>n.b.</v>
      </c>
      <c r="M162" s="321" t="s">
        <v>156</v>
      </c>
      <c r="N162" s="322"/>
      <c r="O162" s="319"/>
      <c r="P162" s="319"/>
      <c r="Q162" s="319"/>
      <c r="R162" s="319"/>
      <c r="S162" s="319"/>
      <c r="T162" s="319"/>
      <c r="U162" s="260"/>
      <c r="V162" s="283"/>
      <c r="Y162" s="237"/>
      <c r="Z162" s="177"/>
      <c r="AA162" s="177"/>
      <c r="AB162" s="195"/>
    </row>
    <row r="163" spans="2:30">
      <c r="B163" s="16"/>
      <c r="C163" s="16"/>
      <c r="D163" s="16"/>
      <c r="E163" s="16"/>
      <c r="F163" s="16"/>
      <c r="G163" s="16"/>
      <c r="H163" s="260"/>
      <c r="I163" s="260"/>
      <c r="J163" s="283"/>
      <c r="K163" s="279"/>
      <c r="L163" s="271"/>
      <c r="M163" s="319"/>
      <c r="N163" s="319"/>
      <c r="O163" s="319"/>
      <c r="P163" s="319"/>
      <c r="Q163" s="319"/>
      <c r="R163" s="319"/>
      <c r="S163" s="319"/>
      <c r="T163" s="319"/>
      <c r="U163" s="260"/>
      <c r="V163" s="283"/>
      <c r="Y163" s="237"/>
      <c r="Z163" s="177"/>
      <c r="AA163" s="177"/>
      <c r="AB163" s="195"/>
    </row>
    <row r="164" spans="2:30">
      <c r="B164" s="16"/>
      <c r="C164" s="16"/>
      <c r="D164" s="16"/>
      <c r="E164" s="16"/>
      <c r="F164" s="16"/>
      <c r="G164" s="16"/>
      <c r="H164" s="260"/>
      <c r="I164" s="260"/>
      <c r="J164" s="283"/>
      <c r="K164" s="278" t="str">
        <f>++IF(ISERROR(AVERAGE(ez,epg,ek)),"n.b.",+ROUND((+AVERAGE(ez,epg,ek)),2))</f>
        <v>n.b.</v>
      </c>
      <c r="L164" s="277" t="str">
        <f>+IF(K164="n.b.","n.b.",+IF(K164&lt;80%,"C",+IF(K164&lt;90%,"B","A")))</f>
        <v>n.b.</v>
      </c>
      <c r="M164" s="319" t="s">
        <v>157</v>
      </c>
      <c r="N164" s="319"/>
      <c r="O164" s="319"/>
      <c r="P164" s="319"/>
      <c r="Q164" s="319"/>
      <c r="R164" s="319"/>
      <c r="S164" s="319"/>
      <c r="T164" s="319"/>
      <c r="U164" s="260"/>
      <c r="V164" s="283"/>
      <c r="Y164" s="237"/>
      <c r="Z164" s="177"/>
      <c r="AA164" s="177"/>
      <c r="AB164" s="195"/>
    </row>
    <row r="165" spans="2:30">
      <c r="B165" s="16"/>
      <c r="C165" s="16"/>
      <c r="D165" s="16"/>
      <c r="E165" s="16"/>
      <c r="F165" s="16"/>
      <c r="G165" s="16"/>
      <c r="H165" s="260"/>
      <c r="I165" s="260"/>
      <c r="J165" s="283"/>
      <c r="K165" s="279"/>
      <c r="L165" s="270" t="str">
        <f>+IF(K164="n.b.","n.b.",+IF(MIN(elm,epg,ek,AS36:AS40,G48,M48,Q48,W48,AB48,AG48,BD48)&lt;70%,"C",IF(MIN(elm,epg,ek,AS36:AS40,G48,M48,Q48,W48,AB48,AG48,BD48)&lt;80%,"B","A")))</f>
        <v>n.b.</v>
      </c>
      <c r="M165" s="319" t="s">
        <v>195</v>
      </c>
      <c r="N165" s="319"/>
      <c r="O165" s="319"/>
      <c r="P165" s="319"/>
      <c r="Q165" s="319"/>
      <c r="R165" s="319"/>
      <c r="S165" s="319"/>
      <c r="T165" s="319"/>
      <c r="U165" s="260"/>
      <c r="V165" s="283"/>
      <c r="Y165" s="195"/>
      <c r="Z165" s="177"/>
      <c r="AA165" s="177"/>
      <c r="AB165" s="195"/>
    </row>
    <row r="166" spans="2:30">
      <c r="B166" s="16"/>
      <c r="C166" s="16"/>
      <c r="D166" s="16"/>
      <c r="E166" s="16"/>
      <c r="F166" s="16"/>
      <c r="G166" s="16"/>
      <c r="H166" s="260"/>
      <c r="I166" s="260"/>
      <c r="J166" s="283"/>
      <c r="K166" s="48"/>
      <c r="L166" s="270" t="str">
        <f>IF(COUNT((A29:A52)=0),"n.b.",+IF(+COUNTIF((A29:A52),"C")&gt;=1,"C",+IF(+COUNTIF((A29:A52),"B")&gt;=1,"B","A")))</f>
        <v>A</v>
      </c>
      <c r="M166" s="320" t="s">
        <v>179</v>
      </c>
      <c r="N166" s="319"/>
      <c r="O166" s="319"/>
      <c r="P166" s="319"/>
      <c r="Q166" s="319"/>
      <c r="R166" s="319"/>
      <c r="S166" s="319"/>
      <c r="T166" s="319"/>
      <c r="U166" s="260"/>
      <c r="V166" s="283"/>
      <c r="Y166" s="195"/>
      <c r="Z166" s="177"/>
      <c r="AA166" s="177"/>
      <c r="AB166" s="195"/>
    </row>
    <row r="167" spans="2:30" ht="15" thickBot="1">
      <c r="B167" s="16"/>
      <c r="C167" s="16"/>
      <c r="D167" s="16"/>
      <c r="E167" s="16"/>
      <c r="F167" s="16"/>
      <c r="G167" s="16"/>
      <c r="H167" s="260"/>
      <c r="I167" s="260"/>
      <c r="J167" s="283"/>
      <c r="K167" s="279"/>
      <c r="L167" s="270" t="str">
        <f>+IF(K164="n.b.","n.b.",+IF(COUNTIF((H104:H144),"C")&gt;=1,"C",+IF(+COUNTIF((H104:H144),"B")&gt;=1,"B","A")))</f>
        <v>n.b.</v>
      </c>
      <c r="M167" s="319" t="s">
        <v>178</v>
      </c>
      <c r="N167" s="319"/>
      <c r="O167" s="319"/>
      <c r="P167" s="319"/>
      <c r="Q167" s="319"/>
      <c r="R167" s="319"/>
      <c r="S167" s="319"/>
      <c r="T167" s="319"/>
      <c r="U167" s="260"/>
      <c r="V167" s="283"/>
      <c r="AB167" s="32">
        <f>+COUNTIF(AB157:AB166,"n.b.")</f>
        <v>0</v>
      </c>
      <c r="AD167" s="327" t="str">
        <f>+IF(AB167=3,"n.b.",+IF(MIN(AB157:AB159)&lt;70%,"C",+IF(MIN(AB157:AB159)&lt;80%,"B","A")))</f>
        <v>C</v>
      </c>
    </row>
    <row r="168" spans="2:30" ht="15" thickBot="1">
      <c r="B168" s="16"/>
      <c r="C168" s="16"/>
      <c r="D168" s="16"/>
      <c r="E168" s="16"/>
      <c r="F168" s="16"/>
      <c r="G168" s="16"/>
      <c r="H168" s="260"/>
      <c r="I168" s="260"/>
      <c r="J168" s="283"/>
      <c r="K168" s="280"/>
      <c r="L168" s="288" t="str">
        <f>++IF(K164="n.b.","n.b.",+IF(ISERROR(K164),"n.b.",+IF(COUNTIF(L164:L167,"C")&gt;=1,"C",+IF(COUNTIF(L164:L167,"B")&gt;=1,"B","A"))))</f>
        <v>n.b.</v>
      </c>
      <c r="M168" s="321" t="s">
        <v>186</v>
      </c>
      <c r="N168" s="322"/>
      <c r="O168" s="323"/>
      <c r="P168" s="323"/>
      <c r="Q168" s="323"/>
      <c r="R168" s="323"/>
      <c r="S168" s="323"/>
      <c r="T168" s="323"/>
      <c r="U168" s="328"/>
      <c r="V168" s="324"/>
    </row>
    <row r="169" spans="2:30">
      <c r="B169" s="16"/>
      <c r="C169" s="16"/>
      <c r="D169" s="16"/>
      <c r="E169" s="16"/>
      <c r="F169" s="16"/>
      <c r="G169" s="16"/>
      <c r="K169" s="192"/>
      <c r="L169" s="192"/>
      <c r="M169" s="192"/>
      <c r="N169" s="192"/>
      <c r="O169" s="192"/>
      <c r="P169" s="192"/>
      <c r="Q169" s="192"/>
      <c r="R169" s="192"/>
      <c r="S169" s="192"/>
      <c r="T169" s="192"/>
    </row>
    <row r="171" spans="2:30">
      <c r="K171" s="293" t="s">
        <v>176</v>
      </c>
      <c r="L171" s="294"/>
      <c r="M171" s="294"/>
      <c r="N171" s="294"/>
      <c r="O171" s="294"/>
      <c r="P171" s="295"/>
    </row>
    <row r="172" spans="2:30">
      <c r="K172" s="296" t="s">
        <v>175</v>
      </c>
      <c r="L172" s="297"/>
      <c r="M172" s="297"/>
      <c r="N172" s="297"/>
      <c r="O172" s="297"/>
      <c r="P172" s="298"/>
      <c r="R172" s="192"/>
      <c r="S172" s="177" t="s">
        <v>158</v>
      </c>
      <c r="T172" s="192"/>
    </row>
    <row r="173" spans="2:30">
      <c r="G173" s="38"/>
      <c r="H173" s="38"/>
      <c r="I173" s="38"/>
      <c r="J173" s="38"/>
      <c r="K173" s="299" t="s">
        <v>177</v>
      </c>
      <c r="L173" s="300"/>
      <c r="M173" s="300"/>
      <c r="N173" s="300"/>
      <c r="O173" s="300"/>
      <c r="P173" s="301"/>
      <c r="S173" s="32">
        <v>1</v>
      </c>
      <c r="T173" s="32">
        <v>2</v>
      </c>
      <c r="U173" s="32">
        <v>3</v>
      </c>
    </row>
    <row r="174" spans="2:30">
      <c r="G174" s="38"/>
      <c r="H174" s="38"/>
      <c r="I174" s="38"/>
      <c r="J174" s="38"/>
      <c r="K174" s="38"/>
      <c r="L174" s="38"/>
      <c r="M174" s="272"/>
      <c r="N174" s="38"/>
      <c r="O174" s="38"/>
      <c r="P174" s="177" t="s">
        <v>159</v>
      </c>
      <c r="S174" s="32" t="str">
        <f t="shared" ref="S174:U174" si="14">+J138</f>
        <v>A</v>
      </c>
      <c r="T174" s="32" t="str">
        <f t="shared" si="14"/>
        <v>A</v>
      </c>
      <c r="U174" s="32" t="str">
        <f t="shared" si="14"/>
        <v>C</v>
      </c>
    </row>
    <row r="175" spans="2:30">
      <c r="G175" s="38"/>
      <c r="H175" s="38"/>
      <c r="I175" s="38"/>
      <c r="J175" s="38"/>
      <c r="K175" s="38"/>
      <c r="L175" s="38"/>
      <c r="M175" s="38"/>
      <c r="N175" s="38"/>
      <c r="O175" s="38"/>
      <c r="P175" s="177"/>
      <c r="R175" s="177" t="s">
        <v>24</v>
      </c>
      <c r="S175" s="32" t="str">
        <f>+IF(ISERROR(AVERAGE(D36:H36)),"n.b.",(+IF(AVERAGE(D36:H36)&lt;70%,"C",+IF(AVERAGE(D36:H36)&lt;80%,"B","A"))))</f>
        <v>n.b.</v>
      </c>
      <c r="T175" s="32" t="str">
        <f>+IF(ISERROR(AVERAGE(D38:H38)),"n.b.",(+IF(AVERAGE(D38:H38)&lt;70%,"C",+IF(AVERAGE(D38:H38)&lt;80%,"B","A"))))</f>
        <v>n.b.</v>
      </c>
      <c r="U175" s="32" t="str">
        <f>+IF(ISERROR(AVERAGE(D40:H40)),"n.b.",(+IF(AVERAGE(D40:H40)&lt;70%,"C",+IF(AVERAGE(D40:H40)&lt;80%,"B","A"))))</f>
        <v>n.b.</v>
      </c>
    </row>
    <row r="176" spans="2:30">
      <c r="G176" s="38"/>
      <c r="H176" s="38"/>
      <c r="I176" s="38"/>
      <c r="J176" s="38"/>
      <c r="K176" s="38"/>
      <c r="L176" s="38"/>
      <c r="M176" s="38"/>
      <c r="N176" s="38"/>
      <c r="O176" s="38"/>
      <c r="P176" s="177"/>
      <c r="R176" s="177" t="s">
        <v>25</v>
      </c>
      <c r="S176" s="32" t="str">
        <f>+IF(ISERROR(AVERAGE(J36:O36)),"n.b.",(+IF(AVERAGE(J36:O36)&lt;70%,"C",+IF(AVERAGE(J36:O36)&lt;80%,"B","A"))))</f>
        <v>n.b.</v>
      </c>
      <c r="T176" s="32" t="str">
        <f>+IF(ISERROR(AVERAGE(J38:O38)),"n.b.",(+IF(AVERAGE(J38:O38)&lt;70%,"C",+IF(AVERAGE(J38:O38)&lt;80%,"B","A"))))</f>
        <v>n.b.</v>
      </c>
      <c r="U176" s="32" t="str">
        <f>+IF(ISERROR(AVERAGE(J40:O40)),"n.b.",(+IF(AVERAGE(J40:O40)&lt;70%,"C",+IF(AVERAGE(J40:O40)&lt;80%,"B","A"))))</f>
        <v>n.b.</v>
      </c>
    </row>
    <row r="177" spans="1:62">
      <c r="R177" s="177" t="s">
        <v>26</v>
      </c>
      <c r="S177" s="32" t="str">
        <f>+IF(ISERROR(AVERAGE(P36:R36)),"n.b.",(+IF(AVERAGE(P36:R36)&lt;70%,"C",+IF(AVERAGE(P36:R36)&lt;80%,"B","A"))))</f>
        <v>n.b.</v>
      </c>
      <c r="T177" s="32" t="str">
        <f>+IF(ISERROR(AVERAGE(P38:R38)),"n.b.",(+IF(AVERAGE(P38:R38)&lt;70%,"C",+IF(AVERAGE(P38:R38)&lt;80%,"B","A"))))</f>
        <v>n.b.</v>
      </c>
      <c r="U177" s="32" t="str">
        <f>+IF(ISERROR(AVERAGE(P40:R40)),"n.b.",(+IF(AVERAGE(P40:R40)&lt;70%,"C",+IF(AVERAGE(P40:R40)&lt;80%,"B","A"))))</f>
        <v>n.b.</v>
      </c>
    </row>
    <row r="178" spans="1:62">
      <c r="R178" s="177" t="s">
        <v>27</v>
      </c>
      <c r="S178" s="32" t="str">
        <f>+IF(ISERROR(AVERAGE($T36:$V36)),"n.b.",(+IF(AVERAGE($T36:$V36)&lt;70%,"C",+IF(AVERAGE($T36:$V36)&lt;80%,"B","A"))))</f>
        <v>n.b.</v>
      </c>
      <c r="T178" s="32" t="str">
        <f>+IF(ISERROR(AVERAGE($T38:$V38)),"n.b.",(+IF(AVERAGE($T38:$V38)&lt;70%,"C",+IF(AVERAGE($T38:$V38)&lt;80%,"B","A"))))</f>
        <v>n.b.</v>
      </c>
      <c r="U178" s="32" t="str">
        <f>+IF(ISERROR(AVERAGE($T40:$V40)),"n.b.",(+IF(AVERAGE($T40:$V40)&lt;70%,"C",+IF(AVERAGE($T40:$V40)&lt;80%,"B","A"))))</f>
        <v>n.b.</v>
      </c>
    </row>
    <row r="179" spans="1:62">
      <c r="R179" s="177" t="s">
        <v>102</v>
      </c>
      <c r="S179" s="32" t="str">
        <f>+IF(ISERROR(AVERAGE($Z36:$AC36)),"n.b.",(+IF(AVERAGE($Z36:$AC36)&lt;70%,"C",+IF(AVERAGE($Z36:$AC36)&lt;80%,"B","A"))))</f>
        <v>n.b.</v>
      </c>
      <c r="T179" s="32" t="str">
        <f>+IF(ISERROR(AVERAGE($Z38:$AC38)),"n.b.",(+IF(AVERAGE($Z38:$AC38)&lt;70%,"C",+IF(AVERAGE($Z38:$AC38)&lt;80%,"B","A"))))</f>
        <v>n.b.</v>
      </c>
      <c r="U179" s="32" t="str">
        <f>+IF(ISERROR(AVERAGE($Z40:$AC40)),"n.b.",(+IF(AVERAGE($Z40:$AC40)&lt;70%,"C",+IF(AVERAGE($Z40:$AC40)&lt;80%,"B","A"))))</f>
        <v>n.b.</v>
      </c>
    </row>
    <row r="180" spans="1:62">
      <c r="R180" s="177" t="s">
        <v>103</v>
      </c>
      <c r="S180" s="32" t="str">
        <f>+IF(ISERROR(AVERAGE($AE36:$AH36)),"n.b.",(+IF(AVERAGE($AE36:$AH36)&lt;70%,"C",+IF(AVERAGE($AE36:$AH36)&lt;80%,"B","A"))))</f>
        <v>n.b.</v>
      </c>
      <c r="T180" s="32" t="str">
        <f>+IF(ISERROR(AVERAGE($AE38:$AH38)),"n.b.",(+IF(AVERAGE($AE38:$AH38)&lt;70%,"C",+IF(AVERAGE($AE38:$AH38)&lt;80%,"B","A"))))</f>
        <v>n.b.</v>
      </c>
      <c r="U180" s="32" t="str">
        <f>+IF(ISERROR(AVERAGE($AE40:$AH40)),"n.b.",(+IF(AVERAGE($AE40:$AH40)&lt;70%,"C",+IF(AVERAGE($AE40:$AH40)&lt;80%,"B","A"))))</f>
        <v>n.b.</v>
      </c>
    </row>
    <row r="181" spans="1:62">
      <c r="R181" s="177" t="s">
        <v>143</v>
      </c>
      <c r="S181" s="32" t="str">
        <f>+IF(ISERROR(AVERAGE($AX36:$BE36)),"n.b.",(+IF(AVERAGE($AX36:$BE36)&lt;70%,"C",+IF(AVERAGE($AX36:$BE36)&lt;80%,"B","A"))))</f>
        <v>n.b.</v>
      </c>
      <c r="T181" s="32" t="str">
        <f>+IF(ISERROR(AVERAGE($AX38:$BE38)),"n.b.",(+IF(AVERAGE($AX38:$BE38)&lt;70%,"C",+IF(AVERAGE($AX38:$BE38)&lt;80%,"B","A"))))</f>
        <v>n.b.</v>
      </c>
      <c r="U181" s="32" t="str">
        <f>+IF(ISERROR(AVERAGE($AX40:$BE40)),"n.b.",(+IF(AVERAGE($AX40:$BE40)&lt;70%,"C",+IF(AVERAGE($AX40:$BE40)&lt;80%,"B","A"))))</f>
        <v>n.b.</v>
      </c>
    </row>
    <row r="182" spans="1:62">
      <c r="R182" s="177"/>
    </row>
    <row r="183" spans="1:62">
      <c r="K183" s="237"/>
      <c r="Q183" s="177"/>
      <c r="R183" s="177"/>
      <c r="S183" s="177"/>
      <c r="T183" s="177"/>
      <c r="U183" s="177"/>
      <c r="V183" s="177"/>
      <c r="W183" s="177"/>
      <c r="X183" s="177"/>
      <c r="Y183" s="177"/>
      <c r="Z183" s="177"/>
    </row>
    <row r="184" spans="1:62">
      <c r="K184" s="237"/>
      <c r="L184" s="192"/>
      <c r="M184" s="177"/>
    </row>
    <row r="185" spans="1:62">
      <c r="B185" s="48"/>
      <c r="C185" s="33"/>
      <c r="D185" s="31"/>
      <c r="E185" s="31"/>
      <c r="F185" s="31"/>
      <c r="G185" s="31"/>
      <c r="H185" s="31"/>
      <c r="I185" s="31"/>
      <c r="J185" s="31"/>
      <c r="K185" s="31"/>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16"/>
      <c r="BF185" s="16"/>
      <c r="BG185" s="16"/>
      <c r="BH185" s="16"/>
      <c r="BI185" s="49"/>
      <c r="BJ185" s="34"/>
    </row>
    <row r="186" spans="1:62">
      <c r="A186" s="254"/>
      <c r="B186" s="48"/>
      <c r="C186" s="262"/>
      <c r="D186" s="258"/>
      <c r="E186" s="258"/>
      <c r="F186" s="258"/>
      <c r="G186" s="258"/>
      <c r="H186" s="258"/>
      <c r="I186" s="258"/>
      <c r="J186" s="258"/>
      <c r="K186" s="258"/>
      <c r="L186" s="258"/>
      <c r="M186" s="258"/>
      <c r="N186" s="258"/>
      <c r="O186" s="258"/>
      <c r="P186" s="258"/>
      <c r="Q186" s="258"/>
      <c r="R186" s="258"/>
      <c r="S186" s="258"/>
      <c r="T186" s="258"/>
      <c r="U186" s="258"/>
      <c r="V186" s="258"/>
      <c r="W186" s="258"/>
      <c r="X186" s="258"/>
      <c r="Y186" s="258"/>
      <c r="Z186" s="258"/>
      <c r="AA186" s="258"/>
      <c r="AB186" s="258"/>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6"/>
      <c r="BF186" s="16"/>
      <c r="BG186" s="16"/>
      <c r="BH186" s="16"/>
      <c r="BI186" s="51"/>
      <c r="BJ186" s="16"/>
    </row>
    <row r="187" spans="1:62">
      <c r="B187" s="48"/>
      <c r="C187" s="258"/>
      <c r="D187" s="258"/>
      <c r="E187" s="258"/>
      <c r="F187" s="258"/>
      <c r="G187" s="258"/>
      <c r="H187" s="258"/>
      <c r="I187" s="258"/>
      <c r="J187" s="258"/>
      <c r="K187" s="258"/>
      <c r="L187" s="258"/>
      <c r="M187" s="258"/>
      <c r="N187" s="258"/>
      <c r="O187" s="258"/>
      <c r="P187" s="258"/>
      <c r="Q187" s="258"/>
      <c r="R187" s="258"/>
      <c r="S187" s="258"/>
      <c r="T187" s="258"/>
      <c r="U187" s="258"/>
      <c r="V187" s="258"/>
      <c r="W187" s="258"/>
      <c r="X187" s="258"/>
      <c r="Y187" s="258"/>
      <c r="Z187" s="258"/>
      <c r="AA187" s="258"/>
      <c r="AB187" s="258"/>
      <c r="AC187" s="15"/>
      <c r="AD187" s="15"/>
      <c r="AE187" s="15"/>
      <c r="AF187" s="15"/>
      <c r="AG187" s="15"/>
      <c r="AH187" s="15"/>
      <c r="AI187" s="15"/>
      <c r="AJ187" s="15"/>
      <c r="AK187" s="15"/>
      <c r="AL187" s="15"/>
      <c r="AM187" s="15"/>
      <c r="AN187" s="15"/>
      <c r="AO187" s="15"/>
      <c r="AP187" s="15"/>
      <c r="AQ187" s="15"/>
      <c r="AR187" s="15"/>
      <c r="AS187" s="15"/>
      <c r="AT187" s="15"/>
      <c r="AU187" s="15"/>
      <c r="AV187" s="15"/>
      <c r="BE187" s="16"/>
      <c r="BF187" s="16"/>
      <c r="BG187" s="16"/>
      <c r="BH187" s="16"/>
      <c r="BI187" s="51"/>
      <c r="BJ187" s="16"/>
    </row>
    <row r="188" spans="1:62" s="493" customFormat="1" ht="28.5">
      <c r="A188" s="242" t="s">
        <v>152</v>
      </c>
      <c r="B188" s="48"/>
      <c r="C188" s="263"/>
      <c r="D188" s="1517"/>
      <c r="E188" s="1517"/>
      <c r="F188" s="1517"/>
      <c r="G188" s="1517"/>
      <c r="H188" s="1517"/>
      <c r="I188" s="1473"/>
      <c r="J188" s="1473"/>
      <c r="K188" s="1473"/>
      <c r="L188" s="1473"/>
      <c r="M188" s="1473"/>
      <c r="N188" s="1473"/>
      <c r="O188" s="1473"/>
      <c r="P188" s="1473"/>
      <c r="Q188" s="1473"/>
      <c r="R188" s="1473"/>
      <c r="S188" s="1473"/>
      <c r="T188" s="1473"/>
      <c r="U188" s="1473"/>
      <c r="V188" s="1473"/>
      <c r="W188" s="1473"/>
      <c r="X188" s="1473"/>
      <c r="Y188" s="264"/>
      <c r="Z188" s="264"/>
      <c r="AA188" s="264"/>
      <c r="AB188" s="742"/>
      <c r="AC188" s="205"/>
      <c r="AD188" s="205"/>
      <c r="AE188" s="1524"/>
      <c r="AF188" s="1524"/>
      <c r="AG188" s="1524"/>
      <c r="AH188" s="1524"/>
      <c r="AI188" s="1524"/>
      <c r="AJ188" s="1524"/>
      <c r="AK188" s="1524"/>
      <c r="AL188" s="1524"/>
      <c r="AM188" s="1524"/>
      <c r="AN188" s="1524"/>
      <c r="AO188" s="1524"/>
      <c r="AP188" s="1524"/>
      <c r="AQ188" s="1524"/>
      <c r="AR188" s="1524"/>
      <c r="AS188" s="1524"/>
      <c r="AT188" s="1524"/>
      <c r="AU188" s="206"/>
      <c r="AV188" s="206"/>
      <c r="AW188" s="1580"/>
      <c r="AX188" s="1580"/>
      <c r="AY188" s="1580"/>
      <c r="AZ188" s="1580"/>
      <c r="BA188" s="1580"/>
      <c r="BB188" s="1580"/>
      <c r="BC188" s="1580"/>
      <c r="BD188" s="229"/>
      <c r="BE188" s="16"/>
      <c r="BF188" s="16"/>
      <c r="BG188" s="16"/>
      <c r="BH188" s="16"/>
      <c r="BI188" s="45"/>
      <c r="BJ188" s="44"/>
    </row>
    <row r="189" spans="1:62" ht="21" customHeight="1">
      <c r="A189" s="243" t="e">
        <f>IF(COUNTIF(G48,"n.b.")+COUNTIF(M48,"n.b.")+COUNTIF(M48,"n.b.")+COUNTIF(Q48,"n.b.")+COUNTIF(W48,"n.b.")+COUNTIF(AB48,"n.b.")+COUNTIF(AG48,"n.b.")+COUNTIF(BD48,"n.b.")=7,"n.b.",IF(MIN(G48,M48,Q48,W48,AB48,AG48,BD48)&lt;70%,"C",IF(MIN(G48,M48,Q48,W48,AB48,AG48,BD48)&lt;80%,"B","A")))</f>
        <v>#DIV/0!</v>
      </c>
      <c r="B189" s="48"/>
      <c r="C189" s="258"/>
      <c r="D189" s="1517"/>
      <c r="E189" s="1517"/>
      <c r="F189" s="1517"/>
      <c r="G189" s="1517"/>
      <c r="H189" s="1517"/>
      <c r="I189" s="1496"/>
      <c r="J189" s="1496"/>
      <c r="K189" s="1496"/>
      <c r="L189" s="1496"/>
      <c r="M189" s="1496"/>
      <c r="N189" s="1496"/>
      <c r="O189" s="1496"/>
      <c r="P189" s="1496"/>
      <c r="Q189" s="1496"/>
      <c r="R189" s="1496"/>
      <c r="S189" s="1496"/>
      <c r="T189" s="1496"/>
      <c r="U189" s="1496"/>
      <c r="V189" s="1496"/>
      <c r="W189" s="1496"/>
      <c r="X189" s="1496"/>
      <c r="Y189" s="265"/>
      <c r="Z189" s="265"/>
      <c r="AA189" s="265"/>
      <c r="AB189" s="743"/>
      <c r="AC189" s="207"/>
      <c r="AD189" s="207"/>
      <c r="AE189" s="1524"/>
      <c r="AF189" s="1524"/>
      <c r="AG189" s="1524"/>
      <c r="AH189" s="1524"/>
      <c r="AI189" s="1524"/>
      <c r="AJ189" s="1524"/>
      <c r="AK189" s="1524"/>
      <c r="AL189" s="1524"/>
      <c r="AM189" s="1524"/>
      <c r="AN189" s="1524"/>
      <c r="AO189" s="1524"/>
      <c r="AP189" s="1524"/>
      <c r="AQ189" s="1524"/>
      <c r="AR189" s="1524"/>
      <c r="AS189" s="1524"/>
      <c r="AT189" s="1524"/>
      <c r="AW189" s="1580"/>
      <c r="AX189" s="1580"/>
      <c r="AY189" s="1580"/>
      <c r="AZ189" s="1580"/>
      <c r="BA189" s="1580"/>
      <c r="BB189" s="1580"/>
      <c r="BC189" s="1580"/>
      <c r="BD189" s="229"/>
      <c r="BE189" s="16"/>
      <c r="BF189" s="16"/>
      <c r="BG189" s="16"/>
      <c r="BH189" s="16"/>
      <c r="BI189" s="51"/>
      <c r="BJ189" s="16"/>
    </row>
    <row r="190" spans="1:62" ht="5.0999999999999996" customHeight="1">
      <c r="B190" s="48"/>
      <c r="C190" s="258"/>
      <c r="D190" s="258"/>
      <c r="E190" s="258"/>
      <c r="F190" s="258"/>
      <c r="G190" s="258"/>
      <c r="H190" s="258"/>
      <c r="I190" s="258"/>
      <c r="J190" s="258"/>
      <c r="K190" s="258"/>
      <c r="L190" s="258"/>
      <c r="M190" s="258"/>
      <c r="N190" s="258"/>
      <c r="O190" s="258"/>
      <c r="P190" s="258"/>
      <c r="Q190" s="258"/>
      <c r="R190" s="258"/>
      <c r="S190" s="258"/>
      <c r="T190" s="258"/>
      <c r="U190" s="258"/>
      <c r="V190" s="258"/>
      <c r="W190" s="258"/>
      <c r="X190" s="258"/>
      <c r="Y190" s="258"/>
      <c r="Z190" s="258"/>
      <c r="AA190" s="258"/>
      <c r="AB190" s="258"/>
      <c r="AC190" s="15"/>
      <c r="AD190" s="15"/>
      <c r="AE190" s="1524"/>
      <c r="AF190" s="1524"/>
      <c r="AG190" s="1524"/>
      <c r="AH190" s="1524"/>
      <c r="AI190" s="1524"/>
      <c r="AJ190" s="1524"/>
      <c r="AK190" s="1524"/>
      <c r="AL190" s="1524"/>
      <c r="AM190" s="1524"/>
      <c r="AN190" s="1524"/>
      <c r="AO190" s="1524"/>
      <c r="AP190" s="1524"/>
      <c r="AQ190" s="1524"/>
      <c r="AR190" s="1524"/>
      <c r="AS190" s="1524"/>
      <c r="AT190" s="1524"/>
      <c r="AU190" s="199"/>
      <c r="AV190" s="199"/>
      <c r="AW190" s="1580"/>
      <c r="AX190" s="1580"/>
      <c r="AY190" s="1580"/>
      <c r="AZ190" s="1580"/>
      <c r="BA190" s="1580"/>
      <c r="BB190" s="1580"/>
      <c r="BC190" s="1580"/>
      <c r="BD190" s="229"/>
      <c r="BE190" s="16"/>
      <c r="BF190" s="16"/>
      <c r="BG190" s="16"/>
      <c r="BH190" s="16"/>
      <c r="BI190" s="51"/>
      <c r="BJ190" s="16"/>
    </row>
    <row r="191" spans="1:62" ht="13.5" customHeight="1">
      <c r="B191" s="48"/>
      <c r="C191" s="258"/>
      <c r="D191" s="266"/>
      <c r="E191" s="258"/>
      <c r="F191" s="258"/>
      <c r="G191" s="258"/>
      <c r="H191" s="258"/>
      <c r="I191" s="258"/>
      <c r="J191" s="1478"/>
      <c r="K191" s="1478"/>
      <c r="L191" s="258"/>
      <c r="M191" s="258"/>
      <c r="N191" s="1478"/>
      <c r="O191" s="1478"/>
      <c r="P191" s="258"/>
      <c r="Q191" s="258"/>
      <c r="R191" s="1478"/>
      <c r="S191" s="1478"/>
      <c r="T191" s="258"/>
      <c r="U191" s="258"/>
      <c r="V191" s="1478"/>
      <c r="W191" s="1478"/>
      <c r="X191" s="257"/>
      <c r="Y191" s="1478"/>
      <c r="Z191" s="1478"/>
      <c r="AA191" s="257"/>
      <c r="AB191" s="257"/>
      <c r="AC191" s="209"/>
      <c r="AD191" s="209"/>
      <c r="AE191" s="257"/>
      <c r="AF191" s="258"/>
      <c r="AG191" s="259"/>
      <c r="AH191" s="260"/>
      <c r="AI191" s="260"/>
      <c r="AJ191" s="260"/>
      <c r="AK191" s="260"/>
      <c r="AL191" s="260"/>
      <c r="AM191" s="259"/>
      <c r="AN191" s="259"/>
      <c r="AO191" s="259"/>
      <c r="AP191" s="259"/>
      <c r="AQ191" s="259"/>
      <c r="AR191" s="261"/>
      <c r="AS191" s="261"/>
      <c r="AT191" s="259"/>
      <c r="AU191" s="199"/>
      <c r="AV191" s="199"/>
      <c r="AW191" s="199"/>
      <c r="AX191" s="199"/>
      <c r="AY191" s="199"/>
      <c r="AZ191" s="199"/>
      <c r="BA191" s="199"/>
      <c r="BB191" s="199"/>
      <c r="BC191" s="199"/>
      <c r="BD191" s="199"/>
      <c r="BE191" s="256"/>
      <c r="BF191" s="199"/>
      <c r="BG191" s="199"/>
      <c r="BH191" s="199"/>
      <c r="BI191" s="51"/>
      <c r="BJ191" s="16"/>
    </row>
    <row r="192" spans="1:62" ht="21" customHeight="1">
      <c r="A192" s="242" t="s">
        <v>146</v>
      </c>
      <c r="B192" s="48"/>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78"/>
      <c r="AF192" s="1579"/>
      <c r="AG192" s="1579"/>
      <c r="AH192" s="1579"/>
      <c r="AI192" s="1578"/>
      <c r="AJ192" s="1578"/>
      <c r="AK192" s="1578"/>
      <c r="AL192" s="1578"/>
      <c r="AM192" s="1578"/>
      <c r="AN192" s="1578"/>
      <c r="AO192" s="1578"/>
      <c r="AP192" s="1578"/>
      <c r="AQ192" s="1578"/>
      <c r="AR192" s="16"/>
      <c r="AS192" s="16"/>
      <c r="AT192" s="16"/>
      <c r="AU192" s="16"/>
      <c r="AV192" s="16"/>
      <c r="AW192" s="16"/>
      <c r="AX192" s="16"/>
      <c r="AY192" s="16"/>
      <c r="AZ192" s="16"/>
      <c r="BA192" s="16"/>
      <c r="BB192" s="16"/>
      <c r="BC192" s="16"/>
      <c r="BD192" s="16"/>
      <c r="BE192" s="16"/>
      <c r="BF192" s="16"/>
      <c r="BG192" s="16"/>
      <c r="BH192" s="16"/>
      <c r="BI192" s="16"/>
      <c r="BJ192" s="16"/>
    </row>
    <row r="193" spans="1:62" ht="15.2" customHeight="1" thickBot="1">
      <c r="A193" s="243" t="str">
        <f>IF(MIN(AT36:AT40)&lt;70%,"C",IF(MIN(AT36:AT40)&lt;80%,"B","A"))</f>
        <v>C</v>
      </c>
      <c r="B193" s="48"/>
      <c r="D193" s="15"/>
      <c r="E193" s="15"/>
      <c r="F193" s="15"/>
      <c r="G193" s="15"/>
      <c r="H193" s="15"/>
      <c r="I193" s="15"/>
      <c r="J193" s="15"/>
      <c r="K193" s="15"/>
      <c r="L193" s="15"/>
      <c r="M193" s="15"/>
      <c r="N193" s="15"/>
      <c r="O193" s="15"/>
      <c r="P193" s="15"/>
      <c r="Q193" s="15"/>
      <c r="R193" s="15"/>
      <c r="S193" s="15"/>
      <c r="T193" s="15"/>
      <c r="U193" s="15"/>
      <c r="V193" s="498"/>
      <c r="W193" s="15"/>
      <c r="X193" s="15"/>
      <c r="Y193" s="498" t="s">
        <v>49</v>
      </c>
      <c r="Z193" s="15"/>
      <c r="AB193" s="222" t="s">
        <v>65</v>
      </c>
      <c r="AC193" s="15"/>
      <c r="AD193" s="15"/>
      <c r="AE193" s="1579"/>
      <c r="AF193" s="1579"/>
      <c r="AG193" s="1579"/>
      <c r="AH193" s="1579"/>
      <c r="AI193" s="1579"/>
      <c r="AJ193" s="1579"/>
      <c r="AK193" s="1579"/>
      <c r="AL193" s="1579"/>
      <c r="AM193" s="1579"/>
      <c r="AN193" s="1579"/>
      <c r="AO193" s="1579"/>
      <c r="AP193" s="1579"/>
      <c r="AQ193" s="1579"/>
      <c r="AR193" s="16"/>
      <c r="AS193" s="16"/>
      <c r="AT193" s="16"/>
      <c r="AU193" s="16"/>
      <c r="AV193" s="16"/>
      <c r="AW193" s="16"/>
      <c r="AX193" s="16"/>
      <c r="AY193" s="16"/>
      <c r="AZ193" s="16"/>
      <c r="BA193" s="16"/>
      <c r="BB193" s="16"/>
      <c r="BC193" s="16"/>
      <c r="BD193" s="16"/>
      <c r="BE193" s="16"/>
      <c r="BF193" s="16"/>
      <c r="BG193" s="16"/>
      <c r="BH193" s="16"/>
      <c r="BI193" s="16"/>
      <c r="BJ193" s="16"/>
    </row>
    <row r="194" spans="1:62" ht="15" customHeight="1">
      <c r="B194" s="48"/>
      <c r="C194" s="15"/>
      <c r="D194" s="15"/>
      <c r="E194" s="15"/>
      <c r="F194" s="15"/>
      <c r="G194" s="15"/>
      <c r="H194" s="15"/>
      <c r="I194" s="15"/>
      <c r="J194" s="15"/>
      <c r="K194" s="15"/>
      <c r="L194" s="15"/>
      <c r="M194" s="15"/>
      <c r="N194" s="15"/>
      <c r="O194" s="15"/>
      <c r="P194" s="15"/>
      <c r="Q194" s="15"/>
      <c r="R194" s="15"/>
      <c r="S194" s="15"/>
      <c r="T194" s="15"/>
      <c r="U194" s="15"/>
      <c r="V194" s="1483" t="s">
        <v>72</v>
      </c>
      <c r="W194" s="1484"/>
      <c r="X194" s="1485"/>
      <c r="Y194" s="1489" t="str">
        <f>IF(ISERROR(AVERAGE(epm,epp,epr)),"n.b.",ROUND(AVERAGE(D8:J8,D14:H14,O14:S14,D22:K22,Q22:X22)/10,2))</f>
        <v>n.b.</v>
      </c>
      <c r="Z194" s="1490"/>
      <c r="AA194" s="1491"/>
      <c r="AB194" s="1581" t="str">
        <f>+L162</f>
        <v>n.b.</v>
      </c>
      <c r="AC194" s="1582"/>
      <c r="AD194" s="15"/>
      <c r="AE194" s="1576"/>
      <c r="AF194" s="1577"/>
      <c r="AG194" s="1577"/>
      <c r="AH194" s="1577"/>
      <c r="AI194" s="1474"/>
      <c r="AJ194" s="1474"/>
      <c r="AK194" s="1474"/>
      <c r="AL194" s="1474"/>
      <c r="AM194" s="1474"/>
      <c r="AN194" s="1474"/>
      <c r="AO194" s="1474"/>
      <c r="AP194" s="1474"/>
      <c r="AQ194" s="1475"/>
      <c r="AR194" s="16"/>
      <c r="AS194" s="16"/>
      <c r="AT194" s="16"/>
      <c r="AU194" s="16"/>
      <c r="AV194" s="16"/>
      <c r="AW194" s="16"/>
      <c r="AX194" s="16"/>
      <c r="AY194" s="16"/>
      <c r="AZ194" s="16"/>
      <c r="BA194" s="16"/>
      <c r="BB194" s="16"/>
      <c r="BC194" s="16"/>
      <c r="BD194" s="16"/>
      <c r="BE194" s="16"/>
      <c r="BF194" s="16"/>
      <c r="BG194" s="16"/>
      <c r="BH194" s="16"/>
      <c r="BI194" s="16"/>
      <c r="BJ194" s="16"/>
    </row>
    <row r="195" spans="1:62" ht="19.5" customHeight="1" thickBot="1">
      <c r="B195" s="48"/>
      <c r="C195" s="15"/>
      <c r="D195" s="15"/>
      <c r="E195" s="15"/>
      <c r="F195" s="73"/>
      <c r="G195" s="15"/>
      <c r="I195" s="15"/>
      <c r="J195" s="230"/>
      <c r="K195" s="204"/>
      <c r="L195" s="15"/>
      <c r="M195" s="15"/>
      <c r="N195" s="15"/>
      <c r="O195" s="15"/>
      <c r="P195" s="15"/>
      <c r="Q195" s="15"/>
      <c r="R195" s="15"/>
      <c r="S195" s="15"/>
      <c r="T195" s="15"/>
      <c r="U195" s="15"/>
      <c r="V195" s="1486"/>
      <c r="W195" s="1487"/>
      <c r="X195" s="1488"/>
      <c r="Y195" s="1492"/>
      <c r="Z195" s="1493"/>
      <c r="AA195" s="1494"/>
      <c r="AB195" s="1583"/>
      <c r="AC195" s="1584"/>
      <c r="AD195" s="15"/>
      <c r="AE195" s="1576"/>
      <c r="AF195" s="1577"/>
      <c r="AG195" s="1577"/>
      <c r="AH195" s="1577"/>
      <c r="AI195" s="1474"/>
      <c r="AJ195" s="1474"/>
      <c r="AK195" s="1474"/>
      <c r="AL195" s="1474"/>
      <c r="AM195" s="1474"/>
      <c r="AN195" s="1474"/>
      <c r="AO195" s="1474"/>
      <c r="AP195" s="1474"/>
      <c r="AQ195" s="1475"/>
      <c r="AR195" s="16"/>
      <c r="AS195" s="16"/>
      <c r="AT195" s="16"/>
      <c r="AU195" s="16"/>
      <c r="AV195" s="16"/>
      <c r="AW195" s="16"/>
      <c r="AX195" s="16"/>
      <c r="AY195" s="16"/>
      <c r="AZ195" s="16"/>
      <c r="BA195" s="16"/>
      <c r="BB195" s="16"/>
      <c r="BC195" s="16"/>
      <c r="BD195" s="16"/>
      <c r="BE195" s="16"/>
      <c r="BF195" s="16"/>
      <c r="BG195" s="16"/>
      <c r="BH195" s="16"/>
      <c r="BI195" s="16"/>
      <c r="BJ195" s="16"/>
    </row>
    <row r="196" spans="1:62" ht="15" customHeight="1" thickBot="1">
      <c r="B196" s="48"/>
      <c r="C196" s="15"/>
      <c r="D196" s="15"/>
      <c r="E196" s="15"/>
      <c r="F196" s="15"/>
      <c r="G196" s="15"/>
      <c r="H196" s="15"/>
      <c r="I196" s="15"/>
      <c r="J196" s="15"/>
      <c r="K196" s="204"/>
      <c r="L196" s="15"/>
      <c r="M196" s="15"/>
      <c r="N196" s="15"/>
      <c r="O196" s="15"/>
      <c r="P196" s="15"/>
      <c r="Q196" s="15"/>
      <c r="R196" s="15"/>
      <c r="S196" s="15"/>
      <c r="T196" s="15"/>
      <c r="U196" s="15"/>
      <c r="V196" s="15"/>
      <c r="W196" s="15"/>
      <c r="X196" s="15"/>
      <c r="Y196" s="256"/>
      <c r="Z196" s="15"/>
      <c r="AA196" s="15"/>
      <c r="AB196" s="15"/>
      <c r="AC196" s="15"/>
      <c r="AD196" s="15"/>
      <c r="AE196" s="1576"/>
      <c r="AF196" s="1577"/>
      <c r="AG196" s="1577"/>
      <c r="AH196" s="1577"/>
      <c r="AI196" s="1474"/>
      <c r="AJ196" s="1474"/>
      <c r="AK196" s="1474"/>
      <c r="AL196" s="1474"/>
      <c r="AM196" s="1474"/>
      <c r="AN196" s="1474"/>
      <c r="AO196" s="1474"/>
      <c r="AP196" s="1474"/>
      <c r="AQ196" s="1475"/>
      <c r="AR196" s="16"/>
      <c r="AS196" s="16"/>
      <c r="AT196" s="16"/>
      <c r="AU196" s="16"/>
      <c r="AV196" s="16"/>
      <c r="AW196" s="16"/>
      <c r="AX196" s="16"/>
      <c r="AY196" s="16"/>
      <c r="AZ196" s="16"/>
      <c r="BA196" s="16"/>
      <c r="BB196" s="16"/>
      <c r="BC196" s="16"/>
      <c r="BD196" s="16"/>
      <c r="BE196" s="16"/>
      <c r="BF196" s="16"/>
      <c r="BG196" s="16"/>
      <c r="BH196" s="16"/>
      <c r="BI196" s="16"/>
      <c r="BJ196" s="16"/>
    </row>
    <row r="197" spans="1:62" ht="19.5" customHeight="1">
      <c r="B197" s="48"/>
      <c r="C197" s="15"/>
      <c r="D197" s="15"/>
      <c r="E197" s="15"/>
      <c r="F197" s="73"/>
      <c r="G197" s="15"/>
      <c r="H197" s="15"/>
      <c r="I197" s="15"/>
      <c r="J197" s="230"/>
      <c r="K197" s="204"/>
      <c r="L197" s="15"/>
      <c r="M197" s="15"/>
      <c r="N197" s="15"/>
      <c r="O197" s="15"/>
      <c r="P197" s="15"/>
      <c r="Q197" s="15"/>
      <c r="R197" s="15"/>
      <c r="S197" s="15"/>
      <c r="T197" s="15"/>
      <c r="U197" s="15"/>
      <c r="V197" s="1483" t="s">
        <v>73</v>
      </c>
      <c r="W197" s="1484"/>
      <c r="X197" s="1485"/>
      <c r="Y197" s="1489" t="str">
        <f>IF(ISERROR(AVERAGE(ez,epg,ek)),"n.b.",ROUND(AVERAGE(L29:R29,D36:AH40,U52:Y52)/10,2))</f>
        <v>n.b.</v>
      </c>
      <c r="Z197" s="1490"/>
      <c r="AA197" s="1491"/>
      <c r="AB197" s="1581" t="str">
        <f>+L168</f>
        <v>n.b.</v>
      </c>
      <c r="AC197" s="1582"/>
      <c r="AD197" s="15"/>
      <c r="AE197" s="1576"/>
      <c r="AF197" s="1577"/>
      <c r="AG197" s="1577"/>
      <c r="AH197" s="1577"/>
      <c r="AI197" s="1474"/>
      <c r="AJ197" s="1474"/>
      <c r="AK197" s="1474"/>
      <c r="AL197" s="1474"/>
      <c r="AM197" s="1474"/>
      <c r="AN197" s="1474"/>
      <c r="AO197" s="1474"/>
      <c r="AP197" s="1474"/>
      <c r="AQ197" s="1475"/>
      <c r="AR197" s="16"/>
      <c r="AS197" s="16"/>
      <c r="AT197" s="16"/>
      <c r="AU197" s="16"/>
      <c r="AV197" s="16"/>
      <c r="AW197" s="16"/>
      <c r="AX197" s="16"/>
      <c r="AY197" s="16"/>
      <c r="AZ197" s="16"/>
      <c r="BA197" s="16"/>
      <c r="BB197" s="16"/>
      <c r="BC197" s="16"/>
      <c r="BD197" s="16"/>
      <c r="BE197" s="16"/>
      <c r="BF197" s="16"/>
      <c r="BG197" s="16"/>
      <c r="BH197" s="16"/>
      <c r="BI197" s="16"/>
      <c r="BJ197" s="16"/>
    </row>
    <row r="198" spans="1:62" ht="15" customHeight="1" thickBot="1">
      <c r="B198" s="48"/>
      <c r="C198" s="33"/>
      <c r="D198" s="31"/>
      <c r="E198" s="31"/>
      <c r="F198" s="31"/>
      <c r="G198" s="31"/>
      <c r="H198" s="31"/>
      <c r="I198" s="31"/>
      <c r="J198" s="31"/>
      <c r="K198" s="31"/>
      <c r="L198" s="31"/>
      <c r="M198" s="31"/>
      <c r="N198" s="31"/>
      <c r="O198" s="36"/>
      <c r="P198" s="31"/>
      <c r="Q198" s="31"/>
      <c r="R198" s="31"/>
      <c r="S198" s="31"/>
      <c r="T198" s="31"/>
      <c r="U198" s="31"/>
      <c r="V198" s="1486"/>
      <c r="W198" s="1487"/>
      <c r="X198" s="1488"/>
      <c r="Y198" s="1492"/>
      <c r="Z198" s="1493"/>
      <c r="AA198" s="1494"/>
      <c r="AB198" s="1583"/>
      <c r="AC198" s="1584"/>
      <c r="AD198" s="31"/>
      <c r="AE198" s="1495"/>
      <c r="AF198" s="1475"/>
      <c r="AG198" s="1475"/>
      <c r="AH198" s="1475"/>
      <c r="AI198" s="1474"/>
      <c r="AJ198" s="1474"/>
      <c r="AK198" s="1474"/>
      <c r="AL198" s="1474"/>
      <c r="AM198" s="1474"/>
      <c r="AN198" s="1474"/>
      <c r="AO198" s="1474"/>
      <c r="AP198" s="1474"/>
      <c r="AQ198" s="1475"/>
      <c r="AR198" s="16"/>
      <c r="AS198" s="16"/>
      <c r="AT198" s="16"/>
      <c r="AU198" s="16"/>
      <c r="AV198" s="16"/>
      <c r="AW198" s="16"/>
      <c r="AX198" s="16"/>
      <c r="AY198" s="16"/>
      <c r="AZ198" s="16"/>
      <c r="BA198" s="16"/>
      <c r="BB198" s="16"/>
      <c r="BC198" s="16"/>
      <c r="BD198" s="16"/>
      <c r="BE198" s="16"/>
      <c r="BF198" s="16"/>
      <c r="BG198" s="16"/>
      <c r="BH198" s="16"/>
      <c r="BI198" s="16"/>
      <c r="BJ198" s="34"/>
    </row>
    <row r="199" spans="1:62" ht="7.5" customHeight="1">
      <c r="B199" s="48"/>
      <c r="C199" s="33"/>
      <c r="D199" s="31"/>
      <c r="E199" s="31"/>
      <c r="F199" s="31"/>
      <c r="G199" s="31"/>
      <c r="H199" s="31"/>
      <c r="I199" s="31"/>
      <c r="J199" s="31"/>
      <c r="K199" s="31"/>
      <c r="L199" s="31"/>
      <c r="M199" s="31"/>
      <c r="N199" s="31"/>
      <c r="O199" s="36"/>
      <c r="P199" s="31"/>
      <c r="Q199" s="31"/>
      <c r="R199" s="31"/>
      <c r="S199" s="31"/>
      <c r="T199" s="31"/>
      <c r="U199" s="31"/>
      <c r="V199" s="968"/>
      <c r="W199" s="968"/>
      <c r="X199" s="968"/>
      <c r="Y199" s="256"/>
      <c r="Z199" s="212"/>
      <c r="AA199" s="212"/>
      <c r="AB199" s="31"/>
      <c r="AC199" s="31"/>
      <c r="AD199" s="31"/>
      <c r="AE199" s="208"/>
      <c r="AF199" s="969"/>
      <c r="AG199" s="969"/>
      <c r="AH199" s="969"/>
      <c r="AI199" s="213"/>
      <c r="AJ199" s="213"/>
      <c r="AK199" s="213"/>
      <c r="AL199" s="213"/>
      <c r="AM199" s="213"/>
      <c r="AN199" s="213"/>
      <c r="AO199" s="213"/>
      <c r="AP199" s="213"/>
      <c r="AQ199" s="969"/>
      <c r="AR199" s="212"/>
      <c r="AS199" s="212"/>
      <c r="AT199" s="968"/>
      <c r="AX199" s="210"/>
      <c r="AY199" s="210"/>
      <c r="BF199" s="210"/>
      <c r="BG199" s="210"/>
      <c r="BH199" s="210"/>
      <c r="BI199" s="211"/>
      <c r="BJ199" s="34"/>
    </row>
    <row r="200" spans="1:62" ht="15" customHeight="1">
      <c r="B200" s="48"/>
      <c r="C200" s="644" t="s">
        <v>262</v>
      </c>
      <c r="D200" s="15"/>
      <c r="E200" s="15"/>
      <c r="F200" s="15"/>
      <c r="G200" s="15"/>
      <c r="H200" s="15"/>
      <c r="I200" s="31"/>
      <c r="J200" s="15"/>
      <c r="K200" s="15"/>
      <c r="L200" s="15"/>
      <c r="M200" s="15"/>
      <c r="N200" s="258"/>
      <c r="O200" s="330"/>
      <c r="P200" s="329"/>
      <c r="Q200" s="258"/>
      <c r="R200" s="258"/>
      <c r="S200" s="267"/>
      <c r="T200" s="267"/>
      <c r="U200" s="258"/>
      <c r="V200" s="258"/>
      <c r="W200" s="258"/>
      <c r="X200" s="258"/>
      <c r="Y200" s="258"/>
      <c r="Z200" s="258"/>
      <c r="AA200" s="15"/>
      <c r="AB200" s="15"/>
      <c r="AC200" s="15"/>
      <c r="AD200" s="15"/>
      <c r="AH200" s="177" t="s">
        <v>196</v>
      </c>
      <c r="AX200" s="210"/>
      <c r="AY200" s="210"/>
      <c r="AZ200" s="210"/>
      <c r="BA200" s="210"/>
      <c r="BB200" s="210"/>
      <c r="BC200" s="210"/>
      <c r="BD200" s="210"/>
      <c r="BE200" s="210"/>
      <c r="BF200" s="210"/>
      <c r="BG200" s="210"/>
      <c r="BH200" s="210"/>
      <c r="BI200" s="51"/>
      <c r="BJ200" s="16"/>
    </row>
    <row r="201" spans="1:62" ht="7.15" customHeight="1" thickBot="1">
      <c r="B201" s="101"/>
      <c r="C201" s="102"/>
      <c r="D201" s="103"/>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4"/>
      <c r="BJ201" s="16"/>
    </row>
    <row r="202" spans="1:62">
      <c r="K202" s="237"/>
      <c r="L202" s="192"/>
      <c r="M202" s="177"/>
    </row>
    <row r="203" spans="1:62">
      <c r="M203" s="177"/>
    </row>
    <row r="204" spans="1:62">
      <c r="M204" s="177"/>
    </row>
    <row r="207" spans="1:62">
      <c r="AA207" s="177"/>
    </row>
    <row r="208" spans="1:62">
      <c r="AA208" s="177"/>
    </row>
    <row r="209" spans="11:27">
      <c r="AA209" s="177"/>
    </row>
    <row r="210" spans="11:27">
      <c r="AA210" s="177"/>
    </row>
    <row r="211" spans="11:27">
      <c r="AA211" s="177"/>
    </row>
    <row r="212" spans="11:27">
      <c r="K212" s="237"/>
      <c r="L212" s="192"/>
      <c r="M212" s="177"/>
      <c r="Q212" s="177"/>
      <c r="R212" s="177"/>
      <c r="S212" s="177"/>
      <c r="T212" s="177"/>
      <c r="U212" s="177"/>
      <c r="V212" s="177"/>
      <c r="W212" s="177"/>
      <c r="X212" s="177"/>
      <c r="Y212" s="177"/>
      <c r="Z212" s="177"/>
      <c r="AA212" s="177"/>
    </row>
    <row r="213" spans="11:27">
      <c r="L213" s="192"/>
      <c r="M213" s="177"/>
      <c r="AA213" s="177"/>
    </row>
    <row r="214" spans="11:27">
      <c r="M214" s="177"/>
      <c r="AA214" s="177"/>
    </row>
    <row r="215" spans="11:27">
      <c r="AA215" s="177"/>
    </row>
    <row r="216" spans="11:27">
      <c r="AA216" s="177"/>
    </row>
    <row r="224" spans="11:27">
      <c r="K224" s="237"/>
      <c r="L224" s="192"/>
      <c r="M224" s="177"/>
      <c r="Q224" s="177"/>
      <c r="R224" s="177"/>
      <c r="S224" s="177"/>
      <c r="T224" s="177"/>
      <c r="U224" s="177"/>
      <c r="V224" s="177"/>
      <c r="W224" s="177"/>
      <c r="X224" s="177"/>
      <c r="Y224" s="177"/>
      <c r="Z224" s="177"/>
    </row>
    <row r="225" spans="11:26">
      <c r="L225" s="192"/>
      <c r="M225" s="177"/>
    </row>
    <row r="226" spans="11:26">
      <c r="M226" s="177"/>
    </row>
    <row r="227" spans="11:26">
      <c r="M227" s="177"/>
    </row>
    <row r="236" spans="11:26">
      <c r="K236" s="237"/>
      <c r="L236" s="192"/>
      <c r="M236" s="177"/>
      <c r="Q236" s="177"/>
      <c r="R236" s="177"/>
      <c r="S236" s="177"/>
      <c r="T236" s="177"/>
      <c r="U236" s="177"/>
      <c r="V236" s="177"/>
      <c r="W236" s="177"/>
      <c r="X236" s="177"/>
      <c r="Y236" s="177"/>
      <c r="Z236" s="177"/>
    </row>
    <row r="237" spans="11:26">
      <c r="L237" s="192"/>
      <c r="M237" s="177"/>
    </row>
    <row r="238" spans="11:26">
      <c r="M238" s="177"/>
    </row>
  </sheetData>
  <sheetProtection formatColumns="0" formatRows="0" selectLockedCells="1" selectUnlockedCells="1"/>
  <mergeCells count="105">
    <mergeCell ref="L16:M16"/>
    <mergeCell ref="W16:X16"/>
    <mergeCell ref="AQ22:AR22"/>
    <mergeCell ref="AS22:AT22"/>
    <mergeCell ref="O24:P24"/>
    <mergeCell ref="AB24:AC24"/>
    <mergeCell ref="B1:H2"/>
    <mergeCell ref="I1:BC2"/>
    <mergeCell ref="BF1:BI1"/>
    <mergeCell ref="AQ8:AR8"/>
    <mergeCell ref="AS8:AT8"/>
    <mergeCell ref="AQ14:AR14"/>
    <mergeCell ref="AS14:AT14"/>
    <mergeCell ref="AS36:AT36"/>
    <mergeCell ref="AS38:AT38"/>
    <mergeCell ref="AS40:AT40"/>
    <mergeCell ref="AQ29:AR29"/>
    <mergeCell ref="AS29:AT29"/>
    <mergeCell ref="J33:O33"/>
    <mergeCell ref="P33:R33"/>
    <mergeCell ref="T33:X33"/>
    <mergeCell ref="Z33:AC33"/>
    <mergeCell ref="AE33:AH33"/>
    <mergeCell ref="AQ33:AT33"/>
    <mergeCell ref="AS45:AT45"/>
    <mergeCell ref="G48:H48"/>
    <mergeCell ref="M48:N48"/>
    <mergeCell ref="Q48:R48"/>
    <mergeCell ref="W48:X48"/>
    <mergeCell ref="AB48:AC48"/>
    <mergeCell ref="AG48:AH48"/>
    <mergeCell ref="BD48:BE48"/>
    <mergeCell ref="AS52:AT52"/>
    <mergeCell ref="M57:P57"/>
    <mergeCell ref="D58:H58"/>
    <mergeCell ref="I58:L58"/>
    <mergeCell ref="M58:P58"/>
    <mergeCell ref="BB61:BD61"/>
    <mergeCell ref="BE61:BF61"/>
    <mergeCell ref="BB62:BD64"/>
    <mergeCell ref="BE62:BF64"/>
    <mergeCell ref="AL61:AX62"/>
    <mergeCell ref="AY61:AZ62"/>
    <mergeCell ref="AL64:AX65"/>
    <mergeCell ref="AY64:AZ65"/>
    <mergeCell ref="AN57:AT57"/>
    <mergeCell ref="W80:AV81"/>
    <mergeCell ref="AW80:BI81"/>
    <mergeCell ref="W82:AV82"/>
    <mergeCell ref="AW82:BI82"/>
    <mergeCell ref="W83:AV84"/>
    <mergeCell ref="AW83:BI84"/>
    <mergeCell ref="AI67:AQ67"/>
    <mergeCell ref="AW72:BI73"/>
    <mergeCell ref="AW74:BI75"/>
    <mergeCell ref="AW76:BI77"/>
    <mergeCell ref="W78:AV79"/>
    <mergeCell ref="AW78:BI79"/>
    <mergeCell ref="U91:AV92"/>
    <mergeCell ref="AW91:BI92"/>
    <mergeCell ref="U93:AV94"/>
    <mergeCell ref="AW93:BI94"/>
    <mergeCell ref="U96:AV96"/>
    <mergeCell ref="AW96:BI96"/>
    <mergeCell ref="W85:AV86"/>
    <mergeCell ref="AW85:BI86"/>
    <mergeCell ref="U87:AV88"/>
    <mergeCell ref="AW87:BI88"/>
    <mergeCell ref="U89:AV90"/>
    <mergeCell ref="AW89:BI90"/>
    <mergeCell ref="AW188:BC190"/>
    <mergeCell ref="D189:H189"/>
    <mergeCell ref="I189:L189"/>
    <mergeCell ref="M189:P189"/>
    <mergeCell ref="Q189:T189"/>
    <mergeCell ref="U189:X189"/>
    <mergeCell ref="D188:H188"/>
    <mergeCell ref="I188:L188"/>
    <mergeCell ref="M188:P188"/>
    <mergeCell ref="Q188:T188"/>
    <mergeCell ref="U188:X188"/>
    <mergeCell ref="AE188:AT190"/>
    <mergeCell ref="AI192:AQ193"/>
    <mergeCell ref="V194:X195"/>
    <mergeCell ref="Y194:AA195"/>
    <mergeCell ref="AB194:AC195"/>
    <mergeCell ref="AE194:AH194"/>
    <mergeCell ref="AI194:AQ194"/>
    <mergeCell ref="AE195:AH195"/>
    <mergeCell ref="AI195:AQ195"/>
    <mergeCell ref="J191:K191"/>
    <mergeCell ref="N191:O191"/>
    <mergeCell ref="R191:S191"/>
    <mergeCell ref="V191:W191"/>
    <mergeCell ref="Y191:Z191"/>
    <mergeCell ref="AE192:AH193"/>
    <mergeCell ref="AE196:AH196"/>
    <mergeCell ref="AI196:AQ196"/>
    <mergeCell ref="V197:X198"/>
    <mergeCell ref="Y197:AA198"/>
    <mergeCell ref="AB197:AC198"/>
    <mergeCell ref="AE197:AH197"/>
    <mergeCell ref="AI197:AQ197"/>
    <mergeCell ref="AE198:AH198"/>
    <mergeCell ref="AI198:AQ198"/>
  </mergeCells>
  <conditionalFormatting sqref="L164:L168 L158:L162 L149:L155">
    <cfRule type="cellIs" dxfId="26" priority="4" stopIfTrue="1" operator="equal">
      <formula>"A"</formula>
    </cfRule>
    <cfRule type="cellIs" dxfId="25" priority="5" stopIfTrue="1" operator="equal">
      <formula>"B"</formula>
    </cfRule>
    <cfRule type="cellIs" dxfId="24" priority="6" stopIfTrue="1" operator="equal">
      <formula>"C"</formula>
    </cfRule>
  </conditionalFormatting>
  <conditionalFormatting sqref="D59:D65">
    <cfRule type="cellIs" dxfId="23" priority="1" stopIfTrue="1" operator="equal">
      <formula>"A"</formula>
    </cfRule>
    <cfRule type="cellIs" dxfId="22" priority="2" stopIfTrue="1" operator="equal">
      <formula>"B"</formula>
    </cfRule>
    <cfRule type="cellIs" dxfId="21"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Header>&amp;L&amp;"Arial,Fett"&amp;12Produkt-/Prozess-Audit&amp;R&amp;G</oddHeader>
    <oddFooter>&amp;RSeite &amp;P von &amp;N</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roGru4">
    <tabColor indexed="17"/>
    <pageSetUpPr fitToPage="1"/>
  </sheetPr>
  <dimension ref="A1:BJ238"/>
  <sheetViews>
    <sheetView showGridLines="0" topLeftCell="B13" zoomScale="80" zoomScaleNormal="80" zoomScaleSheetLayoutView="100" workbookViewId="0">
      <selection activeCell="P42" sqref="P42"/>
    </sheetView>
  </sheetViews>
  <sheetFormatPr defaultColWidth="11.42578125" defaultRowHeight="14.25"/>
  <cols>
    <col min="1" max="1" width="10.140625" style="241" hidden="1" customWidth="1"/>
    <col min="2" max="2" width="10" style="32" customWidth="1"/>
    <col min="3" max="3" width="3.42578125" style="32" customWidth="1"/>
    <col min="4" max="41" width="5.7109375" style="32" customWidth="1"/>
    <col min="42" max="42" width="7.140625" style="32" customWidth="1"/>
    <col min="43" max="43" width="3" style="32" customWidth="1"/>
    <col min="44" max="44" width="4.5703125" style="32" customWidth="1"/>
    <col min="45" max="45" width="3.140625" style="32" customWidth="1"/>
    <col min="46" max="46" width="10.42578125" style="32" customWidth="1"/>
    <col min="47" max="47" width="5.5703125" style="32" customWidth="1"/>
    <col min="48" max="49" width="4.7109375" style="32" customWidth="1"/>
    <col min="50" max="57" width="5.42578125" style="32" customWidth="1"/>
    <col min="58" max="60" width="7.140625" style="32" customWidth="1"/>
    <col min="61" max="61" width="4.140625" style="32" customWidth="1"/>
    <col min="62" max="62" width="3" style="32" customWidth="1"/>
    <col min="63" max="16384" width="11.42578125" style="32"/>
  </cols>
  <sheetData>
    <row r="1" spans="1:62" ht="19.5" customHeight="1">
      <c r="B1" s="1503"/>
      <c r="C1" s="1504"/>
      <c r="D1" s="1504"/>
      <c r="E1" s="1504"/>
      <c r="F1" s="1504"/>
      <c r="G1" s="1504"/>
      <c r="H1" s="1505"/>
      <c r="I1" s="1509" t="str">
        <f>'Evaluation-Bewertung'!I1</f>
        <v>Process Audit VDA 6.3 evaluation matrix including total score for product groups</v>
      </c>
      <c r="J1" s="1603"/>
      <c r="K1" s="1603"/>
      <c r="L1" s="1603"/>
      <c r="M1" s="1603"/>
      <c r="N1" s="1603"/>
      <c r="O1" s="1603"/>
      <c r="P1" s="1603"/>
      <c r="Q1" s="1603"/>
      <c r="R1" s="1603"/>
      <c r="S1" s="1603"/>
      <c r="T1" s="1603"/>
      <c r="U1" s="1603"/>
      <c r="V1" s="1603"/>
      <c r="W1" s="1603"/>
      <c r="X1" s="1603"/>
      <c r="Y1" s="1603"/>
      <c r="Z1" s="1603"/>
      <c r="AA1" s="1603"/>
      <c r="AB1" s="1603"/>
      <c r="AC1" s="1603"/>
      <c r="AD1" s="1603"/>
      <c r="AE1" s="1603"/>
      <c r="AF1" s="1603"/>
      <c r="AG1" s="1603"/>
      <c r="AH1" s="1603"/>
      <c r="AI1" s="1603"/>
      <c r="AJ1" s="1603"/>
      <c r="AK1" s="1603"/>
      <c r="AL1" s="1603"/>
      <c r="AM1" s="1603"/>
      <c r="AN1" s="1603"/>
      <c r="AO1" s="1603"/>
      <c r="AP1" s="1603"/>
      <c r="AQ1" s="1603"/>
      <c r="AR1" s="1603"/>
      <c r="AS1" s="1603"/>
      <c r="AT1" s="1603"/>
      <c r="AU1" s="1603"/>
      <c r="AV1" s="1603"/>
      <c r="AW1" s="1603"/>
      <c r="AX1" s="1603"/>
      <c r="AY1" s="1603"/>
      <c r="AZ1" s="1603"/>
      <c r="BA1" s="1603"/>
      <c r="BB1" s="1603"/>
      <c r="BC1" s="1604"/>
      <c r="BD1" s="389" t="str">
        <f>'Evaluation-Bewertung'!BD1</f>
        <v>Order No.:</v>
      </c>
      <c r="BE1" s="164"/>
      <c r="BF1" s="1574" t="str">
        <f>IF('Input Form - EingabeMaske'!C9="","",'Input Form - EingabeMaske'!C9)</f>
        <v/>
      </c>
      <c r="BG1" s="1574"/>
      <c r="BH1" s="1574"/>
      <c r="BI1" s="1575"/>
      <c r="BJ1" s="28"/>
    </row>
    <row r="2" spans="1:62" ht="11.25" customHeight="1" thickBot="1">
      <c r="B2" s="1506"/>
      <c r="C2" s="1507"/>
      <c r="D2" s="1507"/>
      <c r="E2" s="1507"/>
      <c r="F2" s="1507"/>
      <c r="G2" s="1507"/>
      <c r="H2" s="1508"/>
      <c r="I2" s="1605"/>
      <c r="J2" s="1606"/>
      <c r="K2" s="1606"/>
      <c r="L2" s="1606"/>
      <c r="M2" s="1606"/>
      <c r="N2" s="1606"/>
      <c r="O2" s="1606"/>
      <c r="P2" s="1606"/>
      <c r="Q2" s="1606"/>
      <c r="R2" s="1606"/>
      <c r="S2" s="1606"/>
      <c r="T2" s="1606"/>
      <c r="U2" s="1606"/>
      <c r="V2" s="1606"/>
      <c r="W2" s="1606"/>
      <c r="X2" s="1606"/>
      <c r="Y2" s="1606"/>
      <c r="Z2" s="1606"/>
      <c r="AA2" s="1606"/>
      <c r="AB2" s="1606"/>
      <c r="AC2" s="1606"/>
      <c r="AD2" s="1606"/>
      <c r="AE2" s="1606"/>
      <c r="AF2" s="1606"/>
      <c r="AG2" s="1606"/>
      <c r="AH2" s="1606"/>
      <c r="AI2" s="1606"/>
      <c r="AJ2" s="1606"/>
      <c r="AK2" s="1606"/>
      <c r="AL2" s="1606"/>
      <c r="AM2" s="1606"/>
      <c r="AN2" s="1606"/>
      <c r="AO2" s="1606"/>
      <c r="AP2" s="1606"/>
      <c r="AQ2" s="1606"/>
      <c r="AR2" s="1606"/>
      <c r="AS2" s="1606"/>
      <c r="AT2" s="1606"/>
      <c r="AU2" s="1606"/>
      <c r="AV2" s="1606"/>
      <c r="AW2" s="1606"/>
      <c r="AX2" s="1606"/>
      <c r="AY2" s="1606"/>
      <c r="AZ2" s="1606"/>
      <c r="BA2" s="1606"/>
      <c r="BB2" s="1606"/>
      <c r="BC2" s="1607"/>
      <c r="BD2" s="168"/>
      <c r="BE2" s="169"/>
      <c r="BF2" s="169"/>
      <c r="BG2" s="169"/>
      <c r="BH2" s="169"/>
      <c r="BI2" s="170"/>
      <c r="BJ2" s="28"/>
    </row>
    <row r="3" spans="1:62" ht="21.75" customHeight="1">
      <c r="A3" s="245" t="s">
        <v>145</v>
      </c>
      <c r="B3" s="48"/>
      <c r="C3" s="172" t="s">
        <v>10</v>
      </c>
      <c r="D3" s="31"/>
      <c r="E3" s="225" t="str">
        <f>'Evaluation-Bewertung'!E3</f>
        <v>Development</v>
      </c>
      <c r="F3" s="31"/>
      <c r="G3" s="31"/>
      <c r="H3" s="31"/>
      <c r="I3" s="31"/>
      <c r="J3" s="31"/>
      <c r="K3" s="31"/>
      <c r="L3" s="31"/>
      <c r="M3" s="31"/>
      <c r="N3" s="31"/>
      <c r="O3" s="36"/>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49"/>
      <c r="BJ3" s="34"/>
    </row>
    <row r="4" spans="1:62" ht="8.25" customHeight="1">
      <c r="B4" s="48"/>
      <c r="C4" s="33"/>
      <c r="D4" s="31"/>
      <c r="E4" s="31"/>
      <c r="F4" s="173"/>
      <c r="G4" s="31"/>
      <c r="H4" s="31"/>
      <c r="I4" s="31"/>
      <c r="J4" s="31"/>
      <c r="K4" s="31"/>
      <c r="L4" s="31"/>
      <c r="M4" s="31"/>
      <c r="N4" s="31"/>
      <c r="O4" s="36"/>
      <c r="P4" s="31"/>
      <c r="Q4" s="31"/>
      <c r="R4" s="31"/>
      <c r="S4" s="31"/>
      <c r="T4" s="31"/>
      <c r="U4" s="31"/>
      <c r="V4" s="31"/>
      <c r="W4" s="31"/>
      <c r="X4" s="31"/>
      <c r="Y4" s="31"/>
      <c r="Z4" s="31"/>
      <c r="AA4" s="31"/>
      <c r="AB4" s="31"/>
      <c r="AC4" s="31"/>
      <c r="AD4" s="31"/>
      <c r="AE4" s="31"/>
      <c r="AF4" s="31"/>
      <c r="AG4" s="31"/>
      <c r="AI4" s="31"/>
      <c r="AJ4" s="31"/>
      <c r="AK4" s="31"/>
      <c r="AL4" s="31"/>
      <c r="AM4" s="31"/>
      <c r="AN4" s="31"/>
      <c r="AO4" s="31"/>
      <c r="AP4" s="31"/>
      <c r="AQ4" s="31"/>
      <c r="AR4" s="31"/>
      <c r="AS4" s="31"/>
      <c r="AT4" s="31"/>
      <c r="AU4" s="31"/>
      <c r="AV4" s="31"/>
      <c r="AW4" s="31"/>
      <c r="AX4" s="31"/>
      <c r="AY4" s="31"/>
      <c r="AZ4" s="31"/>
      <c r="BA4" s="31"/>
      <c r="BB4" s="31"/>
      <c r="BC4" s="31"/>
      <c r="BD4" s="31"/>
      <c r="BE4" s="16"/>
      <c r="BF4" s="16"/>
      <c r="BG4" s="16"/>
      <c r="BH4" s="16"/>
      <c r="BI4" s="49"/>
      <c r="BJ4" s="34"/>
    </row>
    <row r="5" spans="1:62" ht="16.149999999999999" customHeight="1">
      <c r="A5" s="970" t="b">
        <f>'Evaluation-Bewertung'!A5</f>
        <v>0</v>
      </c>
      <c r="B5" s="48"/>
      <c r="C5" s="224" t="s">
        <v>96</v>
      </c>
      <c r="D5" s="70" t="str">
        <f>'Questions - Fragen'!C12</f>
        <v>Project management</v>
      </c>
      <c r="E5" s="38"/>
      <c r="F5" s="33"/>
      <c r="G5" s="31"/>
      <c r="H5" s="31"/>
      <c r="I5" s="31"/>
      <c r="J5" s="31"/>
      <c r="K5" s="31"/>
      <c r="L5" s="31"/>
      <c r="M5" s="31"/>
      <c r="N5" s="31"/>
      <c r="O5" s="36"/>
      <c r="P5" s="31"/>
      <c r="Q5" s="31"/>
      <c r="R5" s="31"/>
      <c r="S5" s="31"/>
      <c r="T5" s="31"/>
      <c r="U5" s="31"/>
      <c r="V5" s="31"/>
      <c r="W5" s="31"/>
      <c r="X5" s="31"/>
      <c r="Y5" s="31"/>
      <c r="Z5" s="31"/>
      <c r="AA5" s="31"/>
      <c r="AB5" s="31"/>
      <c r="AC5" s="31"/>
      <c r="AD5" s="31"/>
      <c r="AE5" s="31"/>
      <c r="AF5" s="31"/>
      <c r="AG5" s="31"/>
      <c r="AM5" s="31"/>
      <c r="AN5" s="31"/>
      <c r="AO5" s="31"/>
      <c r="AP5" s="31"/>
      <c r="AQ5" s="166" t="str">
        <f>'Evaluation-Bewertung'!AQ5</f>
        <v>Level of compliance [%]</v>
      </c>
      <c r="AR5" s="31"/>
      <c r="AS5" s="31"/>
      <c r="AT5" s="31"/>
      <c r="AU5" s="31"/>
      <c r="AV5" s="31"/>
      <c r="AW5" s="31"/>
      <c r="AX5" s="31"/>
      <c r="AY5" s="31"/>
      <c r="AZ5" s="31"/>
      <c r="BA5" s="31"/>
      <c r="BB5" s="31"/>
      <c r="BC5" s="31"/>
      <c r="BD5" s="31"/>
      <c r="BE5" s="16"/>
      <c r="BF5" s="16"/>
      <c r="BG5" s="16"/>
      <c r="BH5" s="16"/>
      <c r="BI5" s="49"/>
      <c r="BJ5" s="34"/>
    </row>
    <row r="6" spans="1:62" ht="6.75" customHeight="1">
      <c r="B6" s="48"/>
      <c r="C6" s="35"/>
      <c r="D6" s="31"/>
      <c r="E6" s="174"/>
      <c r="F6" s="33"/>
      <c r="G6" s="31"/>
      <c r="H6" s="31"/>
      <c r="I6" s="31"/>
      <c r="J6" s="31"/>
      <c r="K6" s="31"/>
      <c r="L6" s="31"/>
      <c r="M6" s="31"/>
      <c r="N6" s="31"/>
      <c r="O6" s="36"/>
      <c r="P6" s="31"/>
      <c r="Q6" s="31"/>
      <c r="R6" s="31"/>
      <c r="S6" s="31"/>
      <c r="T6" s="31"/>
      <c r="U6" s="31"/>
      <c r="V6" s="31"/>
      <c r="W6" s="31"/>
      <c r="X6" s="31"/>
      <c r="Y6" s="31"/>
      <c r="Z6" s="31"/>
      <c r="AA6" s="31"/>
      <c r="AB6" s="31"/>
      <c r="AC6" s="31"/>
      <c r="AD6" s="31"/>
      <c r="AE6" s="31"/>
      <c r="AF6" s="31"/>
      <c r="AG6" s="31"/>
      <c r="AH6" s="15"/>
      <c r="AI6" s="31"/>
      <c r="AJ6" s="31"/>
      <c r="AK6" s="31"/>
      <c r="AL6" s="31"/>
      <c r="AM6" s="31"/>
      <c r="AN6" s="31"/>
      <c r="AO6" s="31"/>
      <c r="AP6" s="31"/>
      <c r="AQ6" s="31"/>
      <c r="AR6" s="31"/>
      <c r="AS6" s="31"/>
      <c r="AT6" s="31"/>
      <c r="AU6" s="31"/>
      <c r="AV6" s="31"/>
      <c r="AW6" s="31"/>
      <c r="AX6" s="31"/>
      <c r="AY6" s="31"/>
      <c r="AZ6" s="31"/>
      <c r="BA6" s="31"/>
      <c r="BB6" s="31"/>
      <c r="BC6" s="31"/>
      <c r="BD6" s="31"/>
      <c r="BE6" s="16"/>
      <c r="BF6" s="16"/>
      <c r="BG6" s="16"/>
      <c r="BH6" s="16"/>
      <c r="BI6" s="49"/>
      <c r="BJ6" s="34"/>
    </row>
    <row r="7" spans="1:62" ht="15" customHeight="1" thickBot="1">
      <c r="A7" s="241" t="s">
        <v>225</v>
      </c>
      <c r="B7" s="48"/>
      <c r="C7" s="35"/>
      <c r="D7" s="390" t="s">
        <v>30</v>
      </c>
      <c r="E7" s="390" t="s">
        <v>132</v>
      </c>
      <c r="F7" s="390" t="s">
        <v>133</v>
      </c>
      <c r="G7" s="390" t="s">
        <v>74</v>
      </c>
      <c r="H7" s="628" t="s">
        <v>201</v>
      </c>
      <c r="I7" s="628" t="s">
        <v>206</v>
      </c>
      <c r="J7" s="390" t="s">
        <v>136</v>
      </c>
      <c r="K7" s="728" t="str">
        <f>'Evaluation-Bewertung'!K7</f>
        <v>n.e.</v>
      </c>
      <c r="L7" s="643" t="str">
        <f>'Evaluation-Bewertung'!L7</f>
        <v>Act.</v>
      </c>
      <c r="M7" s="643" t="str">
        <f>'Evaluation-Bewertung'!M7</f>
        <v>Target</v>
      </c>
      <c r="N7" s="643" t="str">
        <f>'Evaluation-Bewertung'!N7</f>
        <v>Max.</v>
      </c>
      <c r="O7" s="643" t="str">
        <f>'Evaluation-Bewertung'!O7</f>
        <v>Act.</v>
      </c>
      <c r="Q7" s="175"/>
      <c r="R7" s="175"/>
      <c r="S7" s="176"/>
      <c r="T7" s="31"/>
      <c r="U7" s="31"/>
      <c r="V7" s="31"/>
      <c r="W7" s="31"/>
      <c r="X7" s="31"/>
      <c r="Y7" s="31"/>
      <c r="Z7" s="31"/>
      <c r="AA7" s="31"/>
      <c r="AB7" s="31"/>
      <c r="AC7" s="31"/>
      <c r="AD7" s="31"/>
      <c r="AE7" s="31"/>
      <c r="AF7" s="31"/>
      <c r="AG7" s="31"/>
      <c r="AH7" s="15"/>
      <c r="AI7" s="31"/>
      <c r="AJ7" s="31"/>
      <c r="AK7" s="31"/>
      <c r="AL7" s="31"/>
      <c r="AM7" s="31"/>
      <c r="AN7" s="31"/>
      <c r="AO7" s="31"/>
      <c r="AP7" s="31"/>
      <c r="AQ7" s="31"/>
      <c r="AR7" s="31"/>
      <c r="AS7" s="31"/>
      <c r="AT7" s="31"/>
      <c r="AU7" s="31"/>
      <c r="AV7" s="31"/>
      <c r="AW7" s="31"/>
      <c r="AX7" s="31"/>
      <c r="AY7" s="31"/>
      <c r="AZ7" s="31"/>
      <c r="BA7" s="31"/>
      <c r="BB7" s="31"/>
      <c r="BC7" s="31"/>
      <c r="BD7" s="31"/>
      <c r="BE7" s="16"/>
      <c r="BF7" s="16"/>
      <c r="BG7" s="16"/>
      <c r="BH7" s="16"/>
      <c r="BI7" s="49"/>
      <c r="BJ7" s="34"/>
    </row>
    <row r="8" spans="1:62" ht="15" customHeight="1" thickBot="1">
      <c r="A8" s="243" t="str">
        <f>IF(COUNT(D8:J8)=0,K7,IF(MIN(D8:J8)=0,"B","A"))</f>
        <v>n.e.</v>
      </c>
      <c r="B8" s="48"/>
      <c r="C8" s="35"/>
      <c r="D8" s="232" t="str">
        <f>IF(A5=FALSE,$K$7,IF(ISBLANK('Questions - Fragen'!D13),"--",'Questions - Fragen'!D13))</f>
        <v>n.e.</v>
      </c>
      <c r="E8" s="232" t="str">
        <f>IF(A5=FALSE,$K$7,IF(ISBLANK('Questions - Fragen'!D14),"--",'Questions - Fragen'!D14))</f>
        <v>n.e.</v>
      </c>
      <c r="F8" s="232" t="str">
        <f>IF(A5=FALSE,$K$7,IF(ISBLANK('Questions - Fragen'!D15),"--",'Questions - Fragen'!D15))</f>
        <v>n.e.</v>
      </c>
      <c r="G8" s="232" t="str">
        <f>IF(A5=FALSE,$K$7,IF(ISBLANK('Questions - Fragen'!D16),"--",'Questions - Fragen'!D16))</f>
        <v>n.e.</v>
      </c>
      <c r="H8" s="633" t="str">
        <f>IF(A5=FALSE,$K$7,IF(ISBLANK('Questions - Fragen'!D17),"--",'Questions - Fragen'!D17))</f>
        <v>n.e.</v>
      </c>
      <c r="I8" s="633" t="str">
        <f>IF(A5=FALSE,$K$7,IF(ISBLANK('Questions - Fragen'!D18),"--",'Questions - Fragen'!D18))</f>
        <v>n.e.</v>
      </c>
      <c r="J8" s="232" t="str">
        <f>IF(A5=FALSE,$K$7,IF(ISBLANK('Questions - Fragen'!D19),"--",'Questions - Fragen'!D19))</f>
        <v>n.e.</v>
      </c>
      <c r="K8" s="753">
        <f>COUNTIF(D8:J8,"&gt;-")</f>
        <v>7</v>
      </c>
      <c r="L8" s="753">
        <f>COUNT(D8:J8)</f>
        <v>0</v>
      </c>
      <c r="M8" s="753">
        <v>5</v>
      </c>
      <c r="N8" s="753" t="str">
        <f>IF(AND($A5,L8&gt;=M8),L8*10,"--")</f>
        <v>--</v>
      </c>
      <c r="O8" s="753" t="str">
        <f>IF(AND($A5,L8&gt;=M8),SUM(D8:J8),"--")</f>
        <v>--</v>
      </c>
      <c r="Q8" s="176"/>
      <c r="R8" s="176"/>
      <c r="S8" s="176"/>
      <c r="T8" s="31"/>
      <c r="U8" s="31"/>
      <c r="V8" s="31"/>
      <c r="W8" s="31"/>
      <c r="X8" s="31"/>
      <c r="Y8" s="31"/>
      <c r="Z8" s="31"/>
      <c r="AA8" s="31"/>
      <c r="AB8" s="31"/>
      <c r="AC8" s="31"/>
      <c r="AD8" s="31"/>
      <c r="AE8" s="31"/>
      <c r="AF8" s="31"/>
      <c r="AG8" s="31"/>
      <c r="AH8" s="15"/>
      <c r="AI8" s="31"/>
      <c r="AJ8" s="31"/>
      <c r="AK8" s="31"/>
      <c r="AL8" s="31"/>
      <c r="AM8" s="31"/>
      <c r="AN8" s="31"/>
      <c r="AO8" s="31"/>
      <c r="AP8" s="31"/>
      <c r="AQ8" s="1518" t="s">
        <v>299</v>
      </c>
      <c r="AR8" s="1519"/>
      <c r="AS8" s="1515" t="str">
        <f>IF(AND(A5,L8&gt;=M8),ROUND(O8/N8,2),K7)</f>
        <v>n.e.</v>
      </c>
      <c r="AT8" s="1516"/>
      <c r="AU8" s="16"/>
      <c r="AV8" s="31"/>
      <c r="AW8" s="31"/>
      <c r="AX8" s="31"/>
      <c r="AY8" s="31"/>
      <c r="AZ8" s="31"/>
      <c r="BA8" s="31"/>
      <c r="BB8" s="31"/>
      <c r="BC8" s="31"/>
      <c r="BD8" s="31"/>
      <c r="BE8" s="16"/>
      <c r="BF8" s="16"/>
      <c r="BG8" s="16"/>
      <c r="BH8" s="16"/>
      <c r="BI8" s="49"/>
      <c r="BJ8" s="34"/>
    </row>
    <row r="9" spans="1:62" ht="6.75" customHeight="1">
      <c r="B9" s="48"/>
      <c r="C9" s="33"/>
      <c r="D9" s="31"/>
      <c r="E9" s="31"/>
      <c r="F9" s="31"/>
      <c r="G9" s="31"/>
      <c r="H9" s="176"/>
      <c r="I9" s="176"/>
      <c r="J9" s="176"/>
      <c r="K9" s="176"/>
      <c r="L9" s="176"/>
      <c r="M9" s="176"/>
      <c r="N9" s="176"/>
      <c r="O9" s="178"/>
      <c r="P9" s="176"/>
      <c r="Q9" s="176"/>
      <c r="R9" s="176"/>
      <c r="S9" s="176"/>
      <c r="T9" s="31"/>
      <c r="U9" s="31"/>
      <c r="V9" s="31"/>
      <c r="W9" s="31"/>
      <c r="X9" s="31"/>
      <c r="Y9" s="31"/>
      <c r="Z9" s="31"/>
      <c r="AA9" s="31"/>
      <c r="AB9" s="31"/>
      <c r="AC9" s="31"/>
      <c r="AD9" s="31"/>
      <c r="AE9" s="31"/>
      <c r="AF9" s="31"/>
      <c r="AG9" s="31"/>
      <c r="AH9" s="38"/>
      <c r="AI9" s="31"/>
      <c r="AJ9" s="31"/>
      <c r="AK9" s="31"/>
      <c r="AL9" s="31"/>
      <c r="AM9" s="31"/>
      <c r="AN9" s="31"/>
      <c r="AO9" s="31"/>
      <c r="AP9" s="31"/>
      <c r="AQ9" s="31"/>
      <c r="AR9" s="31"/>
      <c r="AS9" s="31"/>
      <c r="AT9" s="31"/>
      <c r="AU9" s="31"/>
      <c r="AV9" s="31"/>
      <c r="AW9" s="31"/>
      <c r="AX9" s="31"/>
      <c r="AY9" s="31"/>
      <c r="AZ9" s="31"/>
      <c r="BA9" s="31"/>
      <c r="BB9" s="31"/>
      <c r="BC9" s="31"/>
      <c r="BD9" s="31"/>
      <c r="BE9" s="16"/>
      <c r="BF9" s="16"/>
      <c r="BG9" s="16"/>
      <c r="BH9" s="16"/>
      <c r="BI9" s="49"/>
      <c r="BJ9" s="34"/>
    </row>
    <row r="10" spans="1:62" ht="18" customHeight="1">
      <c r="A10" s="971" t="b">
        <f>'Evaluation-Bewertung'!A10</f>
        <v>0</v>
      </c>
      <c r="B10" s="48"/>
      <c r="C10" s="655" t="s">
        <v>97</v>
      </c>
      <c r="D10" s="655" t="str">
        <f>'Questions - Fragen'!C20</f>
        <v>Planning the product and process development</v>
      </c>
      <c r="E10" s="656"/>
      <c r="F10" s="656"/>
      <c r="G10" s="656"/>
      <c r="H10" s="656"/>
      <c r="I10" s="656"/>
      <c r="J10" s="656"/>
      <c r="K10" s="656"/>
      <c r="L10" s="656"/>
      <c r="M10" s="656"/>
      <c r="N10" s="656"/>
      <c r="O10" s="657"/>
      <c r="P10" s="656"/>
      <c r="Q10" s="656"/>
      <c r="R10" s="656"/>
      <c r="S10" s="656"/>
      <c r="T10" s="656"/>
      <c r="U10" s="656"/>
      <c r="V10" s="656"/>
      <c r="W10" s="656"/>
      <c r="X10" s="656"/>
      <c r="Y10" s="656"/>
      <c r="Z10" s="656"/>
      <c r="AA10" s="656"/>
      <c r="AB10" s="656"/>
      <c r="AC10" s="656"/>
      <c r="AD10" s="656"/>
      <c r="AE10" s="656"/>
      <c r="AF10" s="656"/>
      <c r="AG10" s="656"/>
      <c r="AH10" s="656"/>
      <c r="AI10" s="656"/>
      <c r="AJ10" s="656"/>
      <c r="AK10" s="656"/>
      <c r="AL10" s="656"/>
      <c r="AM10" s="656"/>
      <c r="AN10" s="656"/>
      <c r="AO10" s="656"/>
      <c r="AP10" s="656"/>
      <c r="AQ10" s="656"/>
      <c r="AR10" s="656"/>
      <c r="AS10" s="656"/>
      <c r="AT10" s="656"/>
      <c r="AU10" s="656"/>
      <c r="AV10" s="656"/>
      <c r="AW10" s="656"/>
      <c r="AX10" s="656"/>
      <c r="AY10" s="656"/>
      <c r="AZ10" s="656"/>
      <c r="BA10" s="656"/>
      <c r="BB10" s="656"/>
      <c r="BC10" s="656"/>
      <c r="BD10" s="656"/>
      <c r="BE10" s="661"/>
      <c r="BF10" s="661"/>
      <c r="BG10" s="661"/>
      <c r="BH10" s="661"/>
      <c r="BI10" s="658"/>
      <c r="BJ10" s="34"/>
    </row>
    <row r="11" spans="1:62" ht="6" customHeight="1">
      <c r="A11" s="659"/>
      <c r="B11" s="48"/>
      <c r="C11" s="36"/>
      <c r="D11" s="36"/>
      <c r="E11" s="31"/>
      <c r="F11" s="31"/>
      <c r="G11" s="31"/>
      <c r="H11" s="31"/>
      <c r="I11" s="31"/>
      <c r="J11" s="31"/>
      <c r="K11" s="31"/>
      <c r="L11" s="31"/>
      <c r="M11" s="31"/>
      <c r="N11" s="31"/>
      <c r="O11" s="36"/>
      <c r="P11" s="31"/>
      <c r="Q11" s="31"/>
      <c r="R11" s="31"/>
      <c r="S11" s="31"/>
      <c r="T11" s="31"/>
      <c r="U11" s="31"/>
      <c r="V11" s="31"/>
      <c r="W11" s="31"/>
      <c r="X11" s="31"/>
      <c r="Y11" s="31"/>
      <c r="Z11" s="31"/>
      <c r="AA11" s="31"/>
      <c r="AB11" s="31"/>
      <c r="AC11" s="38"/>
      <c r="AD11" s="38"/>
      <c r="AE11" s="38"/>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15"/>
      <c r="BF11" s="15"/>
      <c r="BG11" s="15"/>
      <c r="BH11" s="15"/>
      <c r="BI11" s="49"/>
      <c r="BJ11" s="34"/>
    </row>
    <row r="12" spans="1:62" ht="14.1" customHeight="1">
      <c r="B12" s="48"/>
      <c r="C12" s="36"/>
      <c r="D12" s="180" t="str">
        <f>'Questions - Fragen'!C23</f>
        <v>Product</v>
      </c>
      <c r="E12" s="38"/>
      <c r="F12" s="31"/>
      <c r="G12" s="31"/>
      <c r="H12" s="31"/>
      <c r="I12" s="31"/>
      <c r="K12" s="31"/>
      <c r="L12" s="31"/>
      <c r="M12" s="31"/>
      <c r="N12" s="31"/>
      <c r="O12" s="180" t="str">
        <f>'Questions - Fragen'!C24</f>
        <v>Process</v>
      </c>
      <c r="P12" s="31"/>
      <c r="R12" s="180"/>
      <c r="S12" s="180"/>
      <c r="T12" s="180"/>
      <c r="U12" s="180"/>
      <c r="V12" s="180"/>
      <c r="W12" s="180"/>
      <c r="X12" s="180"/>
      <c r="AM12" s="31"/>
      <c r="AN12" s="31"/>
      <c r="AO12" s="31"/>
      <c r="AP12" s="31"/>
      <c r="AQ12" s="31"/>
      <c r="AR12" s="31"/>
      <c r="AS12" s="31"/>
      <c r="AT12" s="31"/>
      <c r="AU12" s="31"/>
      <c r="AV12" s="31"/>
      <c r="AW12" s="31"/>
      <c r="AX12" s="31"/>
      <c r="AY12" s="31"/>
      <c r="AZ12" s="31"/>
      <c r="BA12" s="31"/>
      <c r="BB12" s="31"/>
      <c r="BC12" s="31"/>
      <c r="BD12" s="31"/>
      <c r="BE12" s="16"/>
      <c r="BF12" s="16"/>
      <c r="BG12" s="16"/>
      <c r="BH12" s="16"/>
      <c r="BI12" s="49"/>
      <c r="BJ12" s="34"/>
    </row>
    <row r="13" spans="1:62" ht="15" thickBot="1">
      <c r="A13" s="241" t="s">
        <v>226</v>
      </c>
      <c r="B13" s="48"/>
      <c r="C13" s="33"/>
      <c r="D13" s="390" t="s">
        <v>78</v>
      </c>
      <c r="E13" s="628" t="s">
        <v>203</v>
      </c>
      <c r="F13" s="390" t="s">
        <v>80</v>
      </c>
      <c r="G13" s="390" t="s">
        <v>81</v>
      </c>
      <c r="H13" s="390" t="s">
        <v>82</v>
      </c>
      <c r="I13" s="643" t="str">
        <f>'Evaluation-Bewertung'!I13</f>
        <v>n.e.</v>
      </c>
      <c r="J13" s="643" t="str">
        <f>'Evaluation-Bewertung'!J13</f>
        <v>Act.</v>
      </c>
      <c r="K13" s="643" t="str">
        <f>'Evaluation-Bewertung'!K13</f>
        <v>Target</v>
      </c>
      <c r="L13" s="643" t="str">
        <f>'Evaluation-Bewertung'!L13</f>
        <v>Max.</v>
      </c>
      <c r="M13" s="643" t="str">
        <f>'Evaluation-Bewertung'!M13</f>
        <v>Act.</v>
      </c>
      <c r="N13" s="181"/>
      <c r="O13" s="390" t="s">
        <v>78</v>
      </c>
      <c r="P13" s="628" t="s">
        <v>203</v>
      </c>
      <c r="Q13" s="390" t="s">
        <v>80</v>
      </c>
      <c r="R13" s="390" t="s">
        <v>81</v>
      </c>
      <c r="S13" s="390" t="s">
        <v>82</v>
      </c>
      <c r="T13" s="643" t="str">
        <f>'Evaluation-Bewertung'!T13</f>
        <v>n.e.</v>
      </c>
      <c r="U13" s="643" t="str">
        <f>'Evaluation-Bewertung'!U13</f>
        <v>Act.</v>
      </c>
      <c r="V13" s="643" t="str">
        <f>'Evaluation-Bewertung'!V13</f>
        <v>Target</v>
      </c>
      <c r="W13" s="643" t="str">
        <f>'Evaluation-Bewertung'!W13</f>
        <v>Max.</v>
      </c>
      <c r="X13" s="643" t="str">
        <f>'Evaluation-Bewertung'!X13</f>
        <v>Act.</v>
      </c>
      <c r="Z13" s="390" t="s">
        <v>78</v>
      </c>
      <c r="AA13" s="628" t="s">
        <v>203</v>
      </c>
      <c r="AB13" s="390" t="s">
        <v>80</v>
      </c>
      <c r="AC13" s="390" t="s">
        <v>81</v>
      </c>
      <c r="AD13" s="390" t="s">
        <v>82</v>
      </c>
      <c r="AE13" s="643" t="str">
        <f>'Evaluation-Bewertung'!AE13</f>
        <v>n.e.</v>
      </c>
      <c r="AF13" s="643" t="str">
        <f>'Evaluation-Bewertung'!AF13</f>
        <v>Act.</v>
      </c>
      <c r="AG13" s="643" t="str">
        <f>'Evaluation-Bewertung'!AG13</f>
        <v>Target</v>
      </c>
      <c r="AH13" s="643" t="str">
        <f>'Evaluation-Bewertung'!AH13</f>
        <v>Max.</v>
      </c>
      <c r="AI13" s="643" t="str">
        <f>'Evaluation-Bewertung'!AI13</f>
        <v>Act.</v>
      </c>
      <c r="AJ13" s="31"/>
      <c r="AM13" s="31"/>
      <c r="AN13" s="31"/>
      <c r="AO13" s="31"/>
      <c r="AP13" s="31"/>
      <c r="AQ13" s="31"/>
      <c r="AR13" s="31"/>
      <c r="AS13" s="31"/>
      <c r="AT13" s="31"/>
      <c r="AU13" s="31"/>
      <c r="AV13" s="31"/>
      <c r="AW13" s="31"/>
      <c r="AX13" s="31"/>
      <c r="AY13" s="31"/>
      <c r="AZ13" s="31"/>
      <c r="BA13" s="31"/>
      <c r="BB13" s="31"/>
      <c r="BC13" s="31"/>
      <c r="BD13" s="31"/>
      <c r="BE13" s="16"/>
      <c r="BF13" s="16"/>
      <c r="BG13" s="16"/>
      <c r="BH13" s="16"/>
      <c r="BI13" s="49"/>
      <c r="BJ13" s="34"/>
    </row>
    <row r="14" spans="1:62" s="37" customFormat="1" ht="15.75" thickBot="1">
      <c r="A14" s="243" t="str">
        <f>IF(COUNT(D14:H14)+COUNT(O14:S14)=0,I13,IF(MIN(D14:H14,O14:S14)=0,"B","A"))</f>
        <v>n.e.</v>
      </c>
      <c r="B14" s="50"/>
      <c r="C14" s="180"/>
      <c r="D14" s="232" t="str">
        <f>IF($A$10=FALSE,$I$13,IF(ISBLANK('Questions - Fragen'!$D23),"--",'Questions - Fragen'!$D23))</f>
        <v>n.e.</v>
      </c>
      <c r="E14" s="633" t="str">
        <f>IF($A$10=FALSE,$I$13,IF(ISBLANK('Questions - Fragen'!$D26),"--",'Questions - Fragen'!$D26))</f>
        <v>n.e.</v>
      </c>
      <c r="F14" s="232" t="str">
        <f>IF($A$10=FALSE,$I$13,IF(ISBLANK('Questions - Fragen'!$D29),"--",'Questions - Fragen'!$D29))</f>
        <v>n.e.</v>
      </c>
      <c r="G14" s="232" t="str">
        <f>IF($A$10=FALSE,$I$13,IF(ISBLANK('Questions - Fragen'!$D32),"--",'Questions - Fragen'!$D32))</f>
        <v>n.e.</v>
      </c>
      <c r="H14" s="232" t="str">
        <f>IF($A$10=FALSE,$I$13,IF(ISBLANK('Questions - Fragen'!$D35),"--",'Questions - Fragen'!$D35))</f>
        <v>n.e.</v>
      </c>
      <c r="I14" s="753">
        <f>COUNTIF(D14:H14,"&gt;-")</f>
        <v>5</v>
      </c>
      <c r="J14" s="753">
        <f>COUNT(D14:H14)</f>
        <v>0</v>
      </c>
      <c r="K14" s="753">
        <v>4</v>
      </c>
      <c r="L14" s="753" t="str">
        <f>IF(AND($A10,J14&gt;=K14),J14*10,"--")</f>
        <v>--</v>
      </c>
      <c r="M14" s="753" t="str">
        <f>IF(AND($A10,J14&gt;=K14),SUM(D14:H14),"--")</f>
        <v>--</v>
      </c>
      <c r="O14" s="232" t="str">
        <f>IF($A$10=FALSE,$T$13,IF(ISBLANK('Questions - Fragen'!$D24),"--",'Questions - Fragen'!$D24))</f>
        <v>n.e.</v>
      </c>
      <c r="P14" s="633" t="str">
        <f>IF($A$10=FALSE,$T$13,IF(ISBLANK('Questions - Fragen'!$D27),"--",'Questions - Fragen'!$D27))</f>
        <v>n.e.</v>
      </c>
      <c r="Q14" s="232" t="str">
        <f>IF($A$10=FALSE,$T$13,IF(ISBLANK('Questions - Fragen'!$D30),"--",'Questions - Fragen'!$D30))</f>
        <v>n.e.</v>
      </c>
      <c r="R14" s="232" t="str">
        <f>IF($A$10=FALSE,$T$13,IF(ISBLANK('Questions - Fragen'!$D33),"--",'Questions - Fragen'!$D33))</f>
        <v>n.e.</v>
      </c>
      <c r="S14" s="232" t="str">
        <f>IF($A$10=FALSE,$T$13,IF(ISBLANK('Questions - Fragen'!$D36),"--",'Questions - Fragen'!$D36))</f>
        <v>n.e.</v>
      </c>
      <c r="T14" s="753">
        <f>COUNTIF(O14:S14,"&gt;-")</f>
        <v>5</v>
      </c>
      <c r="U14" s="753">
        <f>COUNT(O14:S14)</f>
        <v>0</v>
      </c>
      <c r="V14" s="753">
        <v>4</v>
      </c>
      <c r="W14" s="753" t="str">
        <f>IF(AND($A10,U14&gt;=V14),U14*10,"--")</f>
        <v>--</v>
      </c>
      <c r="X14" s="753" t="str">
        <f>IF(AND($A10,U14&gt;=V14),SUM(O14:S14),"--")</f>
        <v>--</v>
      </c>
      <c r="Z14" s="957" t="str">
        <f>IF(AND(D14=$I$13,O14=$T$13),$AE$13,IF(AND(D14="--",O14="--"),"--",IF(COUNT(D14,O14)&gt;0,ROUND(AVERAGE(D14,O14),2),"/")))</f>
        <v>n.e.</v>
      </c>
      <c r="AA14" s="958" t="str">
        <f t="shared" ref="AA14:AD14" si="0">IF(AND(E14=$I$13,P14=$T$13),$AE$13,IF(AND(E14="--",P14="--"),"--",IF(COUNT(E14,P14)&gt;0,ROUND(AVERAGE(E14,P14),2),"/")))</f>
        <v>n.e.</v>
      </c>
      <c r="AB14" s="957" t="str">
        <f t="shared" si="0"/>
        <v>n.e.</v>
      </c>
      <c r="AC14" s="957" t="str">
        <f t="shared" si="0"/>
        <v>n.e.</v>
      </c>
      <c r="AD14" s="957" t="str">
        <f t="shared" si="0"/>
        <v>n.e.</v>
      </c>
      <c r="AE14" s="753">
        <f>COUNTIF(Z14:AD14,"&gt;-")</f>
        <v>5</v>
      </c>
      <c r="AF14" s="753">
        <f>COUNT(Z14:AD14)</f>
        <v>0</v>
      </c>
      <c r="AG14" s="753">
        <v>4</v>
      </c>
      <c r="AH14" s="753" t="str">
        <f>IF(AND($A10,AF14&gt;=AG14),AF14*10,"--")</f>
        <v>--</v>
      </c>
      <c r="AI14" s="753" t="str">
        <f>IF(AND($A10,AF14&gt;=AG14),SUM(Z14:AD14),"--")</f>
        <v>--</v>
      </c>
      <c r="AJ14" s="31"/>
      <c r="AM14" s="15"/>
      <c r="AN14" s="15"/>
      <c r="AO14" s="15"/>
      <c r="AP14" s="15"/>
      <c r="AQ14" s="1518" t="s">
        <v>300</v>
      </c>
      <c r="AR14" s="1519"/>
      <c r="AS14" s="1471" t="str">
        <f>IF(AND(L16=I13,W16=T13),I13,ROUND(AI14/AH14,2))</f>
        <v>n.e.</v>
      </c>
      <c r="AT14" s="1472"/>
      <c r="AU14" s="16"/>
      <c r="AV14" s="184"/>
      <c r="AW14" s="184"/>
      <c r="AX14" s="184"/>
      <c r="AY14" s="184"/>
      <c r="AZ14" s="184"/>
      <c r="BA14" s="184"/>
      <c r="BB14" s="184"/>
      <c r="BC14" s="184"/>
      <c r="BD14" s="184"/>
      <c r="BE14" s="16"/>
      <c r="BF14" s="16"/>
      <c r="BG14" s="16"/>
      <c r="BH14" s="16"/>
      <c r="BI14" s="51"/>
      <c r="BJ14" s="16"/>
    </row>
    <row r="15" spans="1:62" ht="15" thickBot="1">
      <c r="B15" s="48"/>
      <c r="C15" s="33"/>
      <c r="D15" s="38"/>
      <c r="E15" s="38"/>
      <c r="F15" s="38"/>
      <c r="G15" s="38"/>
      <c r="H15" s="38"/>
      <c r="N15" s="180"/>
      <c r="O15" s="31"/>
      <c r="P15" s="31"/>
      <c r="T15" s="31"/>
      <c r="V15" s="31"/>
      <c r="W15" s="176"/>
      <c r="X15" s="179"/>
      <c r="Y15" s="179"/>
      <c r="Z15" s="179"/>
      <c r="AA15" s="179"/>
      <c r="AB15" s="179"/>
      <c r="AC15" s="179"/>
      <c r="AD15" s="15"/>
      <c r="AE15" s="15"/>
      <c r="AF15" s="15"/>
      <c r="AJ15" s="15"/>
      <c r="AK15" s="15"/>
      <c r="AL15" s="15"/>
      <c r="AM15" s="15"/>
      <c r="AN15" s="15"/>
      <c r="AO15" s="15"/>
      <c r="AP15" s="15"/>
      <c r="AQ15" s="15"/>
      <c r="AR15" s="31"/>
      <c r="AS15" s="31"/>
      <c r="AT15" s="31"/>
      <c r="AU15" s="15"/>
      <c r="AV15" s="15"/>
      <c r="AW15" s="15"/>
      <c r="AX15" s="15"/>
      <c r="AY15" s="15"/>
      <c r="AZ15" s="15"/>
      <c r="BA15" s="15"/>
      <c r="BB15" s="15"/>
      <c r="BC15" s="15"/>
      <c r="BD15" s="15"/>
      <c r="BE15" s="16"/>
      <c r="BF15" s="16"/>
      <c r="BG15" s="16"/>
      <c r="BH15" s="16"/>
      <c r="BI15" s="51"/>
      <c r="BJ15" s="16"/>
    </row>
    <row r="16" spans="1:62" ht="15.75" thickBot="1">
      <c r="B16" s="48"/>
      <c r="C16" s="33"/>
      <c r="D16" s="38"/>
      <c r="E16" s="38"/>
      <c r="F16" s="38"/>
      <c r="G16" s="38"/>
      <c r="H16" s="38"/>
      <c r="K16" s="183" t="s">
        <v>66</v>
      </c>
      <c r="L16" s="1471" t="str">
        <f>IF(AND(A10,J14&gt;=K14),ROUND(M14/L14,2),I13)</f>
        <v>n.e.</v>
      </c>
      <c r="M16" s="1472"/>
      <c r="N16" s="29"/>
      <c r="O16" s="38"/>
      <c r="P16" s="38"/>
      <c r="T16" s="182"/>
      <c r="V16" s="183" t="s">
        <v>59</v>
      </c>
      <c r="W16" s="1471" t="str">
        <f>IF(AND(A10,U14&gt;=V14),ROUND(X14/W14,2),T13)</f>
        <v>n.e.</v>
      </c>
      <c r="X16" s="1472"/>
      <c r="Y16" s="179"/>
      <c r="Z16" s="179"/>
      <c r="AA16" s="179"/>
      <c r="AB16" s="179"/>
      <c r="AC16" s="179"/>
      <c r="AD16" s="15"/>
      <c r="AE16" s="15"/>
      <c r="AF16" s="15"/>
      <c r="AJ16" s="15"/>
      <c r="AK16" s="15"/>
      <c r="AL16" s="15"/>
      <c r="AM16" s="15"/>
      <c r="AN16" s="15"/>
      <c r="AO16" s="15"/>
      <c r="AP16" s="15"/>
      <c r="AQ16" s="15"/>
      <c r="AR16" s="38"/>
      <c r="AS16" s="182"/>
      <c r="AT16" s="182"/>
      <c r="AU16" s="15"/>
      <c r="AV16" s="15"/>
      <c r="AW16" s="15"/>
      <c r="AX16" s="15"/>
      <c r="AY16" s="15"/>
      <c r="AZ16" s="15"/>
      <c r="BA16" s="15"/>
      <c r="BB16" s="15"/>
      <c r="BC16" s="15"/>
      <c r="BD16" s="15"/>
      <c r="BE16" s="16"/>
      <c r="BF16" s="16"/>
      <c r="BG16" s="16"/>
      <c r="BH16" s="16"/>
      <c r="BI16" s="51"/>
      <c r="BJ16" s="16"/>
    </row>
    <row r="17" spans="1:62" ht="15">
      <c r="B17" s="48"/>
      <c r="C17" s="33"/>
      <c r="D17" s="31"/>
      <c r="E17" s="31"/>
      <c r="F17" s="31"/>
      <c r="G17" s="31"/>
      <c r="H17" s="31"/>
      <c r="I17" s="31"/>
      <c r="J17" s="31"/>
      <c r="K17" s="31"/>
      <c r="L17" s="31"/>
      <c r="M17" s="31"/>
      <c r="N17" s="31"/>
      <c r="O17" s="36"/>
      <c r="P17" s="31"/>
      <c r="Q17" s="31"/>
      <c r="V17" s="31"/>
      <c r="W17" s="31"/>
      <c r="X17" s="15"/>
      <c r="Y17" s="15"/>
      <c r="Z17" s="15"/>
      <c r="AA17" s="15"/>
      <c r="AB17" s="15"/>
      <c r="AC17" s="15"/>
      <c r="AD17" s="15"/>
      <c r="AE17" s="15"/>
      <c r="AF17" s="15"/>
      <c r="AJ17" s="15"/>
      <c r="AK17" s="15"/>
      <c r="AL17" s="15"/>
      <c r="AM17" s="15"/>
      <c r="AN17" s="15"/>
      <c r="AO17" s="15"/>
      <c r="AP17" s="15"/>
      <c r="AQ17" s="15"/>
      <c r="AR17" s="15"/>
      <c r="AS17" s="15"/>
      <c r="AT17" s="15"/>
      <c r="AU17" s="15"/>
      <c r="AV17" s="15"/>
      <c r="AW17" s="15"/>
      <c r="AX17" s="15"/>
      <c r="AY17" s="15"/>
      <c r="AZ17" s="15"/>
      <c r="BA17" s="15"/>
      <c r="BB17" s="15"/>
      <c r="BC17" s="15"/>
      <c r="BD17" s="15"/>
      <c r="BE17" s="16"/>
      <c r="BF17" s="16"/>
      <c r="BG17" s="16"/>
      <c r="BH17" s="16"/>
      <c r="BI17" s="51"/>
      <c r="BJ17" s="16"/>
    </row>
    <row r="18" spans="1:62" ht="15.75">
      <c r="A18" s="971" t="b">
        <f>'Evaluation-Bewertung'!A18</f>
        <v>0</v>
      </c>
      <c r="B18" s="48"/>
      <c r="C18" s="655" t="s">
        <v>98</v>
      </c>
      <c r="D18" s="655" t="str">
        <f>'Questions - Fragen'!C37</f>
        <v>Implementation of the product and process development</v>
      </c>
      <c r="E18" s="656"/>
      <c r="F18" s="656"/>
      <c r="G18" s="656"/>
      <c r="H18" s="656"/>
      <c r="I18" s="656"/>
      <c r="J18" s="656"/>
      <c r="K18" s="656"/>
      <c r="L18" s="656"/>
      <c r="M18" s="656"/>
      <c r="N18" s="656"/>
      <c r="O18" s="657"/>
      <c r="P18" s="656"/>
      <c r="Q18" s="656"/>
      <c r="R18" s="660"/>
      <c r="S18" s="660"/>
      <c r="T18" s="660"/>
      <c r="U18" s="660"/>
      <c r="V18" s="656"/>
      <c r="W18" s="656"/>
      <c r="X18" s="661"/>
      <c r="Y18" s="661"/>
      <c r="Z18" s="661"/>
      <c r="AA18" s="661"/>
      <c r="AB18" s="661"/>
      <c r="AC18" s="661"/>
      <c r="AD18" s="661"/>
      <c r="AE18" s="661"/>
      <c r="AF18" s="661"/>
      <c r="AG18" s="660"/>
      <c r="AH18" s="660"/>
      <c r="AI18" s="660"/>
      <c r="AJ18" s="661"/>
      <c r="AK18" s="661"/>
      <c r="AL18" s="661"/>
      <c r="AM18" s="661"/>
      <c r="AN18" s="661"/>
      <c r="AO18" s="661"/>
      <c r="AP18" s="661"/>
      <c r="AQ18" s="661"/>
      <c r="AR18" s="661"/>
      <c r="AS18" s="661"/>
      <c r="AT18" s="661"/>
      <c r="AU18" s="661"/>
      <c r="AV18" s="661"/>
      <c r="AW18" s="661"/>
      <c r="AX18" s="661"/>
      <c r="AY18" s="661"/>
      <c r="AZ18" s="661"/>
      <c r="BA18" s="661"/>
      <c r="BB18" s="661"/>
      <c r="BC18" s="661"/>
      <c r="BD18" s="661"/>
      <c r="BE18" s="661"/>
      <c r="BF18" s="661"/>
      <c r="BG18" s="661"/>
      <c r="BH18" s="661"/>
      <c r="BI18" s="662"/>
      <c r="BJ18" s="16"/>
    </row>
    <row r="19" spans="1:62" ht="6.75" customHeight="1">
      <c r="B19" s="48"/>
      <c r="C19" s="36"/>
      <c r="D19" s="36"/>
      <c r="E19" s="31"/>
      <c r="F19" s="31"/>
      <c r="G19" s="31"/>
      <c r="H19" s="31"/>
      <c r="I19" s="31"/>
      <c r="J19" s="31"/>
      <c r="K19" s="31"/>
      <c r="L19" s="31"/>
      <c r="M19" s="31"/>
      <c r="N19" s="31"/>
      <c r="O19" s="36"/>
      <c r="P19" s="31"/>
      <c r="Q19" s="31"/>
      <c r="V19" s="31"/>
      <c r="W19" s="31"/>
      <c r="X19" s="15"/>
      <c r="Y19" s="15"/>
      <c r="Z19" s="15"/>
      <c r="AA19" s="15"/>
      <c r="AB19" s="15"/>
      <c r="AC19" s="15"/>
      <c r="AD19" s="15"/>
      <c r="AE19" s="15"/>
      <c r="AF19" s="15"/>
      <c r="AJ19" s="15"/>
      <c r="AK19" s="15"/>
      <c r="AL19" s="15"/>
      <c r="AM19" s="15"/>
      <c r="AN19" s="15"/>
      <c r="AO19" s="15"/>
      <c r="AP19" s="15"/>
      <c r="AQ19" s="15"/>
      <c r="AR19" s="15"/>
      <c r="AS19" s="15"/>
      <c r="AT19" s="15"/>
      <c r="AU19" s="15"/>
      <c r="AV19" s="15"/>
      <c r="AW19" s="15"/>
      <c r="AX19" s="15"/>
      <c r="AY19" s="15"/>
      <c r="AZ19" s="15"/>
      <c r="BA19" s="15"/>
      <c r="BB19" s="15"/>
      <c r="BC19" s="15"/>
      <c r="BD19" s="15"/>
      <c r="BE19" s="16"/>
      <c r="BF19" s="16"/>
      <c r="BG19" s="16"/>
      <c r="BH19" s="16"/>
      <c r="BI19" s="51"/>
      <c r="BJ19" s="16"/>
    </row>
    <row r="20" spans="1:62" ht="14.1" customHeight="1">
      <c r="B20" s="48"/>
      <c r="C20" s="36"/>
      <c r="D20" s="180" t="str">
        <f>'Evaluation-Bewertung'!D20</f>
        <v>Product</v>
      </c>
      <c r="E20" s="31"/>
      <c r="F20" s="31"/>
      <c r="G20" s="31"/>
      <c r="H20" s="31"/>
      <c r="I20" s="31"/>
      <c r="J20" s="31"/>
      <c r="L20" s="31"/>
      <c r="M20" s="31"/>
      <c r="N20" s="31"/>
      <c r="O20" s="38"/>
      <c r="P20" s="188"/>
      <c r="Q20" s="180" t="str">
        <f>'Evaluation-Bewertung'!Q20</f>
        <v>Process</v>
      </c>
      <c r="R20" s="31"/>
      <c r="T20" s="15"/>
      <c r="U20" s="15"/>
      <c r="V20" s="15"/>
      <c r="W20" s="15"/>
      <c r="X20" s="15"/>
      <c r="Y20" s="15"/>
      <c r="Z20" s="15"/>
      <c r="AA20" s="15"/>
      <c r="AB20" s="15"/>
      <c r="AK20" s="38"/>
      <c r="AL20" s="15"/>
      <c r="AM20" s="15"/>
      <c r="AN20" s="15"/>
      <c r="AO20" s="15"/>
      <c r="AP20" s="15"/>
      <c r="AQ20" s="15"/>
      <c r="AR20" s="15"/>
      <c r="AS20" s="15"/>
      <c r="AT20" s="15"/>
      <c r="AU20" s="15"/>
      <c r="AV20" s="15"/>
      <c r="AW20" s="15"/>
      <c r="AX20" s="15"/>
      <c r="AY20" s="15"/>
      <c r="AZ20" s="15"/>
      <c r="BA20" s="15"/>
      <c r="BB20" s="15"/>
      <c r="BC20" s="15"/>
      <c r="BD20" s="15"/>
      <c r="BE20" s="16"/>
      <c r="BF20" s="16"/>
      <c r="BG20" s="16"/>
      <c r="BH20" s="16"/>
      <c r="BI20" s="51"/>
      <c r="BJ20" s="16"/>
    </row>
    <row r="21" spans="1:62" ht="15" thickBot="1">
      <c r="A21" s="241" t="s">
        <v>227</v>
      </c>
      <c r="B21" s="48"/>
      <c r="C21" s="33"/>
      <c r="D21" s="628" t="s">
        <v>207</v>
      </c>
      <c r="E21" s="390" t="s">
        <v>137</v>
      </c>
      <c r="F21" s="390" t="s">
        <v>138</v>
      </c>
      <c r="G21" s="628" t="s">
        <v>208</v>
      </c>
      <c r="H21" s="390" t="s">
        <v>140</v>
      </c>
      <c r="I21" s="390" t="s">
        <v>141</v>
      </c>
      <c r="J21" s="390" t="s">
        <v>142</v>
      </c>
      <c r="K21" s="628" t="s">
        <v>434</v>
      </c>
      <c r="L21" s="643" t="str">
        <f>'Evaluation-Bewertung'!L21</f>
        <v>n.e.</v>
      </c>
      <c r="M21" s="643" t="str">
        <f>'Evaluation-Bewertung'!M21</f>
        <v>Act.</v>
      </c>
      <c r="N21" s="643" t="str">
        <f>'Evaluation-Bewertung'!N21</f>
        <v>Target</v>
      </c>
      <c r="O21" s="751" t="str">
        <f>'Evaluation-Bewertung'!O21</f>
        <v>Max.</v>
      </c>
      <c r="P21" s="759" t="str">
        <f>'Evaluation-Bewertung'!P21</f>
        <v>Act.</v>
      </c>
      <c r="Q21" s="628" t="s">
        <v>207</v>
      </c>
      <c r="R21" s="390" t="s">
        <v>137</v>
      </c>
      <c r="S21" s="390" t="s">
        <v>138</v>
      </c>
      <c r="T21" s="628" t="s">
        <v>208</v>
      </c>
      <c r="U21" s="390" t="s">
        <v>140</v>
      </c>
      <c r="V21" s="390" t="s">
        <v>141</v>
      </c>
      <c r="W21" s="390" t="s">
        <v>142</v>
      </c>
      <c r="X21" s="628" t="s">
        <v>434</v>
      </c>
      <c r="Y21" s="643" t="str">
        <f>'Evaluation-Bewertung'!Y21</f>
        <v>n.e.</v>
      </c>
      <c r="Z21" s="643" t="str">
        <f>'Evaluation-Bewertung'!Z21</f>
        <v>Act.</v>
      </c>
      <c r="AA21" s="643" t="str">
        <f>'Evaluation-Bewertung'!AA21</f>
        <v>Target</v>
      </c>
      <c r="AB21" s="751" t="str">
        <f>'Evaluation-Bewertung'!AB21</f>
        <v>Max.</v>
      </c>
      <c r="AC21" s="759" t="str">
        <f>'Evaluation-Bewertung'!AC21</f>
        <v>Act.</v>
      </c>
      <c r="AD21" s="628" t="s">
        <v>207</v>
      </c>
      <c r="AE21" s="390" t="s">
        <v>137</v>
      </c>
      <c r="AF21" s="390" t="s">
        <v>138</v>
      </c>
      <c r="AG21" s="628" t="s">
        <v>208</v>
      </c>
      <c r="AH21" s="390" t="s">
        <v>140</v>
      </c>
      <c r="AI21" s="390" t="s">
        <v>141</v>
      </c>
      <c r="AJ21" s="390" t="s">
        <v>142</v>
      </c>
      <c r="AK21" s="628" t="s">
        <v>434</v>
      </c>
      <c r="AL21" s="643" t="str">
        <f>'Evaluation-Bewertung'!AL21</f>
        <v>n.e.</v>
      </c>
      <c r="AM21" s="643" t="str">
        <f>'Evaluation-Bewertung'!AM21</f>
        <v>Act.</v>
      </c>
      <c r="AN21" s="643" t="str">
        <f>'Evaluation-Bewertung'!AN21</f>
        <v>Target</v>
      </c>
      <c r="AO21" s="643" t="str">
        <f>'Evaluation-Bewertung'!AO21</f>
        <v>Max.</v>
      </c>
      <c r="AP21" s="643" t="str">
        <f>'Evaluation-Bewertung'!AP21</f>
        <v>Act.</v>
      </c>
      <c r="AQ21" s="15"/>
      <c r="AR21" s="15"/>
      <c r="AS21" s="15"/>
      <c r="AT21" s="15"/>
      <c r="AU21" s="15"/>
      <c r="AV21" s="15"/>
      <c r="AW21" s="15"/>
      <c r="AX21" s="15"/>
      <c r="AY21" s="15"/>
      <c r="AZ21" s="15"/>
      <c r="BA21" s="15"/>
      <c r="BB21" s="15"/>
      <c r="BC21" s="15"/>
      <c r="BD21" s="15"/>
      <c r="BE21" s="16"/>
      <c r="BF21" s="16"/>
      <c r="BG21" s="16"/>
      <c r="BH21" s="16"/>
      <c r="BI21" s="51"/>
      <c r="BJ21" s="16"/>
    </row>
    <row r="22" spans="1:62" s="37" customFormat="1" ht="15" customHeight="1" thickBot="1">
      <c r="A22" s="243" t="str">
        <f>IF(COUNT(D22:K22)+COUNT(Q22:X22)=0,L21,IF(MIN(D22:K22,Q22:X22)=0,"B","A"))</f>
        <v>n.e.</v>
      </c>
      <c r="B22" s="50"/>
      <c r="C22" s="180"/>
      <c r="D22" s="633" t="str">
        <f>IF($A$18=FALSE,$L$21,IF(ISBLANK('Questions - Fragen'!$D40),"--",'Questions - Fragen'!$D40))</f>
        <v>n.e.</v>
      </c>
      <c r="E22" s="232" t="str">
        <f>IF($A$18=FALSE,$L$21,IF(ISBLANK('Questions - Fragen'!$D43),"--",'Questions - Fragen'!$D43))</f>
        <v>n.e.</v>
      </c>
      <c r="F22" s="232" t="str">
        <f>IF($A$18=FALSE,$L$21,IF(ISBLANK('Questions - Fragen'!$D46),"--",'Questions - Fragen'!$D46))</f>
        <v>n.e.</v>
      </c>
      <c r="G22" s="633" t="str">
        <f>IF($A$18=FALSE,$L$21,IF(ISBLANK('Questions - Fragen'!$D49),"--",'Questions - Fragen'!$D49))</f>
        <v>n.e.</v>
      </c>
      <c r="H22" s="232" t="str">
        <f>IF($A$18=FALSE,$L$21,IF(ISBLANK('Questions - Fragen'!$D52),"--",'Questions - Fragen'!$D52))</f>
        <v>n.e.</v>
      </c>
      <c r="I22" s="959" t="str">
        <f>L21</f>
        <v>n.e.</v>
      </c>
      <c r="J22" s="959" t="str">
        <f>L21</f>
        <v>n.e.</v>
      </c>
      <c r="K22" s="232" t="str">
        <f>IF($A$18=FALSE,$L$21,IF(ISBLANK('Questions - Fragen'!$D59),"--",'Questions - Fragen'!$D59))</f>
        <v>n.e.</v>
      </c>
      <c r="L22" s="753">
        <f>COUNTIF(D22:K22,"&gt;-")</f>
        <v>8</v>
      </c>
      <c r="M22" s="753">
        <f>COUNT(D22:K22)</f>
        <v>0</v>
      </c>
      <c r="N22" s="753">
        <v>4</v>
      </c>
      <c r="O22" s="754" t="str">
        <f>IF(AND($A18,M22&gt;=N22),M22*10,"--")</f>
        <v>--</v>
      </c>
      <c r="P22" s="760" t="str">
        <f>IF(AND($A18,M22&gt;=N22),SUM(D22:K22),"--")</f>
        <v>--</v>
      </c>
      <c r="Q22" s="1025" t="str">
        <f>IF($A$18=FALSE,$Y$21,IF(ISBLANK('Questions - Fragen'!$D41),"--",'Questions - Fragen'!$D41))</f>
        <v>n.e.</v>
      </c>
      <c r="R22" s="232" t="str">
        <f>IF($A$18=FALSE,$Y$21,IF(ISBLANK('Questions - Fragen'!$D44),"--",'Questions - Fragen'!$D44))</f>
        <v>n.e.</v>
      </c>
      <c r="S22" s="232" t="str">
        <f>IF($A$18=FALSE,$Y$21,IF(ISBLANK('Questions - Fragen'!$D47),"--",'Questions - Fragen'!$D47))</f>
        <v>n.e.</v>
      </c>
      <c r="T22" s="633" t="str">
        <f>IF($A$18=FALSE,$Y$21,IF(ISBLANK('Questions - Fragen'!$D50),"--",'Questions - Fragen'!$D50))</f>
        <v>n.e.</v>
      </c>
      <c r="U22" s="232" t="str">
        <f>IF($A$18=FALSE,$Y$21,IF(ISBLANK('Questions - Fragen'!$D53),"--",'Questions - Fragen'!$D53))</f>
        <v>n.e.</v>
      </c>
      <c r="V22" s="232" t="str">
        <f>IF($A$18=FALSE,$Y$21,IF(ISBLANK('Questions - Fragen'!$D55),"--",'Questions - Fragen'!$D55))</f>
        <v>n.e.</v>
      </c>
      <c r="W22" s="232" t="str">
        <f>IF($A$18=FALSE,$Y$21,IF(ISBLANK('Questions - Fragen'!$D57),"--",'Questions - Fragen'!$D57))</f>
        <v>n.e.</v>
      </c>
      <c r="X22" s="633" t="str">
        <f>IF($A$18=FALSE,$Y$21,IF(ISBLANK('Questions - Fragen'!$D60),"--",'Questions - Fragen'!$D60))</f>
        <v>n.e.</v>
      </c>
      <c r="Y22" s="753">
        <f>COUNTIF(Q22:X22,"&gt;-")</f>
        <v>8</v>
      </c>
      <c r="Z22" s="753">
        <f>COUNT(Q22:X22)</f>
        <v>0</v>
      </c>
      <c r="AA22" s="753">
        <v>6</v>
      </c>
      <c r="AB22" s="754" t="str">
        <f>IF(AND($A18,Z22&gt;=AA22),Z22*10,"--")</f>
        <v>--</v>
      </c>
      <c r="AC22" s="760" t="str">
        <f>IF(AND($A18,Z22&gt;=AA22),SUM(Q22:X22),"--")</f>
        <v>--</v>
      </c>
      <c r="AD22" s="1027" t="str">
        <f>IF(AND(D22=$L$21,Q22=$Y$21),$AL$21,IF(AND(D22="--",Q22="--"),"--",IF(COUNT(D22,Q22)&gt;0,ROUND(AVERAGE(D22,Q22),2),"/")))</f>
        <v>n.e.</v>
      </c>
      <c r="AE22" s="957" t="str">
        <f t="shared" ref="AE22:AK22" si="1">IF(AND(E22=$L$21,R22=$Y$21),$AL$21,IF(AND(E22="--",R22="--"),"--",IF(COUNT(E22,R22)&gt;0,ROUND(AVERAGE(E22,R22),2),"/")))</f>
        <v>n.e.</v>
      </c>
      <c r="AF22" s="957" t="str">
        <f t="shared" si="1"/>
        <v>n.e.</v>
      </c>
      <c r="AG22" s="958" t="str">
        <f t="shared" si="1"/>
        <v>n.e.</v>
      </c>
      <c r="AH22" s="957" t="str">
        <f t="shared" si="1"/>
        <v>n.e.</v>
      </c>
      <c r="AI22" s="957" t="str">
        <f t="shared" si="1"/>
        <v>n.e.</v>
      </c>
      <c r="AJ22" s="957" t="str">
        <f t="shared" si="1"/>
        <v>n.e.</v>
      </c>
      <c r="AK22" s="958" t="str">
        <f t="shared" si="1"/>
        <v>n.e.</v>
      </c>
      <c r="AL22" s="753">
        <f>COUNTIF(AD22:AK22,"&gt;-")</f>
        <v>8</v>
      </c>
      <c r="AM22" s="753">
        <f>COUNT(AD22:AK22)</f>
        <v>0</v>
      </c>
      <c r="AN22" s="753">
        <v>6</v>
      </c>
      <c r="AO22" s="753" t="str">
        <f>IF(AND($A18,AM22&gt;=AN22),AM22*10,"--")</f>
        <v>--</v>
      </c>
      <c r="AP22" s="753" t="str">
        <f>IF(AND($A18,AM22&gt;=AN22),SUM(AD22:AK22),"--")</f>
        <v>--</v>
      </c>
      <c r="AQ22" s="1518" t="s">
        <v>301</v>
      </c>
      <c r="AR22" s="1519"/>
      <c r="AS22" s="1471" t="str">
        <f>IF(AND(O24=L21,AB24=Y21),L21,ROUND(AP22/AO22,2))</f>
        <v>n.e.</v>
      </c>
      <c r="AT22" s="1472"/>
      <c r="AU22" s="16"/>
      <c r="AV22" s="184"/>
      <c r="AW22" s="184"/>
      <c r="AX22" s="184"/>
      <c r="AY22" s="184"/>
      <c r="AZ22" s="184"/>
      <c r="BA22" s="184"/>
      <c r="BB22" s="184"/>
      <c r="BC22" s="184"/>
      <c r="BD22" s="184"/>
      <c r="BE22" s="16"/>
      <c r="BF22" s="16"/>
      <c r="BG22" s="16"/>
      <c r="BH22" s="16"/>
      <c r="BI22" s="51"/>
      <c r="BJ22" s="16"/>
    </row>
    <row r="23" spans="1:62" s="667" customFormat="1" ht="15" customHeight="1" thickBot="1">
      <c r="A23" s="663"/>
      <c r="B23" s="664"/>
      <c r="C23" s="665"/>
      <c r="D23" s="960"/>
      <c r="E23" s="960"/>
      <c r="F23" s="960"/>
      <c r="G23" s="960"/>
      <c r="H23" s="960"/>
      <c r="I23" s="960"/>
      <c r="J23" s="960"/>
      <c r="K23" s="960"/>
      <c r="L23" s="676"/>
      <c r="M23" s="676"/>
      <c r="N23" s="676"/>
      <c r="O23" s="676"/>
      <c r="P23" s="1026"/>
      <c r="Q23" s="668"/>
      <c r="R23" s="669"/>
      <c r="S23" s="669"/>
      <c r="T23" s="670"/>
      <c r="U23" s="670"/>
      <c r="V23" s="960"/>
      <c r="W23" s="960"/>
      <c r="X23" s="960"/>
      <c r="Y23" s="960"/>
      <c r="Z23" s="960"/>
      <c r="AA23" s="960"/>
      <c r="AB23" s="960"/>
      <c r="AC23" s="1028"/>
      <c r="AD23" s="666"/>
      <c r="AE23" s="666"/>
      <c r="AF23" s="666"/>
      <c r="AG23" s="666"/>
      <c r="AK23" s="668"/>
      <c r="AL23" s="669"/>
      <c r="AM23" s="669"/>
      <c r="AN23" s="670"/>
      <c r="AO23" s="670"/>
      <c r="AP23" s="670"/>
      <c r="AQ23" s="671"/>
      <c r="AR23" s="671"/>
      <c r="AS23" s="669"/>
      <c r="AT23" s="669"/>
      <c r="AU23" s="672"/>
      <c r="AV23" s="673"/>
      <c r="AW23" s="673"/>
      <c r="AX23" s="673"/>
      <c r="AY23" s="673"/>
      <c r="AZ23" s="673"/>
      <c r="BA23" s="673"/>
      <c r="BB23" s="673"/>
      <c r="BC23" s="673"/>
      <c r="BD23" s="673"/>
      <c r="BE23" s="675"/>
      <c r="BF23" s="675"/>
      <c r="BG23" s="675"/>
      <c r="BH23" s="675"/>
      <c r="BI23" s="674"/>
      <c r="BJ23" s="675"/>
    </row>
    <row r="24" spans="1:62" s="667" customFormat="1" ht="15" customHeight="1" thickBot="1">
      <c r="A24" s="663"/>
      <c r="B24" s="664"/>
      <c r="C24" s="665"/>
      <c r="D24" s="960"/>
      <c r="E24" s="960"/>
      <c r="F24" s="960"/>
      <c r="G24" s="960"/>
      <c r="H24" s="960"/>
      <c r="I24" s="960"/>
      <c r="J24" s="960"/>
      <c r="K24" s="960"/>
      <c r="L24" s="676"/>
      <c r="M24" s="676"/>
      <c r="N24" s="183" t="s">
        <v>67</v>
      </c>
      <c r="O24" s="1471" t="str">
        <f>IF(AND(A18,M22&gt;=N22),ROUND(P22/O22,2),L21)</f>
        <v>n.e.</v>
      </c>
      <c r="P24" s="1472"/>
      <c r="Q24" s="668"/>
      <c r="R24" s="669"/>
      <c r="S24" s="669"/>
      <c r="T24" s="670"/>
      <c r="U24" s="670"/>
      <c r="V24" s="960"/>
      <c r="W24" s="960"/>
      <c r="X24" s="960"/>
      <c r="Y24" s="960"/>
      <c r="Z24" s="960"/>
      <c r="AA24" s="183" t="s">
        <v>68</v>
      </c>
      <c r="AB24" s="1471" t="str">
        <f>IF(AND(A18,Z22&gt;=AA22),ROUND(AC22/AB22,2),Y21)</f>
        <v>n.e.</v>
      </c>
      <c r="AC24" s="1472"/>
      <c r="AD24" s="666"/>
      <c r="AE24" s="666"/>
      <c r="AF24" s="666"/>
      <c r="AG24" s="666"/>
      <c r="AK24" s="668"/>
      <c r="AL24" s="669"/>
      <c r="AM24" s="669"/>
      <c r="AN24" s="670"/>
      <c r="AO24" s="670"/>
      <c r="AP24" s="670"/>
      <c r="AQ24" s="671"/>
      <c r="AR24" s="671"/>
      <c r="AS24" s="669"/>
      <c r="AT24" s="669"/>
      <c r="AU24" s="672"/>
      <c r="AV24" s="673"/>
      <c r="AW24" s="673"/>
      <c r="AX24" s="673"/>
      <c r="AY24" s="673"/>
      <c r="AZ24" s="673"/>
      <c r="BA24" s="673"/>
      <c r="BB24" s="673"/>
      <c r="BC24" s="673"/>
      <c r="BD24" s="673"/>
      <c r="BE24" s="675"/>
      <c r="BF24" s="675"/>
      <c r="BG24" s="675"/>
      <c r="BH24" s="675"/>
      <c r="BI24" s="674"/>
      <c r="BJ24" s="675"/>
    </row>
    <row r="25" spans="1:62" s="667" customFormat="1" ht="15" customHeight="1">
      <c r="A25" s="663"/>
      <c r="B25" s="664"/>
      <c r="C25" s="665"/>
      <c r="D25" s="960"/>
      <c r="E25" s="960"/>
      <c r="F25" s="960"/>
      <c r="G25" s="960"/>
      <c r="H25" s="960"/>
      <c r="I25" s="960"/>
      <c r="J25" s="960"/>
      <c r="K25" s="676"/>
      <c r="L25" s="676"/>
      <c r="M25" s="676"/>
      <c r="N25" s="676"/>
      <c r="O25" s="676"/>
      <c r="P25" s="670"/>
      <c r="Q25" s="668"/>
      <c r="R25" s="669"/>
      <c r="S25" s="669"/>
      <c r="T25" s="670"/>
      <c r="U25" s="670"/>
      <c r="V25" s="960"/>
      <c r="W25" s="960"/>
      <c r="X25" s="960"/>
      <c r="Y25" s="960"/>
      <c r="Z25" s="960"/>
      <c r="AA25" s="960"/>
      <c r="AB25" s="960"/>
      <c r="AC25" s="676"/>
      <c r="AD25" s="666"/>
      <c r="AE25" s="666"/>
      <c r="AF25" s="666"/>
      <c r="AG25" s="666"/>
      <c r="AJ25" s="668"/>
      <c r="AK25" s="669"/>
      <c r="AL25" s="669"/>
      <c r="AM25" s="670"/>
      <c r="AN25" s="670"/>
      <c r="AO25" s="670"/>
      <c r="AP25" s="670"/>
      <c r="AQ25" s="671"/>
      <c r="AR25" s="671"/>
      <c r="AS25" s="669"/>
      <c r="AT25" s="669"/>
      <c r="AU25" s="672"/>
      <c r="AV25" s="673"/>
      <c r="AW25" s="673"/>
      <c r="AX25" s="673"/>
      <c r="AY25" s="673"/>
      <c r="AZ25" s="673"/>
      <c r="BA25" s="673"/>
      <c r="BB25" s="673"/>
      <c r="BC25" s="673"/>
      <c r="BD25" s="673"/>
      <c r="BE25" s="675"/>
      <c r="BF25" s="675"/>
      <c r="BG25" s="675"/>
      <c r="BH25" s="675"/>
      <c r="BI25" s="674"/>
      <c r="BJ25" s="675"/>
    </row>
    <row r="26" spans="1:62" ht="9.9499999999999993" customHeight="1">
      <c r="A26" s="634"/>
      <c r="B26" s="635"/>
      <c r="C26" s="276"/>
      <c r="D26" s="636"/>
      <c r="E26" s="637"/>
      <c r="F26" s="637"/>
      <c r="G26" s="637"/>
      <c r="H26" s="637"/>
      <c r="I26" s="637"/>
      <c r="J26" s="637"/>
      <c r="K26" s="638"/>
      <c r="L26" s="636"/>
      <c r="M26" s="637"/>
      <c r="N26" s="637"/>
      <c r="O26" s="639"/>
      <c r="P26" s="639"/>
      <c r="Q26" s="639"/>
      <c r="R26" s="639"/>
      <c r="S26" s="638"/>
      <c r="T26" s="638"/>
      <c r="U26" s="636"/>
      <c r="V26" s="638"/>
      <c r="W26" s="638"/>
      <c r="X26" s="638"/>
      <c r="Y26" s="638"/>
      <c r="Z26" s="638"/>
      <c r="AA26" s="638"/>
      <c r="AB26" s="638"/>
      <c r="AC26" s="638"/>
      <c r="AD26" s="640"/>
      <c r="AE26" s="640"/>
      <c r="AF26" s="640"/>
      <c r="AG26" s="640"/>
      <c r="AH26" s="640"/>
      <c r="AI26" s="640"/>
      <c r="AJ26" s="640"/>
      <c r="AK26" s="640"/>
      <c r="AL26" s="640"/>
      <c r="AM26" s="640"/>
      <c r="AN26" s="640"/>
      <c r="AO26" s="640"/>
      <c r="AP26" s="640"/>
      <c r="AQ26" s="640"/>
      <c r="AR26" s="640"/>
      <c r="AS26" s="641"/>
      <c r="AT26" s="640"/>
      <c r="AU26" s="640"/>
      <c r="AV26" s="640"/>
      <c r="AW26" s="640"/>
      <c r="AX26" s="640"/>
      <c r="AY26" s="640"/>
      <c r="AZ26" s="640"/>
      <c r="BA26" s="640"/>
      <c r="BB26" s="640"/>
      <c r="BC26" s="640"/>
      <c r="BD26" s="640"/>
      <c r="BE26" s="640"/>
      <c r="BF26" s="640"/>
      <c r="BG26" s="640"/>
      <c r="BH26" s="640"/>
      <c r="BI26" s="642"/>
      <c r="BJ26" s="16"/>
    </row>
    <row r="27" spans="1:62" ht="18">
      <c r="A27" s="970" t="b">
        <f>'Evaluation-Bewertung'!A27</f>
        <v>0</v>
      </c>
      <c r="B27" s="48"/>
      <c r="C27" s="223" t="s">
        <v>17</v>
      </c>
      <c r="D27" s="31"/>
      <c r="E27" s="172" t="str">
        <f>'Evaluation-Bewertung'!E27</f>
        <v>Series production</v>
      </c>
      <c r="F27" s="31"/>
      <c r="G27" s="31"/>
      <c r="H27" s="31"/>
      <c r="I27" s="31"/>
      <c r="J27" s="31"/>
      <c r="K27" s="31"/>
      <c r="L27" s="31"/>
      <c r="M27" s="31"/>
      <c r="N27" s="31"/>
      <c r="O27" s="36"/>
      <c r="P27" s="31"/>
      <c r="Q27" s="31"/>
      <c r="R27" s="31"/>
      <c r="S27" s="31"/>
      <c r="T27" s="31"/>
      <c r="U27" s="31"/>
      <c r="V27" s="15"/>
      <c r="W27" s="15"/>
      <c r="X27" s="15"/>
      <c r="Y27" s="15"/>
      <c r="Z27" s="15"/>
      <c r="AA27" s="15"/>
      <c r="AB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6"/>
      <c r="BF27" s="16"/>
      <c r="BG27" s="16"/>
      <c r="BH27" s="16"/>
      <c r="BI27" s="51"/>
      <c r="BJ27" s="16"/>
    </row>
    <row r="28" spans="1:62" ht="15" thickBot="1">
      <c r="A28" s="241" t="s">
        <v>228</v>
      </c>
      <c r="B28" s="48"/>
      <c r="C28" s="33"/>
      <c r="D28" s="31"/>
      <c r="E28" s="31"/>
      <c r="F28" s="31"/>
      <c r="G28" s="31"/>
      <c r="H28" s="31"/>
      <c r="I28" s="31"/>
      <c r="J28" s="31"/>
      <c r="K28" s="31"/>
      <c r="L28" s="390" t="s">
        <v>63</v>
      </c>
      <c r="M28" s="390" t="s">
        <v>111</v>
      </c>
      <c r="N28" s="390" t="s">
        <v>112</v>
      </c>
      <c r="O28" s="628" t="s">
        <v>204</v>
      </c>
      <c r="P28" s="628" t="s">
        <v>216</v>
      </c>
      <c r="Q28" s="390" t="s">
        <v>115</v>
      </c>
      <c r="R28" s="390" t="s">
        <v>116</v>
      </c>
      <c r="S28" s="643" t="str">
        <f>$K$7</f>
        <v>n.e.</v>
      </c>
      <c r="T28" s="643" t="str">
        <f>$L$7</f>
        <v>Act.</v>
      </c>
      <c r="U28" s="643" t="str">
        <f>$M$7</f>
        <v>Target</v>
      </c>
      <c r="V28" s="643" t="s">
        <v>260</v>
      </c>
      <c r="W28" s="643" t="s">
        <v>202</v>
      </c>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16"/>
      <c r="BF28" s="16"/>
      <c r="BG28" s="16"/>
      <c r="BH28" s="16"/>
      <c r="BI28" s="49"/>
      <c r="BJ28" s="34"/>
    </row>
    <row r="29" spans="1:62" ht="16.5" thickBot="1">
      <c r="A29" s="243" t="str">
        <f>IF(COUNT(L29:R29)=0,S28,IF(MIN(L29:R29)=0,"B","A"))</f>
        <v>n.e.</v>
      </c>
      <c r="B29" s="48"/>
      <c r="C29" s="71" t="s">
        <v>99</v>
      </c>
      <c r="D29" s="72" t="str">
        <f>'Questions - Fragen'!C61</f>
        <v xml:space="preserve">Supplier Management </v>
      </c>
      <c r="E29" s="31"/>
      <c r="F29" s="31"/>
      <c r="G29" s="31"/>
      <c r="H29" s="31"/>
      <c r="I29" s="31"/>
      <c r="J29" s="31"/>
      <c r="K29" s="31"/>
      <c r="L29" s="232" t="str">
        <f>IF($A$27=FALSE,$S$28,IF(ISBLANK('Questions - Fragen'!$D62),"--",'Questions - Fragen'!$D62))</f>
        <v>n.e.</v>
      </c>
      <c r="M29" s="232" t="str">
        <f>IF($A$27=FALSE,$S$28,IF(ISBLANK('Questions - Fragen'!$D63),"--",'Questions - Fragen'!$D63))</f>
        <v>n.e.</v>
      </c>
      <c r="N29" s="232" t="str">
        <f>IF($A$27=FALSE,$S$28,IF(ISBLANK('Questions - Fragen'!$D64),"--",'Questions - Fragen'!$D64))</f>
        <v>n.e.</v>
      </c>
      <c r="O29" s="633" t="str">
        <f>IF($A$27=FALSE,$S$28,IF(ISBLANK('Questions - Fragen'!$D65),"--",'Questions - Fragen'!$D65))</f>
        <v>n.e.</v>
      </c>
      <c r="P29" s="633" t="str">
        <f>IF($A$27=FALSE,$S$28,IF(ISBLANK('Questions - Fragen'!$D66),"--",'Questions - Fragen'!$D66))</f>
        <v>n.e.</v>
      </c>
      <c r="Q29" s="232" t="str">
        <f>IF($A$27=FALSE,$S$28,IF(ISBLANK('Questions - Fragen'!$D67),"--",'Questions - Fragen'!$D67))</f>
        <v>n.e.</v>
      </c>
      <c r="R29" s="232" t="str">
        <f>IF($A$27=FALSE,$S$28,IF(ISBLANK('Questions - Fragen'!$D68),"--",'Questions - Fragen'!$D68))</f>
        <v>n.e.</v>
      </c>
      <c r="S29" s="753">
        <f>COUNTIF(L29:R29,"&gt;-")</f>
        <v>7</v>
      </c>
      <c r="T29" s="753">
        <f>COUNT(L29:R29)</f>
        <v>0</v>
      </c>
      <c r="U29" s="753">
        <v>5</v>
      </c>
      <c r="V29" s="753" t="str">
        <f>IF(AND($A27,T29&gt;=U29),T29*10,"--")</f>
        <v>--</v>
      </c>
      <c r="W29" s="753" t="str">
        <f>IF(AND($A27,T29&gt;=U29),SUM(L29:R29),"--")</f>
        <v>--</v>
      </c>
      <c r="X29" s="31"/>
      <c r="Y29" s="31"/>
      <c r="Z29" s="31"/>
      <c r="AA29" s="31"/>
      <c r="AB29" s="31"/>
      <c r="AC29" s="31"/>
      <c r="AD29" s="31"/>
      <c r="AE29" s="31"/>
      <c r="AF29" s="31"/>
      <c r="AG29" s="31"/>
      <c r="AH29" s="31"/>
      <c r="AI29" s="31"/>
      <c r="AJ29" s="31"/>
      <c r="AK29" s="31"/>
      <c r="AL29" s="31"/>
      <c r="AM29" s="31"/>
      <c r="AN29" s="31"/>
      <c r="AO29" s="31"/>
      <c r="AP29" s="31"/>
      <c r="AQ29" s="1518" t="s">
        <v>302</v>
      </c>
      <c r="AR29" s="1519"/>
      <c r="AS29" s="1515" t="str">
        <f>IF(AND(A27,T29&gt;=U29),ROUND(W29/V29,2),S28)</f>
        <v>n.e.</v>
      </c>
      <c r="AT29" s="1516"/>
      <c r="AU29" s="16"/>
      <c r="AV29" s="184"/>
      <c r="AW29" s="184"/>
      <c r="AX29" s="184"/>
      <c r="AY29" s="184"/>
      <c r="AZ29" s="184"/>
      <c r="BA29" s="184"/>
      <c r="BB29" s="184"/>
      <c r="BC29" s="184"/>
      <c r="BD29" s="184"/>
      <c r="BE29" s="16"/>
      <c r="BF29" s="16"/>
      <c r="BG29" s="16"/>
      <c r="BH29" s="16"/>
      <c r="BI29" s="49"/>
      <c r="BJ29" s="34"/>
    </row>
    <row r="30" spans="1:62" ht="15">
      <c r="B30" s="48"/>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6"/>
      <c r="AJ30" s="36"/>
      <c r="AK30" s="36"/>
      <c r="AL30" s="36"/>
      <c r="AM30" s="31"/>
      <c r="AN30" s="31"/>
      <c r="AO30" s="31"/>
      <c r="AP30" s="31"/>
      <c r="AQ30" s="495"/>
      <c r="AR30" s="494"/>
      <c r="AS30" s="256"/>
      <c r="AT30" s="495"/>
      <c r="AU30" s="495"/>
      <c r="AV30" s="495"/>
      <c r="AW30" s="495"/>
      <c r="AX30" s="495"/>
      <c r="AY30" s="495"/>
      <c r="AZ30" s="495"/>
      <c r="BA30" s="495"/>
      <c r="BB30" s="495"/>
      <c r="BC30" s="495"/>
      <c r="BD30" s="495"/>
      <c r="BE30" s="16"/>
      <c r="BF30" s="16"/>
      <c r="BG30" s="16"/>
      <c r="BH30" s="16"/>
      <c r="BI30" s="52"/>
      <c r="BJ30" s="495"/>
    </row>
    <row r="31" spans="1:62" ht="15.75">
      <c r="A31" s="970" t="b">
        <f>'Evaluation-Bewertung'!A31</f>
        <v>1</v>
      </c>
      <c r="B31" s="48"/>
      <c r="C31" s="71" t="s">
        <v>100</v>
      </c>
      <c r="D31" s="72" t="str">
        <f>'Questions - Fragen'!C69</f>
        <v xml:space="preserve">Process analysis /
production </v>
      </c>
      <c r="E31" s="36"/>
      <c r="F31" s="36"/>
      <c r="G31" s="36"/>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166"/>
      <c r="AR31" s="15"/>
      <c r="AS31" s="36"/>
      <c r="AT31" s="36"/>
      <c r="AU31" s="36"/>
      <c r="AV31" s="36"/>
      <c r="AW31" s="36"/>
      <c r="AX31" s="36"/>
      <c r="AY31" s="36"/>
      <c r="AZ31" s="36"/>
      <c r="BA31" s="36"/>
      <c r="BB31" s="36"/>
      <c r="BC31" s="36"/>
      <c r="BD31" s="36"/>
      <c r="BE31" s="16"/>
      <c r="BF31" s="16"/>
      <c r="BG31" s="16"/>
      <c r="BH31" s="16"/>
      <c r="BI31" s="188"/>
      <c r="BJ31" s="36"/>
    </row>
    <row r="32" spans="1:62" ht="15">
      <c r="B32" s="48"/>
      <c r="C32" s="33"/>
      <c r="D32" s="31"/>
      <c r="E32" s="31"/>
      <c r="F32" s="31"/>
      <c r="G32" s="31"/>
      <c r="H32" s="31"/>
      <c r="I32" s="31"/>
      <c r="J32" s="31"/>
      <c r="K32" s="31"/>
      <c r="L32" s="31"/>
      <c r="M32" s="31"/>
      <c r="N32" s="31"/>
      <c r="O32" s="36"/>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16"/>
      <c r="BF32" s="16"/>
      <c r="BG32" s="16"/>
      <c r="BH32" s="16"/>
      <c r="BI32" s="49"/>
      <c r="BJ32" s="34"/>
    </row>
    <row r="33" spans="1:62" ht="30" customHeight="1">
      <c r="B33" s="48"/>
      <c r="C33" s="15"/>
      <c r="D33" s="40" t="str">
        <f>'Evaluation-Bewertung'!D33</f>
        <v>1. Process input</v>
      </c>
      <c r="E33" s="189"/>
      <c r="F33" s="189"/>
      <c r="G33" s="189"/>
      <c r="H33" s="189"/>
      <c r="I33" s="15"/>
      <c r="J33" s="1501" t="str">
        <f>'Evaluation-Bewertung'!J33</f>
        <v>2. Process Management</v>
      </c>
      <c r="K33" s="1501" t="e">
        <f>'Evaluation-Bewertung'!K33</f>
        <v>#N/A</v>
      </c>
      <c r="L33" s="1501" t="e">
        <f>'Evaluation-Bewertung'!L33</f>
        <v>#N/A</v>
      </c>
      <c r="M33" s="1501" t="e">
        <f>'Evaluation-Bewertung'!M33</f>
        <v>#N/A</v>
      </c>
      <c r="N33" s="1501" t="e">
        <f>'Evaluation-Bewertung'!N33</f>
        <v>#N/A</v>
      </c>
      <c r="O33" s="1501" t="e">
        <f>'Evaluation-Bewertung'!O33</f>
        <v>#N/A</v>
      </c>
      <c r="P33" s="1501" t="str">
        <f>'Evaluation-Bewertung'!P33</f>
        <v>3. Process support</v>
      </c>
      <c r="Q33" s="1501" t="e">
        <f>'Evaluation-Bewertung'!Q33</f>
        <v>#N/A</v>
      </c>
      <c r="R33" s="1501" t="e">
        <f>'Evaluation-Bewertung'!R33</f>
        <v>#N/A</v>
      </c>
      <c r="S33" s="189"/>
      <c r="T33" s="1502" t="str">
        <f>'Evaluation-Bewertung'!T33</f>
        <v>4. Material resources</v>
      </c>
      <c r="U33" s="1502" t="e">
        <f>'Evaluation-Bewertung'!U33</f>
        <v>#N/A</v>
      </c>
      <c r="V33" s="1502" t="e">
        <f>'Evaluation-Bewertung'!V33</f>
        <v>#N/A</v>
      </c>
      <c r="W33" s="1502" t="e">
        <f>'Evaluation-Bewertung'!W33</f>
        <v>#N/A</v>
      </c>
      <c r="X33" s="1502" t="e">
        <f>'Evaluation-Bewertung'!X33</f>
        <v>#N/A</v>
      </c>
      <c r="Z33" s="1502" t="str">
        <f>'Evaluation-Bewertung'!Z33</f>
        <v>5. Effectiveness of the process</v>
      </c>
      <c r="AA33" s="1502" t="e">
        <f>'Evaluation-Bewertung'!AA33</f>
        <v>#N/A</v>
      </c>
      <c r="AB33" s="1502" t="e">
        <f>'Evaluation-Bewertung'!AB33</f>
        <v>#N/A</v>
      </c>
      <c r="AC33" s="1502" t="e">
        <f>'Evaluation-Bewertung'!AC33</f>
        <v>#N/A</v>
      </c>
      <c r="AD33" s="189"/>
      <c r="AE33" s="1502" t="str">
        <f>'Evaluation-Bewertung'!AE33</f>
        <v>6. Process result / Output</v>
      </c>
      <c r="AF33" s="1502" t="e">
        <f>'Evaluation-Bewertung'!AF33</f>
        <v>#N/A</v>
      </c>
      <c r="AG33" s="1502" t="e">
        <f>'Evaluation-Bewertung'!AG33</f>
        <v>#N/A</v>
      </c>
      <c r="AH33" s="1502" t="e">
        <f>'Evaluation-Bewertung'!AH33</f>
        <v>#N/A</v>
      </c>
      <c r="AI33" s="189"/>
      <c r="AJ33" s="189"/>
      <c r="AK33" s="189"/>
      <c r="AL33" s="189"/>
      <c r="AM33" s="15"/>
      <c r="AN33" s="15"/>
      <c r="AO33" s="15"/>
      <c r="AP33" s="15"/>
      <c r="AQ33" s="1586" t="str">
        <f>'Evaluation-Bewertung'!AQ33</f>
        <v>Level of compliance process step</v>
      </c>
      <c r="AR33" s="1586" t="e">
        <f>'Evaluation-Bewertung'!AR33</f>
        <v>#N/A</v>
      </c>
      <c r="AS33" s="1586" t="e">
        <f>'Evaluation-Bewertung'!AS33</f>
        <v>#N/A</v>
      </c>
      <c r="AT33" s="1586" t="e">
        <f>'Evaluation-Bewertung'!AT33</f>
        <v>#N/A</v>
      </c>
      <c r="AU33" s="189"/>
      <c r="AX33" s="190" t="str">
        <f>'Evaluation-Bewertung'!AX33</f>
        <v>7. Transport and handling of parts</v>
      </c>
      <c r="AY33" s="189"/>
      <c r="AZ33" s="189"/>
      <c r="BA33" s="189"/>
      <c r="BB33" s="189"/>
      <c r="BC33" s="189"/>
      <c r="BD33" s="189"/>
      <c r="BE33" s="189"/>
      <c r="BF33" s="16"/>
      <c r="BG33" s="16"/>
      <c r="BH33" s="16"/>
      <c r="BI33" s="191"/>
      <c r="BJ33" s="41"/>
    </row>
    <row r="34" spans="1:62">
      <c r="B34" s="48"/>
      <c r="C34" s="29"/>
      <c r="D34" s="339" t="s">
        <v>117</v>
      </c>
      <c r="E34" s="340" t="s">
        <v>48</v>
      </c>
      <c r="F34" s="339" t="s">
        <v>34</v>
      </c>
      <c r="G34" s="339" t="s">
        <v>35</v>
      </c>
      <c r="H34" s="629" t="s">
        <v>209</v>
      </c>
      <c r="I34" s="341"/>
      <c r="J34" s="339" t="s">
        <v>119</v>
      </c>
      <c r="K34" s="340" t="s">
        <v>0</v>
      </c>
      <c r="L34" s="629" t="s">
        <v>57</v>
      </c>
      <c r="M34" s="629" t="s">
        <v>58</v>
      </c>
      <c r="N34" s="339" t="s">
        <v>37</v>
      </c>
      <c r="O34" s="16"/>
      <c r="P34" s="629" t="s">
        <v>304</v>
      </c>
      <c r="Q34" s="339" t="s">
        <v>4</v>
      </c>
      <c r="R34" s="339" t="s">
        <v>39</v>
      </c>
      <c r="S34" s="340"/>
      <c r="T34" s="629" t="s">
        <v>211</v>
      </c>
      <c r="U34" s="339" t="s">
        <v>121</v>
      </c>
      <c r="V34" s="629" t="s">
        <v>212</v>
      </c>
      <c r="W34" s="339" t="s">
        <v>42</v>
      </c>
      <c r="X34" s="339" t="s">
        <v>213</v>
      </c>
      <c r="Z34" s="339" t="s">
        <v>43</v>
      </c>
      <c r="AA34" s="339" t="s">
        <v>44</v>
      </c>
      <c r="AB34" s="629" t="s">
        <v>436</v>
      </c>
      <c r="AC34" s="339" t="s">
        <v>124</v>
      </c>
      <c r="AD34" s="341"/>
      <c r="AE34" s="339" t="s">
        <v>126</v>
      </c>
      <c r="AF34" s="339" t="s">
        <v>45</v>
      </c>
      <c r="AG34" s="339" t="s">
        <v>46</v>
      </c>
      <c r="AH34" s="629" t="s">
        <v>214</v>
      </c>
      <c r="AI34" s="342"/>
      <c r="AJ34" s="342"/>
      <c r="AK34" s="342"/>
      <c r="AL34" s="342"/>
      <c r="AM34" s="342"/>
      <c r="AN34" s="342"/>
      <c r="AO34" s="342"/>
      <c r="AP34" s="342"/>
      <c r="AQ34" s="342"/>
      <c r="AR34" s="343"/>
      <c r="AS34" s="344"/>
      <c r="AT34" s="345"/>
      <c r="AU34" s="345"/>
      <c r="AX34" s="346" t="s">
        <v>48</v>
      </c>
      <c r="AY34" s="345" t="s">
        <v>34</v>
      </c>
      <c r="AZ34" s="345" t="s">
        <v>35</v>
      </c>
      <c r="BA34" s="345" t="s">
        <v>2</v>
      </c>
      <c r="BB34" s="345" t="s">
        <v>37</v>
      </c>
      <c r="BC34" s="345" t="s">
        <v>126</v>
      </c>
      <c r="BD34" s="345" t="s">
        <v>45</v>
      </c>
      <c r="BE34" s="345" t="s">
        <v>46</v>
      </c>
      <c r="BF34" s="16"/>
      <c r="BG34" s="16"/>
      <c r="BH34" s="16"/>
      <c r="BI34" s="53"/>
      <c r="BJ34" s="42"/>
    </row>
    <row r="35" spans="1:62" ht="15.75" thickBot="1">
      <c r="B35" s="48"/>
      <c r="C35" s="193"/>
      <c r="D35" s="185" t="s">
        <v>60</v>
      </c>
      <c r="E35" s="185"/>
      <c r="F35" s="175"/>
      <c r="G35" s="175"/>
      <c r="H35" s="630"/>
      <c r="I35" s="185" t="str">
        <f>PrSchr1</f>
        <v>Stage 1: Moldshop Process</v>
      </c>
      <c r="K35" s="175"/>
      <c r="L35" s="631"/>
      <c r="M35" s="631"/>
      <c r="N35" s="175"/>
      <c r="O35" s="16"/>
      <c r="P35" s="631"/>
      <c r="Q35" s="175"/>
      <c r="R35" s="175"/>
      <c r="S35" s="175"/>
      <c r="T35" s="631"/>
      <c r="U35" s="175"/>
      <c r="V35" s="631"/>
      <c r="W35" s="175"/>
      <c r="X35" s="175"/>
      <c r="Z35" s="175"/>
      <c r="AA35" s="175"/>
      <c r="AB35" s="631"/>
      <c r="AC35" s="175"/>
      <c r="AD35" s="175"/>
      <c r="AE35" s="175"/>
      <c r="AF35" s="175"/>
      <c r="AG35" s="175"/>
      <c r="AH35" s="631"/>
      <c r="AI35" s="643" t="str">
        <f>$K$7</f>
        <v>n.e.</v>
      </c>
      <c r="AJ35" s="643" t="str">
        <f>$L$7</f>
        <v>Act.</v>
      </c>
      <c r="AK35" s="643" t="str">
        <f>$M$7</f>
        <v>Target</v>
      </c>
      <c r="AL35" s="643" t="str">
        <f>N7</f>
        <v>Max.</v>
      </c>
      <c r="AM35" s="643" t="str">
        <f>O7</f>
        <v>Act.</v>
      </c>
      <c r="AN35" s="643"/>
      <c r="AO35" s="643"/>
      <c r="AP35" s="643"/>
      <c r="AQ35" s="30"/>
      <c r="AR35" s="40" t="s">
        <v>69</v>
      </c>
      <c r="AS35" s="171"/>
      <c r="AT35" s="165"/>
      <c r="AU35" s="165"/>
      <c r="AX35" s="165"/>
      <c r="AY35" s="165"/>
      <c r="AZ35" s="627"/>
      <c r="BA35" s="627"/>
      <c r="BB35" s="627"/>
      <c r="BC35" s="627"/>
      <c r="BD35" s="627"/>
      <c r="BE35" s="627"/>
      <c r="BF35" s="16"/>
      <c r="BG35" s="16"/>
      <c r="BH35" s="16"/>
      <c r="BI35" s="51"/>
      <c r="BJ35" s="16"/>
    </row>
    <row r="36" spans="1:62" ht="15.75" thickBot="1">
      <c r="A36" s="243" t="str">
        <f>IF(COUNT(D36:AH36)=0,"n.b.",IF(MIN(D36:H36,J36:O36,P36:R36,T36:X36,Z36:AC36,AE36:AH36)=0,"B","A"))</f>
        <v>n.b.</v>
      </c>
      <c r="B36" s="48"/>
      <c r="C36" s="194" t="str">
        <f>IF(AND('Evaluation-Bewertung'!$C$36="X",'Input Form - EingabeMaske'!F54="x"),"X","&lt;&gt;")</f>
        <v>&lt;&gt;</v>
      </c>
      <c r="D36" s="232" t="str">
        <f>IF($A$31=FALSE,$AI$35,IF($C36="X",IF(ISBLANK('Questions - Fragen'!$D72),"--",'Questions - Fragen'!$D72),"xx"))</f>
        <v>xx</v>
      </c>
      <c r="E36" s="232" t="str">
        <f>IF($A$31=FALSE,$AI$35,IF($C36="X",IF(ISBLANK('Questions - Fragen'!$D83),"--",'Questions - Fragen'!$D83),"xx"))</f>
        <v>xx</v>
      </c>
      <c r="F36" s="232" t="str">
        <f>IF($A$31=FALSE,$AI$35,IF($C36="X",IF(ISBLANK('Questions - Fragen'!$D94),"--",'Questions - Fragen'!$D94),"xx"))</f>
        <v>xx</v>
      </c>
      <c r="G36" s="232" t="str">
        <f>IF($A$31=FALSE,$AI$35,IF($C36="X",IF(ISBLANK('Questions - Fragen'!$D105),"--",'Questions - Fragen'!$D105),"xx"))</f>
        <v>xx</v>
      </c>
      <c r="H36" s="633" t="str">
        <f>IF($A$31=FALSE,$AI$35,IF($C36="X",IF(ISBLANK('Questions - Fragen'!$D116),"--",'Questions - Fragen'!$D116),"xx"))</f>
        <v>xx</v>
      </c>
      <c r="I36" s="226"/>
      <c r="J36" s="232" t="str">
        <f>IF($A$31=FALSE,$AI$35,IF($C36="X",IF(ISBLANK('Questions - Fragen'!$D128),"--",'Questions - Fragen'!$D128),"xx"))</f>
        <v>xx</v>
      </c>
      <c r="K36" s="232" t="str">
        <f>IF($A$31=FALSE,$AI$35,IF($C36="X",IF(ISBLANK('Questions - Fragen'!$D139),"--",'Questions - Fragen'!$D139),"xx"))</f>
        <v>xx</v>
      </c>
      <c r="L36" s="633" t="str">
        <f>IF($A$31=FALSE,$AI$35,IF($C36="X",IF(ISBLANK('Questions - Fragen'!$D150),"--",'Questions - Fragen'!$D150),"xx"))</f>
        <v>xx</v>
      </c>
      <c r="M36" s="633" t="str">
        <f>IF($A$31=FALSE,$AI$35,IF($C36="X",IF(ISBLANK('Questions - Fragen'!$D161),"--",'Questions - Fragen'!$D161),"xx"))</f>
        <v>xx</v>
      </c>
      <c r="N36" s="232" t="str">
        <f>IF($A$31=FALSE,$AI$35,IF($C36="X",IF(ISBLANK('Questions - Fragen'!$D172),"--",'Questions - Fragen'!$D172),"xx"))</f>
        <v>xx</v>
      </c>
      <c r="O36" s="16"/>
      <c r="P36" s="633" t="str">
        <f>IF($A$31=FALSE,$AI$35,IF($C36="X",IF(ISBLANK('Questions - Fragen'!$D184),"--",'Questions - Fragen'!$D184),"xx"))</f>
        <v>xx</v>
      </c>
      <c r="Q36" s="232" t="str">
        <f>IF($A$31=FALSE,$AI$35,IF($C36="X",IF(ISBLANK('Questions - Fragen'!$D195),"--",'Questions - Fragen'!$D195),"xx"))</f>
        <v>xx</v>
      </c>
      <c r="R36" s="232" t="str">
        <f>IF($A$31=FALSE,$AI$35,IF($C36="X",IF(ISBLANK('Questions - Fragen'!$D206),"--",'Questions - Fragen'!$D206),"xx"))</f>
        <v>xx</v>
      </c>
      <c r="S36" s="226"/>
      <c r="T36" s="633" t="str">
        <f>IF($A$31=FALSE,$AI$35,IF($C36="X",IF(ISBLANK('Questions - Fragen'!$D218),"--",'Questions - Fragen'!$D218),"xx"))</f>
        <v>xx</v>
      </c>
      <c r="U36" s="232" t="str">
        <f>IF($A$31=FALSE,$AI$35,IF($C36="X",IF(ISBLANK('Questions - Fragen'!$D229),"--",'Questions - Fragen'!$D229),"xx"))</f>
        <v>xx</v>
      </c>
      <c r="V36" s="633" t="str">
        <f>IF($A$31=FALSE,$AI$35,IF($C36="X",IF(ISBLANK('Questions - Fragen'!$D240),"--",'Questions - Fragen'!$D240),"xx"))</f>
        <v>xx</v>
      </c>
      <c r="W36" s="232" t="str">
        <f>IF($A$31=FALSE,$AI$35,IF($C36="X",IF(ISBLANK('Questions - Fragen'!$D251),"--",'Questions - Fragen'!$D251),"xx"))</f>
        <v>xx</v>
      </c>
      <c r="X36" s="232" t="str">
        <f>IF($A$31=FALSE,$AI$35,IF($C36="X",IF(ISBLANK('Questions - Fragen'!$D262),"--",'Questions - Fragen'!$D262),"xx"))</f>
        <v>xx</v>
      </c>
      <c r="Z36" s="232" t="str">
        <f>IF($A$31=FALSE,$AI$35,IF($C36="X",IF(ISBLANK('Questions - Fragen'!$D274),"--",'Questions - Fragen'!$D274),"xx"))</f>
        <v>xx</v>
      </c>
      <c r="AA36" s="232" t="str">
        <f>IF($A$31=FALSE,$AI$35,IF($C36="X",IF(ISBLANK('Questions - Fragen'!$D285),"--",'Questions - Fragen'!$D285),"xx"))</f>
        <v>xx</v>
      </c>
      <c r="AB36" s="633" t="str">
        <f>IF($A$31=FALSE,$AI$35,IF($C36="X",IF(ISBLANK('Questions - Fragen'!$D296),"--",'Questions - Fragen'!$D296),"xx"))</f>
        <v>xx</v>
      </c>
      <c r="AC36" s="232" t="str">
        <f>IF($A$31=FALSE,$AI$35,IF($C36="X",IF(ISBLANK('Questions - Fragen'!$D307),"--",'Questions - Fragen'!$D307),"xx"))</f>
        <v>xx</v>
      </c>
      <c r="AD36" s="226"/>
      <c r="AE36" s="232" t="str">
        <f>IF($A$31=FALSE,$AI$35,IF($C36="X",IF(ISBLANK('Questions - Fragen'!$D319),"--",'Questions - Fragen'!$D319),"xx"))</f>
        <v>xx</v>
      </c>
      <c r="AF36" s="232" t="str">
        <f>IF($A$31=FALSE,$AI$35,IF($C36="X",IF(ISBLANK('Questions - Fragen'!$D330),"--",'Questions - Fragen'!$D330),"xx"))</f>
        <v>xx</v>
      </c>
      <c r="AG36" s="232" t="str">
        <f>IF($A$31=FALSE,$AI$35,IF($C36="X",IF(ISBLANK('Questions - Fragen'!$D341),"--",'Questions - Fragen'!$D341),"xx"))</f>
        <v>xx</v>
      </c>
      <c r="AH36" s="633" t="str">
        <f>IF($A$31=FALSE,$AI$35,IF($C36="X",IF(ISBLANK('Questions - Fragen'!$D352),"--",'Questions - Fragen'!$D352),"xx"))</f>
        <v>xx</v>
      </c>
      <c r="AI36" s="753">
        <f>COUNTIF(D36:AH36,"&gt;-")</f>
        <v>26</v>
      </c>
      <c r="AJ36" s="753">
        <f>COUNT(D36:AH36)</f>
        <v>0</v>
      </c>
      <c r="AK36" s="753">
        <v>17</v>
      </c>
      <c r="AL36" s="753" t="str">
        <f>IF(AND($A$31,AJ36&gt;=AK36),AJ36*10,"--")</f>
        <v>--</v>
      </c>
      <c r="AM36" s="753" t="str">
        <f>IF(AND($A$31,AJ36&gt;=AK36),SUM(D36:AH36),"--")</f>
        <v>--</v>
      </c>
      <c r="AN36" s="643"/>
      <c r="AO36" s="643"/>
      <c r="AP36" s="643"/>
      <c r="AQ36" s="39"/>
      <c r="AR36" s="43"/>
      <c r="AS36" s="1469" t="str">
        <f>IF($A$31=FALSE,$AI$35,IF(C36="&lt;&gt;","xx",IF(AJ36&lt;AK36,$AI$35,ROUND(AM36/AL36,2))))</f>
        <v>xx</v>
      </c>
      <c r="AT36" s="1470"/>
      <c r="AU36" s="16"/>
      <c r="AX36" s="784" t="str">
        <f>E36</f>
        <v>xx</v>
      </c>
      <c r="AY36" s="784" t="str">
        <f>F36</f>
        <v>xx</v>
      </c>
      <c r="AZ36" s="784" t="str">
        <f>G36</f>
        <v>xx</v>
      </c>
      <c r="BA36" s="784" t="str">
        <f>M36</f>
        <v>xx</v>
      </c>
      <c r="BB36" s="784" t="str">
        <f>N36</f>
        <v>xx</v>
      </c>
      <c r="BC36" s="784" t="str">
        <f>AE36</f>
        <v>xx</v>
      </c>
      <c r="BD36" s="784" t="str">
        <f>AF36</f>
        <v>xx</v>
      </c>
      <c r="BE36" s="784" t="str">
        <f>AG36</f>
        <v>xx</v>
      </c>
      <c r="BF36" s="15"/>
      <c r="BG36" s="16"/>
      <c r="BH36" s="16"/>
      <c r="BI36" s="51"/>
      <c r="BJ36" s="74"/>
    </row>
    <row r="37" spans="1:62" ht="15.75" thickBot="1">
      <c r="B37" s="48"/>
      <c r="C37" s="193"/>
      <c r="D37" s="185" t="s">
        <v>61</v>
      </c>
      <c r="E37" s="185"/>
      <c r="F37" s="176"/>
      <c r="G37" s="176"/>
      <c r="H37" s="630"/>
      <c r="I37" s="185" t="str">
        <f>PrSchr2</f>
        <v>Stage 2:</v>
      </c>
      <c r="K37" s="176"/>
      <c r="L37" s="632"/>
      <c r="M37" s="632"/>
      <c r="N37" s="176"/>
      <c r="O37" s="16"/>
      <c r="P37" s="632"/>
      <c r="Q37" s="176"/>
      <c r="R37" s="176"/>
      <c r="S37" s="176"/>
      <c r="T37" s="632"/>
      <c r="U37" s="176"/>
      <c r="V37" s="632"/>
      <c r="W37" s="176"/>
      <c r="X37" s="176"/>
      <c r="Z37" s="176"/>
      <c r="AA37" s="176"/>
      <c r="AB37" s="632"/>
      <c r="AC37" s="176"/>
      <c r="AD37" s="176"/>
      <c r="AE37" s="176"/>
      <c r="AF37" s="176"/>
      <c r="AG37" s="176"/>
      <c r="AH37" s="632"/>
      <c r="AI37" s="176"/>
      <c r="AJ37" s="176"/>
      <c r="AK37" s="176"/>
      <c r="AL37" s="16"/>
      <c r="AM37" s="31"/>
      <c r="AN37" s="643"/>
      <c r="AO37" s="643"/>
      <c r="AP37" s="643"/>
      <c r="AQ37" s="31"/>
      <c r="AR37" s="40" t="s">
        <v>70</v>
      </c>
      <c r="AS37" s="400"/>
      <c r="AT37" s="401"/>
      <c r="AU37" s="495"/>
      <c r="AX37" s="672"/>
      <c r="AY37" s="672"/>
      <c r="AZ37" s="672"/>
      <c r="BA37" s="672"/>
      <c r="BB37" s="672"/>
      <c r="BC37" s="672"/>
      <c r="BD37" s="672"/>
      <c r="BE37" s="672"/>
      <c r="BF37" s="15"/>
      <c r="BG37" s="16"/>
      <c r="BH37" s="16"/>
      <c r="BI37" s="51"/>
      <c r="BJ37" s="74"/>
    </row>
    <row r="38" spans="1:62" ht="15.75" thickBot="1">
      <c r="A38" s="243" t="str">
        <f>IF(COUNT(D38:AH38)=0,"n.b.",IF(MIN(D38:H38,J38:O38,P38:R38,T38:X38,Z38:AC38,AE38:AH38)=0,"B","A"))</f>
        <v>n.b.</v>
      </c>
      <c r="B38" s="48"/>
      <c r="C38" s="194" t="str">
        <f>IF(AND('Evaluation-Bewertung'!$C$38="X",'Input Form - EingabeMaske'!F55="x"),"X","&lt;&gt;")</f>
        <v>&lt;&gt;</v>
      </c>
      <c r="D38" s="232" t="str">
        <f>IF($A$31=FALSE,$AI$35,IF($C38="X",IF(ISBLANK('Questions - Fragen'!$D73),"--",'Questions - Fragen'!$D73),"xx"))</f>
        <v>xx</v>
      </c>
      <c r="E38" s="232" t="str">
        <f>IF($A$31=FALSE,$AI$35,IF($C38="X",IF(ISBLANK('Questions - Fragen'!$D84),"--",'Questions - Fragen'!$D84),"xx"))</f>
        <v>xx</v>
      </c>
      <c r="F38" s="232" t="str">
        <f>IF($A$31=FALSE,$AI$35,IF($C38="X",IF(ISBLANK('Questions - Fragen'!$D95),"--",'Questions - Fragen'!$D95),"xx"))</f>
        <v>xx</v>
      </c>
      <c r="G38" s="232" t="str">
        <f>IF($A$31=FALSE,$AI$35,IF($C38="X",IF(ISBLANK('Questions - Fragen'!$D106),"--",'Questions - Fragen'!$D106),"xx"))</f>
        <v>xx</v>
      </c>
      <c r="H38" s="633" t="str">
        <f>IF($A$31=FALSE,$AI$35,IF($C38="X",IF(ISBLANK('Questions - Fragen'!$D117),"--",'Questions - Fragen'!$D117),"xx"))</f>
        <v>xx</v>
      </c>
      <c r="I38" s="226"/>
      <c r="J38" s="232" t="str">
        <f>IF($A$31=FALSE,$AI$35,IF($C38="X",IF(ISBLANK('Questions - Fragen'!$D129),"--",'Questions - Fragen'!$D129),"xx"))</f>
        <v>xx</v>
      </c>
      <c r="K38" s="232" t="str">
        <f>IF($A$31=FALSE,$AI$35,IF($C38="X",IF(ISBLANK('Questions - Fragen'!$D140),"--",'Questions - Fragen'!$D140),"xx"))</f>
        <v>xx</v>
      </c>
      <c r="L38" s="633" t="str">
        <f>IF($A$31=FALSE,$AI$35,IF($C38="X",IF(ISBLANK('Questions - Fragen'!$D151),"--",'Questions - Fragen'!$D151),"xx"))</f>
        <v>xx</v>
      </c>
      <c r="M38" s="633" t="str">
        <f>IF($A$31=FALSE,$AI$35,IF($C38="X",IF(ISBLANK('Questions - Fragen'!$D162),"--",'Questions - Fragen'!$D162),"xx"))</f>
        <v>xx</v>
      </c>
      <c r="N38" s="232" t="str">
        <f>IF($A$31=FALSE,$AI$35,IF($C38="X",IF(ISBLANK('Questions - Fragen'!$D173),"--",'Questions - Fragen'!$D173),"xx"))</f>
        <v>xx</v>
      </c>
      <c r="O38" s="16"/>
      <c r="P38" s="633" t="str">
        <f>IF($A$31=FALSE,$AI$35,IF($C38="X",IF(ISBLANK('Questions - Fragen'!$D185),"--",'Questions - Fragen'!$D185),"xx"))</f>
        <v>xx</v>
      </c>
      <c r="Q38" s="232" t="str">
        <f>IF($A$31=FALSE,$AI$35,IF($C38="X",IF(ISBLANK('Questions - Fragen'!$D196),"--",'Questions - Fragen'!$D196),"xx"))</f>
        <v>xx</v>
      </c>
      <c r="R38" s="232" t="str">
        <f>IF($A$31=FALSE,$AI$35,IF($C38="X",IF(ISBLANK('Questions - Fragen'!$D207),"--",'Questions - Fragen'!$D207),"xx"))</f>
        <v>xx</v>
      </c>
      <c r="S38" s="226"/>
      <c r="T38" s="633" t="str">
        <f>IF($A$31=FALSE,$AI$35,IF($C38="X",IF(ISBLANK('Questions - Fragen'!$D219),"--",'Questions - Fragen'!$D219),"xx"))</f>
        <v>xx</v>
      </c>
      <c r="U38" s="232" t="str">
        <f>IF($A$31=FALSE,$AI$35,IF($C38="X",IF(ISBLANK('Questions - Fragen'!$D230),"--",'Questions - Fragen'!$D230),"xx"))</f>
        <v>xx</v>
      </c>
      <c r="V38" s="633" t="str">
        <f>IF($A$31=FALSE,$AI$35,IF($C38="X",IF(ISBLANK('Questions - Fragen'!$D241),"--",'Questions - Fragen'!$D241),"xx"))</f>
        <v>xx</v>
      </c>
      <c r="W38" s="232" t="str">
        <f>IF($A$31=FALSE,$AI$35,IF($C38="X",IF(ISBLANK('Questions - Fragen'!$D252),"--",'Questions - Fragen'!$D252),"xx"))</f>
        <v>xx</v>
      </c>
      <c r="X38" s="232" t="str">
        <f>IF($A$31=FALSE,$AI$35,IF($C38="X",IF(ISBLANK('Questions - Fragen'!$D263),"--",'Questions - Fragen'!$D263),"xx"))</f>
        <v>xx</v>
      </c>
      <c r="Z38" s="232" t="str">
        <f>IF($A$31=FALSE,$AI$35,IF($C38="X",IF(ISBLANK('Questions - Fragen'!$D275),"--",'Questions - Fragen'!$D275),"xx"))</f>
        <v>xx</v>
      </c>
      <c r="AA38" s="232" t="str">
        <f>IF($A$31=FALSE,$AI$35,IF($C38="X",IF(ISBLANK('Questions - Fragen'!$D286),"--",'Questions - Fragen'!$D286),"xx"))</f>
        <v>xx</v>
      </c>
      <c r="AB38" s="633" t="str">
        <f>IF($A$31=FALSE,$AI$35,IF($C38="X",IF(ISBLANK('Questions - Fragen'!$D297),"--",'Questions - Fragen'!$D297),"xx"))</f>
        <v>xx</v>
      </c>
      <c r="AC38" s="232" t="str">
        <f>IF($A$31=FALSE,$AI$35,IF($C38="X",IF(ISBLANK('Questions - Fragen'!$D308),"--",'Questions - Fragen'!$D308),"xx"))</f>
        <v>xx</v>
      </c>
      <c r="AD38" s="226"/>
      <c r="AE38" s="232" t="str">
        <f>IF($A$31=FALSE,$AI$35,IF($C38="X",IF(ISBLANK('Questions - Fragen'!$D320),"--",'Questions - Fragen'!$D320),"xx"))</f>
        <v>xx</v>
      </c>
      <c r="AF38" s="232" t="str">
        <f>IF($A$31=FALSE,$AI$35,IF($C38="X",IF(ISBLANK('Questions - Fragen'!$D331),"--",'Questions - Fragen'!$D331),"xx"))</f>
        <v>xx</v>
      </c>
      <c r="AG38" s="232" t="str">
        <f>IF($A$31=FALSE,$AI$35,IF($C38="X",IF(ISBLANK('Questions - Fragen'!$D342),"--",'Questions - Fragen'!$D342),"xx"))</f>
        <v>xx</v>
      </c>
      <c r="AH38" s="633" t="str">
        <f>IF($A$31=FALSE,$AI$35,IF($C38="X",IF(ISBLANK('Questions - Fragen'!$D353),"--",'Questions - Fragen'!$D353),"xx"))</f>
        <v>xx</v>
      </c>
      <c r="AI38" s="753">
        <f t="shared" ref="AI38" si="2">COUNTIF(D38:AH38,"&gt;-")</f>
        <v>26</v>
      </c>
      <c r="AJ38" s="753">
        <f>COUNT(D38:AH38)</f>
        <v>0</v>
      </c>
      <c r="AK38" s="753">
        <v>17</v>
      </c>
      <c r="AL38" s="753" t="str">
        <f>IF(AND($A$31,AJ38&gt;=AK38),AJ38*10,"--")</f>
        <v>--</v>
      </c>
      <c r="AM38" s="753" t="str">
        <f>IF(AND($A$31,AJ38&gt;=AK38),SUM(D38:AH38),"--")</f>
        <v>--</v>
      </c>
      <c r="AN38" s="643"/>
      <c r="AO38" s="643"/>
      <c r="AP38" s="643"/>
      <c r="AQ38" s="39"/>
      <c r="AR38" s="43"/>
      <c r="AS38" s="1469" t="str">
        <f>IF($A$31=FALSE,$AI$35,IF(C38="&lt;&gt;","xx",IF(AJ38&lt;AK38,$AI$35,ROUND(AM38/AL38,2))))</f>
        <v>xx</v>
      </c>
      <c r="AT38" s="1470"/>
      <c r="AU38" s="16"/>
      <c r="AX38" s="784" t="str">
        <f>E38</f>
        <v>xx</v>
      </c>
      <c r="AY38" s="784" t="str">
        <f>F38</f>
        <v>xx</v>
      </c>
      <c r="AZ38" s="784" t="str">
        <f>G38</f>
        <v>xx</v>
      </c>
      <c r="BA38" s="784" t="str">
        <f t="shared" ref="BA38" si="3">M38</f>
        <v>xx</v>
      </c>
      <c r="BB38" s="784" t="str">
        <f>N38</f>
        <v>xx</v>
      </c>
      <c r="BC38" s="784" t="str">
        <f>AE38</f>
        <v>xx</v>
      </c>
      <c r="BD38" s="784" t="str">
        <f>AF38</f>
        <v>xx</v>
      </c>
      <c r="BE38" s="784" t="str">
        <f>AG38</f>
        <v>xx</v>
      </c>
      <c r="BF38" s="15"/>
      <c r="BG38" s="16"/>
      <c r="BH38" s="16"/>
      <c r="BI38" s="51"/>
      <c r="BJ38" s="74"/>
    </row>
    <row r="39" spans="1:62" ht="15.75" thickBot="1">
      <c r="B39" s="48"/>
      <c r="C39" s="193"/>
      <c r="D39" s="185" t="s">
        <v>62</v>
      </c>
      <c r="E39" s="185"/>
      <c r="F39" s="176"/>
      <c r="G39" s="176"/>
      <c r="H39" s="630"/>
      <c r="I39" s="185" t="str">
        <f>PrSchr3</f>
        <v>Stage 3</v>
      </c>
      <c r="K39" s="176"/>
      <c r="L39" s="632"/>
      <c r="M39" s="632"/>
      <c r="N39" s="176"/>
      <c r="O39" s="16"/>
      <c r="P39" s="632"/>
      <c r="Q39" s="176"/>
      <c r="R39" s="176"/>
      <c r="S39" s="176"/>
      <c r="T39" s="632"/>
      <c r="U39" s="176"/>
      <c r="V39" s="632"/>
      <c r="W39" s="176"/>
      <c r="X39" s="176"/>
      <c r="Z39" s="176"/>
      <c r="AA39" s="176"/>
      <c r="AB39" s="632"/>
      <c r="AC39" s="176"/>
      <c r="AD39" s="176"/>
      <c r="AE39" s="176"/>
      <c r="AF39" s="176"/>
      <c r="AG39" s="176"/>
      <c r="AH39" s="632"/>
      <c r="AI39" s="176"/>
      <c r="AJ39" s="176"/>
      <c r="AK39" s="176"/>
      <c r="AL39" s="16"/>
      <c r="AM39" s="31"/>
      <c r="AN39" s="643"/>
      <c r="AO39" s="643"/>
      <c r="AP39" s="643"/>
      <c r="AQ39" s="31"/>
      <c r="AR39" s="40" t="s">
        <v>71</v>
      </c>
      <c r="AS39" s="495"/>
      <c r="AT39" s="495"/>
      <c r="AU39" s="495"/>
      <c r="AX39" s="672"/>
      <c r="AY39" s="672"/>
      <c r="AZ39" s="672"/>
      <c r="BA39" s="672"/>
      <c r="BB39" s="672"/>
      <c r="BC39" s="672"/>
      <c r="BD39" s="672"/>
      <c r="BE39" s="672"/>
      <c r="BF39" s="15"/>
      <c r="BG39" s="16"/>
      <c r="BH39" s="16"/>
      <c r="BI39" s="51"/>
      <c r="BJ39" s="74"/>
    </row>
    <row r="40" spans="1:62" ht="15.75" thickBot="1">
      <c r="A40" s="243" t="str">
        <f>IF(COUNT(D40:AH40)=0,"n.b.",IF(MIN(D40:H40,J40:O40,P40:R40,T40:X40,Z40:AC40,AE40:AH40)=0,"B","A"))</f>
        <v>n.b.</v>
      </c>
      <c r="B40" s="48"/>
      <c r="C40" s="194" t="str">
        <f>IF(AND('Evaluation-Bewertung'!$C$40="X",'Input Form - EingabeMaske'!F56="x"),"X","&lt;&gt;")</f>
        <v>&lt;&gt;</v>
      </c>
      <c r="D40" s="232" t="str">
        <f>IF($A$31=FALSE,$AI$35,IF($C40="X",IF(ISBLANK('Questions - Fragen'!$D74),"--",'Questions - Fragen'!$D74),"xx"))</f>
        <v>xx</v>
      </c>
      <c r="E40" s="232" t="str">
        <f>IF($A$31=FALSE,$AI$35,IF($C40="X",IF(ISBLANK('Questions - Fragen'!$D85),"--",'Questions - Fragen'!$D85),"xx"))</f>
        <v>xx</v>
      </c>
      <c r="F40" s="232" t="str">
        <f>IF($A$31=FALSE,$AI$35,IF($C40="X",IF(ISBLANK('Questions - Fragen'!$D96),"--",'Questions - Fragen'!$D96),"xx"))</f>
        <v>xx</v>
      </c>
      <c r="G40" s="232" t="str">
        <f>IF($A$31=FALSE,$AI$35,IF($C40="X",IF(ISBLANK('Questions - Fragen'!$D107),"--",'Questions - Fragen'!$D107),"xx"))</f>
        <v>xx</v>
      </c>
      <c r="H40" s="633" t="str">
        <f>IF($A$31=FALSE,$AI$35,IF($C40="X",IF(ISBLANK('Questions - Fragen'!$D118),"--",'Questions - Fragen'!$D118),"xx"))</f>
        <v>xx</v>
      </c>
      <c r="I40" s="226"/>
      <c r="J40" s="232" t="str">
        <f>IF($A$31=FALSE,$AI$35,IF($C40="X",IF(ISBLANK('Questions - Fragen'!$D130),"--",'Questions - Fragen'!$D130),"xx"))</f>
        <v>xx</v>
      </c>
      <c r="K40" s="232" t="str">
        <f>IF($A$31=FALSE,$AI$35,IF($C40="X",IF(ISBLANK('Questions - Fragen'!$D141),"--",'Questions - Fragen'!$D141),"xx"))</f>
        <v>xx</v>
      </c>
      <c r="L40" s="633" t="str">
        <f>IF($A$31=FALSE,$AI$35,IF($C40="X",IF(ISBLANK('Questions - Fragen'!$D152),"--",'Questions - Fragen'!$D152),"xx"))</f>
        <v>xx</v>
      </c>
      <c r="M40" s="633" t="str">
        <f>IF($A$31=FALSE,$AI$35,IF($C40="X",IF(ISBLANK('Questions - Fragen'!$D163),"--",'Questions - Fragen'!$D163),"xx"))</f>
        <v>xx</v>
      </c>
      <c r="N40" s="232" t="str">
        <f>IF($A$31=FALSE,$AI$35,IF($C40="X",IF(ISBLANK('Questions - Fragen'!$D174),"--",'Questions - Fragen'!$D174),"xx"))</f>
        <v>xx</v>
      </c>
      <c r="O40" s="16"/>
      <c r="P40" s="633" t="str">
        <f>IF($A$31=FALSE,$AI$35,IF($C40="X",IF(ISBLANK('Questions - Fragen'!$D186),"--",'Questions - Fragen'!$D186),"xx"))</f>
        <v>xx</v>
      </c>
      <c r="Q40" s="232" t="str">
        <f>IF($A$31=FALSE,$AI$35,IF($C40="X",IF(ISBLANK('Questions - Fragen'!$D197),"--",'Questions - Fragen'!$D197),"xx"))</f>
        <v>xx</v>
      </c>
      <c r="R40" s="232" t="str">
        <f>IF($A$31=FALSE,$AI$35,IF($C40="X",IF(ISBLANK('Questions - Fragen'!$D208),"--",'Questions - Fragen'!$D208),"xx"))</f>
        <v>xx</v>
      </c>
      <c r="S40" s="226"/>
      <c r="T40" s="633" t="str">
        <f>IF($A$31=FALSE,$AI$35,IF($C40="X",IF(ISBLANK('Questions - Fragen'!$D220),"--",'Questions - Fragen'!$D220),"xx"))</f>
        <v>xx</v>
      </c>
      <c r="U40" s="232" t="str">
        <f>IF($A$31=FALSE,$AI$35,IF($C40="X",IF(ISBLANK('Questions - Fragen'!$D231),"--",'Questions - Fragen'!$D231),"xx"))</f>
        <v>xx</v>
      </c>
      <c r="V40" s="633" t="str">
        <f>IF($A$31=FALSE,$AI$35,IF($C40="X",IF(ISBLANK('Questions - Fragen'!$D242),"--",'Questions - Fragen'!$D242),"xx"))</f>
        <v>xx</v>
      </c>
      <c r="W40" s="232" t="str">
        <f>IF($A$31=FALSE,$AI$35,IF($C40="X",IF(ISBLANK('Questions - Fragen'!$D253),"--",'Questions - Fragen'!$D253),"xx"))</f>
        <v>xx</v>
      </c>
      <c r="X40" s="232" t="str">
        <f>IF($A$31=FALSE,$AI$35,IF($C40="X",IF(ISBLANK('Questions - Fragen'!$D264),"--",'Questions - Fragen'!$D264),"xx"))</f>
        <v>xx</v>
      </c>
      <c r="Z40" s="232" t="str">
        <f>IF($A$31=FALSE,$AI$35,IF($C40="X",IF(ISBLANK('Questions - Fragen'!$D276),"--",'Questions - Fragen'!$D276),"xx"))</f>
        <v>xx</v>
      </c>
      <c r="AA40" s="232" t="str">
        <f>IF($A$31=FALSE,$AI$35,IF($C40="X",IF(ISBLANK('Questions - Fragen'!$D287),"--",'Questions - Fragen'!$D287),"xx"))</f>
        <v>xx</v>
      </c>
      <c r="AB40" s="633" t="str">
        <f>IF($A$31=FALSE,$AI$35,IF($C40="X",IF(ISBLANK('Questions - Fragen'!$D298),"--",'Questions - Fragen'!$D298),"xx"))</f>
        <v>xx</v>
      </c>
      <c r="AC40" s="232" t="str">
        <f>IF($A$31=FALSE,$AI$35,IF($C40="X",IF(ISBLANK('Questions - Fragen'!$D309),"--",'Questions - Fragen'!$D309),"xx"))</f>
        <v>xx</v>
      </c>
      <c r="AD40" s="226"/>
      <c r="AE40" s="232" t="str">
        <f>IF($A$31=FALSE,$AI$35,IF($C40="X",IF(ISBLANK('Questions - Fragen'!$D321),"--",'Questions - Fragen'!$D321),"xx"))</f>
        <v>xx</v>
      </c>
      <c r="AF40" s="232" t="str">
        <f>IF($A$31=FALSE,$AI$35,IF($C40="X",IF(ISBLANK('Questions - Fragen'!$D332),"--",'Questions - Fragen'!$D332),"xx"))</f>
        <v>xx</v>
      </c>
      <c r="AG40" s="232" t="str">
        <f>IF($A$31=FALSE,$AI$35,IF($C40="X",IF(ISBLANK('Questions - Fragen'!$D343),"--",'Questions - Fragen'!$D343),"xx"))</f>
        <v>xx</v>
      </c>
      <c r="AH40" s="633" t="str">
        <f>IF($A$31=FALSE,$AI$35,IF($C40="X",IF(ISBLANK('Questions - Fragen'!$D354),"--",'Questions - Fragen'!$D354),"xx"))</f>
        <v>xx</v>
      </c>
      <c r="AI40" s="753">
        <f t="shared" ref="AI40" si="4">COUNTIF(D40:AH40,"&gt;-")</f>
        <v>26</v>
      </c>
      <c r="AJ40" s="753">
        <f>COUNT(D40:AH40)</f>
        <v>0</v>
      </c>
      <c r="AK40" s="753">
        <v>17</v>
      </c>
      <c r="AL40" s="753" t="str">
        <f>IF(AND($A$31,AJ40&gt;=AK40),AJ40*10,"--")</f>
        <v>--</v>
      </c>
      <c r="AM40" s="753" t="str">
        <f>IF(AND($A$31,AJ40&gt;=AK40),SUM(D40:AH40),"--")</f>
        <v>--</v>
      </c>
      <c r="AN40" s="643"/>
      <c r="AO40" s="643"/>
      <c r="AP40" s="643"/>
      <c r="AQ40" s="39"/>
      <c r="AR40" s="43"/>
      <c r="AS40" s="1469" t="str">
        <f>IF($A$31=FALSE,$AI$35,IF(C40="&lt;&gt;","xx",IF(AJ40&lt;AK40,$AI$35,ROUND(AM40/AL40,2))))</f>
        <v>xx</v>
      </c>
      <c r="AT40" s="1470"/>
      <c r="AU40" s="16"/>
      <c r="AX40" s="784" t="str">
        <f>E40</f>
        <v>xx</v>
      </c>
      <c r="AY40" s="784" t="str">
        <f>F40</f>
        <v>xx</v>
      </c>
      <c r="AZ40" s="784" t="str">
        <f>G40</f>
        <v>xx</v>
      </c>
      <c r="BA40" s="784" t="str">
        <f t="shared" ref="BA40" si="5">M40</f>
        <v>xx</v>
      </c>
      <c r="BB40" s="784" t="str">
        <f>N40</f>
        <v>xx</v>
      </c>
      <c r="BC40" s="784" t="str">
        <f>AE40</f>
        <v>xx</v>
      </c>
      <c r="BD40" s="784" t="str">
        <f>AF40</f>
        <v>xx</v>
      </c>
      <c r="BE40" s="784" t="str">
        <f>AG40</f>
        <v>xx</v>
      </c>
      <c r="BF40" s="15"/>
      <c r="BG40" s="16"/>
      <c r="BH40" s="16"/>
      <c r="BI40" s="51"/>
      <c r="BJ40" s="74"/>
    </row>
    <row r="41" spans="1:62" ht="15">
      <c r="A41" s="242" t="s">
        <v>223</v>
      </c>
      <c r="B41" s="48"/>
      <c r="C41" s="196"/>
      <c r="D41" s="187"/>
      <c r="E41" s="187"/>
      <c r="F41" s="187"/>
      <c r="G41" s="187"/>
      <c r="H41" s="187"/>
      <c r="I41" s="187"/>
      <c r="J41" s="187"/>
      <c r="K41" s="187"/>
      <c r="L41" s="187"/>
      <c r="M41" s="187"/>
      <c r="N41" s="187"/>
      <c r="O41" s="16"/>
      <c r="P41" s="187"/>
      <c r="Q41" s="187"/>
      <c r="R41" s="187"/>
      <c r="S41" s="187"/>
      <c r="T41" s="187"/>
      <c r="U41" s="187"/>
      <c r="V41" s="187"/>
      <c r="W41" s="187"/>
      <c r="X41" s="187"/>
      <c r="Z41" s="187"/>
      <c r="AA41" s="187"/>
      <c r="AB41" s="187"/>
      <c r="AC41" s="187"/>
      <c r="AD41" s="187"/>
      <c r="AE41" s="187"/>
      <c r="AF41" s="187"/>
      <c r="AG41" s="187"/>
      <c r="AH41" s="187"/>
      <c r="AI41" s="187"/>
      <c r="AJ41" s="187"/>
      <c r="AK41" s="187"/>
      <c r="AL41" s="187"/>
      <c r="AM41" s="39"/>
      <c r="AN41" s="643"/>
      <c r="AO41" s="643"/>
      <c r="AP41" s="643"/>
      <c r="AQ41" s="39"/>
      <c r="AR41" s="39"/>
      <c r="AS41" s="39"/>
      <c r="AT41" s="39"/>
      <c r="AU41" s="39"/>
      <c r="AX41" s="783"/>
      <c r="AY41" s="783"/>
      <c r="AZ41" s="783"/>
      <c r="BA41" s="783"/>
      <c r="BB41" s="783"/>
      <c r="BC41" s="783"/>
      <c r="BD41" s="783"/>
      <c r="BE41" s="783"/>
      <c r="BF41" s="15"/>
      <c r="BG41" s="16"/>
      <c r="BH41" s="16"/>
      <c r="BI41" s="51"/>
      <c r="BJ41" s="16"/>
    </row>
    <row r="42" spans="1:62" ht="15">
      <c r="A42" s="243" t="str">
        <f>IF(COUNTIF(A36:A40,"n.b.")=10,"n.b.",IF(COUNTIF(A36:A40,"C")&gt;=1,"C",IF(COUNTIF(A36:A40,"B")&gt;=1,"B","A")))</f>
        <v>A</v>
      </c>
      <c r="B42" s="48"/>
      <c r="C42" s="36"/>
      <c r="D42" s="197" t="str">
        <f>'Evaluation-Bewertung'!D56</f>
        <v>Results of the sub elements for process analysis (Average Levels 1 - n)</v>
      </c>
      <c r="E42" s="31"/>
      <c r="F42" s="31"/>
      <c r="G42" s="31"/>
      <c r="H42" s="31"/>
      <c r="I42" s="31"/>
      <c r="J42" s="31"/>
      <c r="K42" s="31"/>
      <c r="L42" s="31"/>
      <c r="M42" s="31"/>
      <c r="N42" s="31"/>
      <c r="O42" s="16"/>
      <c r="P42" s="31"/>
      <c r="Q42" s="176"/>
      <c r="R42" s="31"/>
      <c r="S42" s="31"/>
      <c r="T42" s="31"/>
      <c r="U42" s="31"/>
      <c r="V42" s="31"/>
      <c r="W42" s="31"/>
      <c r="X42" s="31"/>
      <c r="Z42" s="31"/>
      <c r="AA42" s="31"/>
      <c r="AB42" s="176"/>
      <c r="AC42" s="31"/>
      <c r="AD42" s="31"/>
      <c r="AE42" s="31"/>
      <c r="AF42" s="31"/>
      <c r="AG42" s="31"/>
      <c r="AH42" s="31"/>
      <c r="AI42" s="31"/>
      <c r="AJ42" s="31"/>
      <c r="AK42" s="31"/>
      <c r="AL42" s="31"/>
      <c r="AM42" s="31"/>
      <c r="AN42" s="643"/>
      <c r="AO42" s="643"/>
      <c r="AP42" s="643"/>
      <c r="AQ42" s="31"/>
      <c r="AR42" s="31"/>
      <c r="AS42" s="31"/>
      <c r="AT42" s="198">
        <f>+COUNTIF(AS36:AT40,$AI$35)</f>
        <v>0</v>
      </c>
      <c r="AU42" s="198"/>
      <c r="AX42" s="198"/>
      <c r="AY42" s="198"/>
      <c r="AZ42" s="198"/>
      <c r="BA42" s="198"/>
      <c r="BB42" s="198"/>
      <c r="BC42" s="198"/>
      <c r="BD42" s="198"/>
      <c r="BE42" s="198"/>
      <c r="BF42" s="16"/>
      <c r="BG42" s="16"/>
      <c r="BH42" s="16"/>
      <c r="BI42" s="49"/>
      <c r="BJ42" s="34"/>
    </row>
    <row r="43" spans="1:62" ht="15" thickBot="1">
      <c r="B43" s="48"/>
      <c r="C43" s="33"/>
      <c r="D43" s="31"/>
      <c r="E43" s="31"/>
      <c r="F43" s="31"/>
      <c r="G43" s="31"/>
      <c r="H43" s="31"/>
      <c r="I43" s="31"/>
      <c r="J43" s="31"/>
      <c r="K43" s="31"/>
      <c r="L43" s="31"/>
      <c r="M43" s="31"/>
      <c r="N43" s="31"/>
      <c r="O43" s="16"/>
      <c r="P43" s="31"/>
      <c r="Q43" s="176"/>
      <c r="R43" s="31"/>
      <c r="S43" s="31"/>
      <c r="T43" s="31"/>
      <c r="U43" s="15"/>
      <c r="V43" s="15"/>
      <c r="W43" s="15"/>
      <c r="X43" s="15"/>
      <c r="Z43" s="15"/>
      <c r="AA43" s="15"/>
      <c r="AB43" s="179"/>
      <c r="AC43" s="15"/>
      <c r="AD43" s="15"/>
      <c r="AE43" s="15"/>
      <c r="AF43" s="15"/>
      <c r="AG43" s="15"/>
      <c r="AH43" s="15"/>
      <c r="AI43" s="15"/>
      <c r="AJ43" s="15"/>
      <c r="AK43" s="15"/>
      <c r="AL43" s="15"/>
      <c r="AM43" s="15"/>
      <c r="AN43" s="643"/>
      <c r="AO43" s="643"/>
      <c r="AP43" s="643"/>
      <c r="AQ43" s="15"/>
      <c r="AR43" s="15"/>
      <c r="AS43" s="15"/>
      <c r="AT43" s="15"/>
      <c r="AU43" s="15"/>
      <c r="AX43" s="15"/>
      <c r="AY43" s="15"/>
      <c r="AZ43" s="15"/>
      <c r="BA43" s="15"/>
      <c r="BB43" s="15"/>
      <c r="BC43" s="15"/>
      <c r="BD43" s="15"/>
      <c r="BE43" s="15"/>
      <c r="BF43" s="16"/>
      <c r="BG43" s="16"/>
      <c r="BH43" s="16"/>
      <c r="BI43" s="51"/>
      <c r="BJ43" s="16"/>
    </row>
    <row r="44" spans="1:62" ht="15" thickBot="1">
      <c r="B44" s="48"/>
      <c r="C44" s="30"/>
      <c r="D44" s="755" t="str">
        <f>D34</f>
        <v>6.1.1</v>
      </c>
      <c r="E44" s="756" t="str">
        <f>E34</f>
        <v>6.1.2</v>
      </c>
      <c r="F44" s="757" t="str">
        <f>F34</f>
        <v>6.1.3</v>
      </c>
      <c r="G44" s="757" t="str">
        <f>G34</f>
        <v>6.1.4</v>
      </c>
      <c r="H44" s="758" t="str">
        <f>H34</f>
        <v>6.1.5*</v>
      </c>
      <c r="I44" s="341"/>
      <c r="J44" s="755" t="str">
        <f>J34</f>
        <v>6.2.1</v>
      </c>
      <c r="K44" s="756" t="str">
        <f>K34</f>
        <v>6.2.2</v>
      </c>
      <c r="L44" s="764" t="str">
        <f>L34</f>
        <v>6.2.3*</v>
      </c>
      <c r="M44" s="764" t="str">
        <f>M34</f>
        <v>6.2.4*</v>
      </c>
      <c r="N44" s="765" t="str">
        <f>N34</f>
        <v>6.2.5</v>
      </c>
      <c r="O44" s="961"/>
      <c r="P44" s="757" t="str">
        <f>P34</f>
        <v>6.3.1*</v>
      </c>
      <c r="Q44" s="757" t="str">
        <f>Q34</f>
        <v>6.3.2</v>
      </c>
      <c r="R44" s="765" t="str">
        <f>R34</f>
        <v>6.3.3</v>
      </c>
      <c r="S44" s="340"/>
      <c r="T44" s="771" t="str">
        <f>T34</f>
        <v>6.4.1*</v>
      </c>
      <c r="U44" s="757" t="str">
        <f>U34</f>
        <v>6.4.2</v>
      </c>
      <c r="V44" s="764" t="str">
        <f>V34</f>
        <v>6.4.3*</v>
      </c>
      <c r="W44" s="757" t="str">
        <f>W34</f>
        <v>6.4.4</v>
      </c>
      <c r="X44" s="765" t="str">
        <f>X34</f>
        <v>6.4.5</v>
      </c>
      <c r="Z44" s="755" t="str">
        <f>Z34</f>
        <v>6.5.1</v>
      </c>
      <c r="AA44" s="757" t="str">
        <f>AA34</f>
        <v>6.5.2</v>
      </c>
      <c r="AB44" s="764" t="str">
        <f>AB34</f>
        <v>6.5.3*</v>
      </c>
      <c r="AC44" s="765" t="str">
        <f>AC34</f>
        <v>6.5.4</v>
      </c>
      <c r="AD44" s="341"/>
      <c r="AE44" s="755" t="str">
        <f>AE34</f>
        <v>6.6.1</v>
      </c>
      <c r="AF44" s="757" t="str">
        <f>AF34</f>
        <v>6.6.2</v>
      </c>
      <c r="AG44" s="757" t="str">
        <f>AG34</f>
        <v>6.6.3</v>
      </c>
      <c r="AH44" s="758" t="str">
        <f>AH34</f>
        <v>6.6.4*</v>
      </c>
      <c r="AI44" s="643" t="str">
        <f>'Evaluation-Bewertung'!AI58</f>
        <v>n.e.</v>
      </c>
      <c r="AJ44" s="643" t="str">
        <f>'Evaluation-Bewertung'!AJ58</f>
        <v>Act.</v>
      </c>
      <c r="AK44" s="643" t="str">
        <f>'Evaluation-Bewertung'!AK58</f>
        <v>Target</v>
      </c>
      <c r="AL44" s="643" t="str">
        <f>'Evaluation-Bewertung'!AL58</f>
        <v>Max.</v>
      </c>
      <c r="AM44" s="643" t="str">
        <f>'Evaluation-Bewertung'!AM58</f>
        <v>Act.</v>
      </c>
      <c r="AN44" s="643"/>
      <c r="AO44" s="643"/>
      <c r="AP44" s="643"/>
      <c r="AQ44" s="30"/>
      <c r="AR44" s="15"/>
      <c r="AS44" s="15"/>
      <c r="AT44" s="15"/>
      <c r="AU44" s="15"/>
      <c r="AX44" s="774" t="str">
        <f t="shared" ref="AX44:BE44" si="6">AX34</f>
        <v>6.1.2</v>
      </c>
      <c r="AY44" s="775" t="str">
        <f t="shared" si="6"/>
        <v>6.1.3</v>
      </c>
      <c r="AZ44" s="775" t="str">
        <f t="shared" si="6"/>
        <v>6.1.4</v>
      </c>
      <c r="BA44" s="775" t="str">
        <f t="shared" si="6"/>
        <v>6.2.4</v>
      </c>
      <c r="BB44" s="775" t="str">
        <f t="shared" si="6"/>
        <v>6.2.5</v>
      </c>
      <c r="BC44" s="775" t="str">
        <f t="shared" si="6"/>
        <v>6.6.1</v>
      </c>
      <c r="BD44" s="775" t="str">
        <f t="shared" si="6"/>
        <v>6.6.2</v>
      </c>
      <c r="BE44" s="776" t="str">
        <f t="shared" si="6"/>
        <v>6.6.3</v>
      </c>
      <c r="BF44" s="16"/>
      <c r="BG44" s="16"/>
      <c r="BH44" s="16"/>
      <c r="BI44" s="51"/>
      <c r="BJ44" s="16"/>
    </row>
    <row r="45" spans="1:62" ht="15.75" thickBot="1">
      <c r="B45" s="48"/>
      <c r="C45" s="36"/>
      <c r="D45" s="677" t="str">
        <f>IF(ISERROR(AVERAGE(D36:D40)),$AI$35,ROUND(AVERAGE(D36:D40),2))</f>
        <v>n.e.</v>
      </c>
      <c r="E45" s="653" t="str">
        <f t="shared" ref="E45:H45" si="7">IF(ISERROR(AVERAGE(E36:E40)),$AI$35,ROUND(AVERAGE(E36:E40),2))</f>
        <v>n.e.</v>
      </c>
      <c r="F45" s="653" t="str">
        <f t="shared" si="7"/>
        <v>n.e.</v>
      </c>
      <c r="G45" s="653" t="str">
        <f t="shared" si="7"/>
        <v>n.e.</v>
      </c>
      <c r="H45" s="678" t="str">
        <f t="shared" si="7"/>
        <v>n.e.</v>
      </c>
      <c r="I45" s="227"/>
      <c r="J45" s="677" t="str">
        <f t="shared" ref="J45:N45" si="8">IF(ISERROR(AVERAGE(J36:J40)),$AI$35,ROUND(AVERAGE(J36:J40),2))</f>
        <v>n.e.</v>
      </c>
      <c r="K45" s="723" t="str">
        <f t="shared" si="8"/>
        <v>n.e.</v>
      </c>
      <c r="L45" s="679" t="str">
        <f t="shared" si="8"/>
        <v>n.e.</v>
      </c>
      <c r="M45" s="679" t="str">
        <f t="shared" si="8"/>
        <v>n.e.</v>
      </c>
      <c r="N45" s="680" t="str">
        <f t="shared" si="8"/>
        <v>n.e.</v>
      </c>
      <c r="O45" s="962"/>
      <c r="P45" s="681" t="str">
        <f t="shared" ref="P45:R45" si="9">IF(ISERROR(AVERAGE(P36:P40)),$AI$35,ROUND(AVERAGE(P36:P40),2))</f>
        <v>n.e.</v>
      </c>
      <c r="Q45" s="723" t="str">
        <f t="shared" si="9"/>
        <v>n.e.</v>
      </c>
      <c r="R45" s="680" t="str">
        <f t="shared" si="9"/>
        <v>n.e.</v>
      </c>
      <c r="S45" s="228"/>
      <c r="T45" s="681" t="str">
        <f t="shared" ref="T45:X45" si="10">IF(ISERROR(AVERAGE(T36:T40)),$AI$35,ROUND(AVERAGE(T36:T40),2))</f>
        <v>n.e.</v>
      </c>
      <c r="U45" s="653" t="str">
        <f t="shared" si="10"/>
        <v>n.e.</v>
      </c>
      <c r="V45" s="679" t="str">
        <f t="shared" si="10"/>
        <v>n.e.</v>
      </c>
      <c r="W45" s="653" t="str">
        <f t="shared" si="10"/>
        <v>n.e.</v>
      </c>
      <c r="X45" s="680" t="str">
        <f t="shared" si="10"/>
        <v>n.e.</v>
      </c>
      <c r="Z45" s="677" t="str">
        <f t="shared" ref="Z45:AC45" si="11">IF(ISERROR(AVERAGE(Z36:Z40)),$AI$35,ROUND(AVERAGE(Z36:Z40),2))</f>
        <v>n.e.</v>
      </c>
      <c r="AA45" s="653" t="str">
        <f t="shared" si="11"/>
        <v>n.e.</v>
      </c>
      <c r="AB45" s="679" t="str">
        <f t="shared" si="11"/>
        <v>n.e.</v>
      </c>
      <c r="AC45" s="680" t="str">
        <f t="shared" si="11"/>
        <v>n.e.</v>
      </c>
      <c r="AD45" s="228"/>
      <c r="AE45" s="677" t="str">
        <f t="shared" ref="AE45:AH45" si="12">IF(ISERROR(AVERAGE(AE36:AE40)),$AI$35,ROUND(AVERAGE(AE36:AE40),2))</f>
        <v>n.e.</v>
      </c>
      <c r="AF45" s="653" t="str">
        <f t="shared" si="12"/>
        <v>n.e.</v>
      </c>
      <c r="AG45" s="653" t="str">
        <f t="shared" si="12"/>
        <v>n.e.</v>
      </c>
      <c r="AH45" s="678" t="str">
        <f t="shared" si="12"/>
        <v>n.e.</v>
      </c>
      <c r="AI45" s="753">
        <f>SUM(AI36:AI40)</f>
        <v>78</v>
      </c>
      <c r="AJ45" s="753">
        <f>SUM(AJ36:AJ40)</f>
        <v>0</v>
      </c>
      <c r="AK45" s="753">
        <f>SUM(F47,L47,P47,V47,AA47,AF47)</f>
        <v>0</v>
      </c>
      <c r="AL45" s="753">
        <f>COUNT(D45:AH45)*10</f>
        <v>0</v>
      </c>
      <c r="AM45" s="753">
        <f>SUM(D45:AH45)</f>
        <v>0</v>
      </c>
      <c r="AN45" s="643"/>
      <c r="AO45" s="643"/>
      <c r="AP45" s="643"/>
      <c r="AQ45" s="200"/>
      <c r="AR45" s="722" t="s">
        <v>303</v>
      </c>
      <c r="AS45" s="1469" t="e">
        <f>IF(COUNTIF(AS36:AT40,$AI$35)&gt;0,$AI$35,ROUND(AM45/AL45,2))</f>
        <v>#DIV/0!</v>
      </c>
      <c r="AT45" s="1470"/>
      <c r="AU45" s="16"/>
      <c r="AX45" s="725" t="str">
        <f>IF(ISERROR(AVERAGE(AX36:AX40)),$AI$35,ROUND(AVERAGE(AX36:AX40),2))</f>
        <v>n.e.</v>
      </c>
      <c r="AY45" s="680" t="str">
        <f t="shared" ref="AY45:BE45" si="13">IF(ISERROR(AVERAGE(AY36:AY40)),$AI$35,ROUND(AVERAGE(AY36:AY40),2))</f>
        <v>n.e.</v>
      </c>
      <c r="AZ45" s="680" t="str">
        <f t="shared" si="13"/>
        <v>n.e.</v>
      </c>
      <c r="BA45" s="680" t="str">
        <f t="shared" si="13"/>
        <v>n.e.</v>
      </c>
      <c r="BB45" s="680" t="str">
        <f t="shared" si="13"/>
        <v>n.e.</v>
      </c>
      <c r="BC45" s="680" t="str">
        <f t="shared" si="13"/>
        <v>n.e.</v>
      </c>
      <c r="BD45" s="680" t="str">
        <f t="shared" si="13"/>
        <v>n.e.</v>
      </c>
      <c r="BE45" s="680" t="str">
        <f t="shared" si="13"/>
        <v>n.e.</v>
      </c>
      <c r="BF45" s="16"/>
      <c r="BG45" s="16"/>
      <c r="BH45" s="16"/>
      <c r="BI45" s="51"/>
      <c r="BJ45" s="16"/>
    </row>
    <row r="46" spans="1:62">
      <c r="B46" s="48"/>
      <c r="C46" s="31"/>
      <c r="D46" s="48"/>
      <c r="E46" s="751" t="str">
        <f>$L$7</f>
        <v>Act.</v>
      </c>
      <c r="F46" s="751" t="str">
        <f>$M$7</f>
        <v>Target</v>
      </c>
      <c r="G46" s="751" t="s">
        <v>260</v>
      </c>
      <c r="H46" s="759" t="s">
        <v>202</v>
      </c>
      <c r="J46" s="766"/>
      <c r="K46" s="751" t="str">
        <f>$L$7</f>
        <v>Act.</v>
      </c>
      <c r="L46" s="751" t="str">
        <f>$M$7</f>
        <v>Target</v>
      </c>
      <c r="M46" s="751" t="s">
        <v>260</v>
      </c>
      <c r="N46" s="759" t="s">
        <v>202</v>
      </c>
      <c r="O46" s="768" t="str">
        <f>$L$7</f>
        <v>Act.</v>
      </c>
      <c r="P46" s="751" t="str">
        <f>$M$7</f>
        <v>Target</v>
      </c>
      <c r="Q46" s="751" t="s">
        <v>260</v>
      </c>
      <c r="R46" s="759" t="s">
        <v>202</v>
      </c>
      <c r="T46" s="766"/>
      <c r="U46" s="751" t="str">
        <f>$L$7</f>
        <v>Act.</v>
      </c>
      <c r="V46" s="751" t="str">
        <f>$M$7</f>
        <v>Target</v>
      </c>
      <c r="W46" s="751" t="s">
        <v>260</v>
      </c>
      <c r="X46" s="759" t="s">
        <v>202</v>
      </c>
      <c r="Y46" s="31"/>
      <c r="Z46" s="768" t="str">
        <f>$L$7</f>
        <v>Act.</v>
      </c>
      <c r="AA46" s="751" t="str">
        <f>$M$7</f>
        <v>Target</v>
      </c>
      <c r="AB46" s="751" t="s">
        <v>260</v>
      </c>
      <c r="AC46" s="759" t="s">
        <v>202</v>
      </c>
      <c r="AD46" s="31"/>
      <c r="AE46" s="768" t="str">
        <f>$L$7</f>
        <v>Act.</v>
      </c>
      <c r="AF46" s="751" t="str">
        <f>$M$7</f>
        <v>Target</v>
      </c>
      <c r="AG46" s="751" t="s">
        <v>260</v>
      </c>
      <c r="AH46" s="759" t="s">
        <v>202</v>
      </c>
      <c r="AI46" s="31"/>
      <c r="AJ46" s="31"/>
      <c r="AK46" s="31"/>
      <c r="AL46" s="31"/>
      <c r="AM46" s="495"/>
      <c r="AN46" s="643"/>
      <c r="AO46" s="643"/>
      <c r="AP46" s="643"/>
      <c r="AQ46" s="495"/>
      <c r="AR46" s="495"/>
      <c r="AS46" s="495"/>
      <c r="AT46" s="495"/>
      <c r="AU46" s="495"/>
      <c r="AX46" s="777"/>
      <c r="AY46" s="495"/>
      <c r="AZ46" s="495"/>
      <c r="BA46" s="495"/>
      <c r="BB46" s="495"/>
      <c r="BC46" s="495"/>
      <c r="BD46" s="495"/>
      <c r="BE46" s="52"/>
      <c r="BF46" s="16"/>
      <c r="BG46" s="16"/>
      <c r="BH46" s="16"/>
      <c r="BI46" s="52"/>
      <c r="BJ46" s="495"/>
    </row>
    <row r="47" spans="1:62" ht="15.75" thickBot="1">
      <c r="B47" s="48"/>
      <c r="C47" s="38"/>
      <c r="D47" s="48"/>
      <c r="E47" s="754">
        <f>COUNT(D36:H40)</f>
        <v>0</v>
      </c>
      <c r="F47" s="754">
        <f>ROUNDUP(COUNTIF($C$36:$C$40,"X")*5/3*2,0)</f>
        <v>0</v>
      </c>
      <c r="G47" s="754">
        <f>IF(AND($A31,E47&gt;=F47),E47*10,"--")</f>
        <v>0</v>
      </c>
      <c r="H47" s="760">
        <f>IF(AND($A31,E47&gt;=F47),SUM(D36:H40),"--")</f>
        <v>0</v>
      </c>
      <c r="J47" s="48"/>
      <c r="K47" s="754">
        <f>COUNT(J36:N40)</f>
        <v>0</v>
      </c>
      <c r="L47" s="754">
        <f>ROUNDUP(COUNTIF($C$36:$C$40,"X")*5/3*2,0)</f>
        <v>0</v>
      </c>
      <c r="M47" s="754">
        <f>IF(AND($A31,K47&gt;=L47),K47*10,"--")</f>
        <v>0</v>
      </c>
      <c r="N47" s="760">
        <f>IF(AND($A31,K47&gt;=L47),SUM(J36:N40),"--")</f>
        <v>0</v>
      </c>
      <c r="O47" s="782">
        <f>COUNT(P36:R40)</f>
        <v>0</v>
      </c>
      <c r="P47" s="754">
        <f>ROUNDUP(COUNTIF($C$36:$C$40,"X")*3/3*2,0)</f>
        <v>0</v>
      </c>
      <c r="Q47" s="754">
        <f>IF(AND($A31,O47&gt;=P47),O47*10,"--")</f>
        <v>0</v>
      </c>
      <c r="R47" s="760">
        <f>IF(AND($A31,O47&gt;=P47),SUM(P36:R40),"--")</f>
        <v>0</v>
      </c>
      <c r="T47" s="48"/>
      <c r="U47" s="754">
        <f>COUNT(T36:X40)</f>
        <v>0</v>
      </c>
      <c r="V47" s="754">
        <f>ROUNDUP(COUNTIF($C$36:$C$40,"X")*5/3*2,0)</f>
        <v>0</v>
      </c>
      <c r="W47" s="754">
        <f>IF(AND($A31,U47&gt;=V47),U47*10,"--")</f>
        <v>0</v>
      </c>
      <c r="X47" s="760">
        <f>IF(AND($A31,U47&gt;=V47),SUM(T36:X40),"--")</f>
        <v>0</v>
      </c>
      <c r="Y47" s="38"/>
      <c r="Z47" s="782">
        <f>COUNT(Z36:AC40)</f>
        <v>0</v>
      </c>
      <c r="AA47" s="754">
        <f>ROUNDUP(COUNTIF($C$36:$C$40,"X")*4/3*2,0)</f>
        <v>0</v>
      </c>
      <c r="AB47" s="754">
        <f>IF(AND($A31,Z47&gt;=AA47),Z47*10,"--")</f>
        <v>0</v>
      </c>
      <c r="AC47" s="760">
        <f>IF(AND($A31,Z47&gt;=AA47),SUM(Z36:AC40),"--")</f>
        <v>0</v>
      </c>
      <c r="AD47" s="43"/>
      <c r="AE47" s="782">
        <f>COUNT(AE36:AH40)</f>
        <v>0</v>
      </c>
      <c r="AF47" s="754">
        <f>ROUNDUP(COUNTIF($C$36:$C$40,"X")*4/3*2,0)</f>
        <v>0</v>
      </c>
      <c r="AG47" s="754">
        <f>IF(AND($A31,AE47&gt;=AF47),AE47*10,"--")</f>
        <v>0</v>
      </c>
      <c r="AH47" s="760">
        <f>IF(AND($A31,AE47&gt;=AF47),SUM(AE36:AH40),"--")</f>
        <v>0</v>
      </c>
      <c r="AR47" s="38"/>
      <c r="AS47" s="202"/>
      <c r="AT47" s="331"/>
      <c r="AX47" s="768" t="str">
        <f>$K$7</f>
        <v>n.e.</v>
      </c>
      <c r="AY47" s="751" t="str">
        <f>$L$7</f>
        <v>Act.</v>
      </c>
      <c r="AZ47" s="751" t="str">
        <f>$M$7</f>
        <v>Target</v>
      </c>
      <c r="BA47" s="751" t="str">
        <f>$N$7</f>
        <v>Max.</v>
      </c>
      <c r="BB47" s="751" t="str">
        <f>$O$7</f>
        <v>Act.</v>
      </c>
      <c r="BC47" s="202"/>
      <c r="BD47" s="202"/>
      <c r="BE47" s="778"/>
      <c r="BF47" s="16"/>
      <c r="BG47" s="16"/>
      <c r="BH47" s="16"/>
      <c r="BI47" s="54"/>
    </row>
    <row r="48" spans="1:62" ht="15.75" thickBot="1">
      <c r="B48" s="48"/>
      <c r="C48" s="43"/>
      <c r="D48" s="761"/>
      <c r="E48" s="762"/>
      <c r="F48" s="763" t="s">
        <v>56</v>
      </c>
      <c r="G48" s="1471" t="str">
        <f>IF(OR($A$31=FALSE,F47&gt;E47),$AI$35,IFERROR(ROUND(H47/G47,2),$AI$35))</f>
        <v>n.e.</v>
      </c>
      <c r="H48" s="1472"/>
      <c r="I48" s="16"/>
      <c r="J48" s="761"/>
      <c r="K48" s="762"/>
      <c r="L48" s="767" t="s">
        <v>55</v>
      </c>
      <c r="M48" s="1471" t="str">
        <f>IF(OR($A$31=FALSE,L47&gt;K47),$AI$35,IFERROR(ROUND(N47/M47,2),$AI$35))</f>
        <v>n.e.</v>
      </c>
      <c r="N48" s="1472"/>
      <c r="O48" s="963"/>
      <c r="P48" s="770" t="s">
        <v>54</v>
      </c>
      <c r="Q48" s="1471" t="str">
        <f>IF(OR($A$31=FALSE,P47&gt;O47),$AI$35,IFERROR(ROUND(R47/Q47,2),$AI$35))</f>
        <v>n.e.</v>
      </c>
      <c r="R48" s="1472"/>
      <c r="S48" s="16"/>
      <c r="T48" s="772"/>
      <c r="U48" s="773"/>
      <c r="V48" s="770" t="s">
        <v>53</v>
      </c>
      <c r="W48" s="1471" t="str">
        <f>IF(OR($A$31=FALSE,V47&gt;U47),$AI$35,IFERROR(ROUND(X47/W47,2),$AI$35))</f>
        <v>n.e.</v>
      </c>
      <c r="X48" s="1472"/>
      <c r="Y48" s="16"/>
      <c r="Z48" s="761"/>
      <c r="AA48" s="763" t="s">
        <v>52</v>
      </c>
      <c r="AB48" s="1471" t="str">
        <f>IF(OR($A$31=FALSE,AA47&gt;Z47),$AI$35,IFERROR(ROUND(AC47/AB47,2),$AI$35))</f>
        <v>n.e.</v>
      </c>
      <c r="AC48" s="1472"/>
      <c r="AD48" s="16"/>
      <c r="AE48" s="761"/>
      <c r="AF48" s="767" t="s">
        <v>51</v>
      </c>
      <c r="AG48" s="1471" t="str">
        <f>IF(OR($A$31=FALSE,AF47&gt;AE47),$AI$35,IFERROR(ROUND(AH47/AG47,2),$AI$35))</f>
        <v>n.e.</v>
      </c>
      <c r="AH48" s="1472"/>
      <c r="AI48" s="16"/>
      <c r="AJ48" s="38"/>
      <c r="AK48" s="38"/>
      <c r="AL48" s="38"/>
      <c r="AM48" s="184"/>
      <c r="AN48" s="184"/>
      <c r="AO48" s="184"/>
      <c r="AP48" s="184"/>
      <c r="AQ48" s="184"/>
      <c r="AR48" s="38"/>
      <c r="AS48" s="202"/>
      <c r="AT48" s="332"/>
      <c r="AU48" s="202"/>
      <c r="AX48" s="779">
        <f>COUNTIF(AX45:BE45,"&gt;-")</f>
        <v>8</v>
      </c>
      <c r="AY48" s="780">
        <f>COUNT(AX36:BE40)</f>
        <v>0</v>
      </c>
      <c r="AZ48" s="780">
        <f>ROUNDUP(COUNTIF($C$36:$C$40,"X")*8/3*2,0)</f>
        <v>0</v>
      </c>
      <c r="BA48" s="780">
        <f>IF(AND($B48,AY48&gt;=AZ48),COUNTIF(AX45:BE45,"&lt;&gt;"&amp;AX47)*10,"--")</f>
        <v>0</v>
      </c>
      <c r="BB48" s="780">
        <f>IF(AND($B48,AY48&gt;=AZ48),SUM(AX45:BE45),"--")</f>
        <v>0</v>
      </c>
      <c r="BC48" s="781" t="s">
        <v>50</v>
      </c>
      <c r="BD48" s="1515" t="e">
        <f>IF(A31=FALSE,AX47,IF(AY48&gt;=AZ48,ROUND(BB48/BA48,2),$AI$35))</f>
        <v>#DIV/0!</v>
      </c>
      <c r="BE48" s="1516"/>
      <c r="BF48" s="16"/>
      <c r="BG48" s="16"/>
      <c r="BH48" s="16"/>
      <c r="BI48" s="54"/>
    </row>
    <row r="49" spans="1:62" ht="15">
      <c r="B49" s="48"/>
      <c r="C49" s="43"/>
      <c r="D49" s="201"/>
      <c r="E49" s="43"/>
      <c r="F49" s="38"/>
      <c r="G49" s="184"/>
      <c r="H49" s="184"/>
      <c r="I49" s="15"/>
      <c r="J49" s="201"/>
      <c r="K49" s="43"/>
      <c r="L49" s="38"/>
      <c r="M49" s="43"/>
      <c r="N49" s="184"/>
      <c r="O49" s="184"/>
      <c r="P49" s="15"/>
      <c r="Q49" s="201"/>
      <c r="R49" s="43"/>
      <c r="S49" s="43"/>
      <c r="T49" s="184"/>
      <c r="U49" s="184"/>
      <c r="V49" s="201"/>
      <c r="W49" s="38"/>
      <c r="X49" s="184"/>
      <c r="Y49" s="184"/>
      <c r="Z49" s="201"/>
      <c r="AA49" s="38"/>
      <c r="AB49" s="38"/>
      <c r="AC49" s="184"/>
      <c r="AD49" s="184"/>
      <c r="AE49" s="201"/>
      <c r="AF49" s="43"/>
      <c r="AG49" s="43"/>
      <c r="AH49" s="43"/>
      <c r="AI49" s="38"/>
      <c r="AJ49" s="38"/>
      <c r="AK49" s="38"/>
      <c r="AL49" s="38"/>
      <c r="AM49" s="184"/>
      <c r="AN49" s="184"/>
      <c r="AO49" s="184"/>
      <c r="AP49" s="184"/>
      <c r="AQ49" s="184"/>
      <c r="AR49" s="38"/>
      <c r="AS49" s="202"/>
      <c r="AT49" s="201"/>
      <c r="AU49" s="202"/>
      <c r="AW49" s="202"/>
      <c r="AX49" s="202"/>
      <c r="AY49" s="202"/>
      <c r="AZ49" s="202"/>
      <c r="BA49" s="202"/>
      <c r="BB49" s="202"/>
      <c r="BE49" s="203"/>
      <c r="BF49" s="16"/>
      <c r="BG49" s="16"/>
      <c r="BH49" s="16"/>
      <c r="BI49" s="54"/>
    </row>
    <row r="50" spans="1:62" ht="15">
      <c r="B50" s="48"/>
      <c r="C50" s="33"/>
      <c r="D50" s="31"/>
      <c r="E50" s="31"/>
      <c r="F50" s="31"/>
      <c r="G50" s="31"/>
      <c r="H50" s="31"/>
      <c r="I50" s="31"/>
      <c r="J50" s="31"/>
      <c r="K50" s="31"/>
      <c r="L50" s="31"/>
      <c r="M50" s="31"/>
      <c r="N50" s="31"/>
      <c r="O50" s="36"/>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16"/>
      <c r="BF50" s="16"/>
      <c r="BG50" s="16"/>
      <c r="BH50" s="16"/>
      <c r="BI50" s="49"/>
      <c r="BJ50" s="34"/>
    </row>
    <row r="51" spans="1:62" ht="15" thickBot="1">
      <c r="A51" s="244" t="s">
        <v>224</v>
      </c>
      <c r="B51" s="48"/>
      <c r="C51" s="31"/>
      <c r="D51" s="31"/>
      <c r="E51" s="31"/>
      <c r="F51" s="31"/>
      <c r="G51" s="235"/>
      <c r="H51" s="31"/>
      <c r="I51" s="31"/>
      <c r="J51" s="31"/>
      <c r="K51" s="31"/>
      <c r="L51" s="31"/>
      <c r="M51" s="31"/>
      <c r="N51" s="235"/>
      <c r="O51" s="31"/>
      <c r="P51" s="31"/>
      <c r="Q51" s="31"/>
      <c r="R51" s="235"/>
      <c r="S51" s="15"/>
      <c r="T51" s="15"/>
      <c r="U51" s="390" t="s">
        <v>127</v>
      </c>
      <c r="V51" s="390" t="s">
        <v>128</v>
      </c>
      <c r="W51" s="628" t="s">
        <v>205</v>
      </c>
      <c r="X51" s="628" t="s">
        <v>215</v>
      </c>
      <c r="Y51" s="390" t="s">
        <v>131</v>
      </c>
      <c r="Z51" s="643" t="str">
        <f>'Evaluation-Bewertung'!Z65</f>
        <v>n.e.</v>
      </c>
      <c r="AA51" s="643" t="str">
        <f>'Evaluation-Bewertung'!AA65</f>
        <v>Act.</v>
      </c>
      <c r="AB51" s="643" t="str">
        <f>'Evaluation-Bewertung'!AB65</f>
        <v>Target</v>
      </c>
      <c r="AC51" s="643" t="str">
        <f>'Evaluation-Bewertung'!AC65</f>
        <v>Max.</v>
      </c>
      <c r="AD51" s="643" t="str">
        <f>'Evaluation-Bewertung'!AD65</f>
        <v>Act.</v>
      </c>
      <c r="AE51" s="38"/>
      <c r="AF51" s="38"/>
      <c r="AG51" s="38"/>
      <c r="AH51" s="38"/>
      <c r="AI51" s="38"/>
      <c r="AJ51" s="38"/>
      <c r="AK51" s="38"/>
      <c r="AL51" s="38"/>
      <c r="AM51" s="38"/>
      <c r="AN51" s="38"/>
      <c r="AO51" s="38"/>
      <c r="AP51" s="38"/>
      <c r="AQ51" s="495"/>
      <c r="AR51" s="495"/>
      <c r="AS51" s="495"/>
      <c r="AT51" s="495"/>
      <c r="AU51" s="495"/>
      <c r="AV51" s="495"/>
      <c r="AW51" s="495"/>
      <c r="AX51" s="495"/>
      <c r="AY51" s="495"/>
      <c r="AZ51" s="495"/>
      <c r="BA51" s="495"/>
      <c r="BB51" s="495"/>
      <c r="BC51" s="495"/>
      <c r="BD51" s="495"/>
      <c r="BE51" s="16"/>
      <c r="BF51" s="16"/>
      <c r="BG51" s="16"/>
      <c r="BH51" s="16"/>
      <c r="BI51" s="52"/>
      <c r="BJ51" s="495"/>
    </row>
    <row r="52" spans="1:62" ht="16.5" thickBot="1">
      <c r="A52" s="243" t="str">
        <f>IF(COUNT(U52:Y52)=0,Z51,IF(MIN(U52:Y52)=0,"B","A"))</f>
        <v>n.e.</v>
      </c>
      <c r="B52" s="48"/>
      <c r="C52" s="71" t="s">
        <v>101</v>
      </c>
      <c r="D52" s="72" t="str">
        <f>'Questions - Fragen'!C362</f>
        <v>Customer care / customer satisfaction / service</v>
      </c>
      <c r="E52" s="31"/>
      <c r="F52" s="31"/>
      <c r="G52" s="31"/>
      <c r="H52" s="31"/>
      <c r="I52" s="31"/>
      <c r="J52" s="31"/>
      <c r="K52" s="31"/>
      <c r="L52" s="31"/>
      <c r="M52" s="31"/>
      <c r="N52" s="31"/>
      <c r="O52" s="36"/>
      <c r="P52" s="31"/>
      <c r="Q52" s="31"/>
      <c r="R52" s="31"/>
      <c r="S52" s="15"/>
      <c r="T52" s="15"/>
      <c r="U52" s="232" t="str">
        <f>IF($A$53=FALSE,$Z$51,IF(ISBLANK('Questions - Fragen'!D$363),"--",'Questions - Fragen'!D$363))</f>
        <v>n.e.</v>
      </c>
      <c r="V52" s="232" t="str">
        <f>IF($A$53=FALSE,$Z$51,IF(ISBLANK('Questions - Fragen'!D$364),"--",'Questions - Fragen'!D$364))</f>
        <v>n.e.</v>
      </c>
      <c r="W52" s="633" t="str">
        <f>IF($A$53=FALSE,$Z$51,IF(ISBLANK('Questions - Fragen'!D$365),"--",'Questions - Fragen'!D$365))</f>
        <v>n.e.</v>
      </c>
      <c r="X52" s="633" t="str">
        <f>IF($A$53=FALSE,$Z$51,IF(ISBLANK('Questions - Fragen'!D$366),"--",'Questions - Fragen'!D$366))</f>
        <v>n.e.</v>
      </c>
      <c r="Y52" s="232" t="str">
        <f>IF($A$53=FALSE,$Z$51,IF(ISBLANK('Questions - Fragen'!D$367),"--",'Questions - Fragen'!D$367))</f>
        <v>n.e.</v>
      </c>
      <c r="Z52" s="753">
        <f>COUNTIF(U52:Y52,"&gt;-")</f>
        <v>5</v>
      </c>
      <c r="AA52" s="753">
        <f>COUNT(U52:Y52)</f>
        <v>0</v>
      </c>
      <c r="AB52" s="753">
        <v>4</v>
      </c>
      <c r="AC52" s="753" t="str">
        <f>IF(AND($A53,AA52&gt;=AB52),AA52*10,"--")</f>
        <v>--</v>
      </c>
      <c r="AD52" s="753" t="str">
        <f>IF(AND($A53,AA52&gt;=AB52),SUM(U52:Y52),"--")</f>
        <v>--</v>
      </c>
      <c r="AE52" s="38"/>
      <c r="AF52" s="38"/>
      <c r="AG52" s="272"/>
      <c r="AH52" s="38"/>
      <c r="AI52" s="38"/>
      <c r="AJ52" s="38"/>
      <c r="AK52" s="38"/>
      <c r="AL52" s="38"/>
      <c r="AM52" s="38"/>
      <c r="AN52" s="38"/>
      <c r="AO52" s="38"/>
      <c r="AP52" s="38"/>
      <c r="AR52" s="204" t="s">
        <v>502</v>
      </c>
      <c r="AS52" s="1515" t="str">
        <f>IF(A53=FALSE,Z51,IF(AA52&gt;=AB52,ROUND(AD52/AC52,2),$AI$35))</f>
        <v>n.e.</v>
      </c>
      <c r="AT52" s="1516"/>
      <c r="AU52" s="16"/>
      <c r="AV52" s="184"/>
      <c r="AW52" s="184"/>
      <c r="AX52" s="184"/>
      <c r="AY52" s="184"/>
      <c r="AZ52" s="184"/>
      <c r="BA52" s="184"/>
      <c r="BB52" s="184"/>
      <c r="BC52" s="184"/>
      <c r="BD52" s="184"/>
      <c r="BE52" s="16"/>
      <c r="BF52" s="16"/>
      <c r="BG52" s="16"/>
      <c r="BH52" s="16"/>
      <c r="BI52" s="49"/>
      <c r="BJ52" s="34"/>
    </row>
    <row r="53" spans="1:62">
      <c r="A53" s="970" t="b">
        <f>'Evaluation-Bewertung'!A67</f>
        <v>0</v>
      </c>
      <c r="B53" s="635"/>
      <c r="C53" s="276"/>
      <c r="D53" s="640"/>
      <c r="E53" s="640"/>
      <c r="F53" s="640"/>
      <c r="G53" s="640"/>
      <c r="H53" s="640"/>
      <c r="I53" s="31"/>
      <c r="J53" s="15"/>
      <c r="K53" s="15"/>
      <c r="L53" s="15"/>
      <c r="M53" s="15"/>
      <c r="N53" s="15"/>
      <c r="O53" s="15"/>
      <c r="P53" s="15"/>
      <c r="Q53" s="15"/>
      <c r="R53" s="15"/>
      <c r="S53" s="31"/>
      <c r="T53" s="31"/>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6"/>
      <c r="BF53" s="16"/>
      <c r="BG53" s="16"/>
      <c r="BH53" s="16"/>
      <c r="BI53" s="51"/>
      <c r="BJ53" s="16"/>
    </row>
    <row r="54" spans="1:62">
      <c r="B54" s="574"/>
      <c r="C54" s="575"/>
      <c r="D54" s="575"/>
      <c r="E54" s="575"/>
      <c r="F54" s="575"/>
      <c r="G54" s="575"/>
      <c r="H54" s="575"/>
      <c r="I54" s="575"/>
      <c r="J54" s="575"/>
      <c r="K54" s="575"/>
      <c r="L54" s="575"/>
      <c r="M54" s="575"/>
      <c r="N54" s="575"/>
      <c r="O54" s="575"/>
      <c r="P54" s="575"/>
      <c r="Q54" s="575"/>
      <c r="R54" s="575"/>
      <c r="S54" s="575"/>
      <c r="T54" s="575"/>
      <c r="U54" s="575"/>
      <c r="V54" s="575"/>
      <c r="W54" s="575"/>
      <c r="X54" s="575"/>
      <c r="Y54" s="575"/>
      <c r="Z54" s="575"/>
      <c r="AA54" s="575"/>
      <c r="AB54" s="575"/>
      <c r="AC54" s="575"/>
      <c r="AD54" s="575"/>
      <c r="AE54" s="575"/>
      <c r="AF54" s="575"/>
      <c r="AG54" s="575"/>
      <c r="AH54" s="575"/>
      <c r="AI54" s="575"/>
      <c r="AJ54" s="575"/>
      <c r="AK54" s="575"/>
      <c r="AL54" s="575"/>
      <c r="AM54" s="575"/>
      <c r="AN54" s="575"/>
      <c r="AO54" s="575"/>
      <c r="AP54" s="575"/>
      <c r="AQ54" s="575"/>
      <c r="AR54" s="575"/>
      <c r="AS54" s="575"/>
      <c r="AT54" s="575"/>
      <c r="AU54" s="575"/>
      <c r="AV54" s="575"/>
      <c r="AW54" s="575"/>
      <c r="AX54" s="575"/>
      <c r="AY54" s="575"/>
      <c r="AZ54" s="575"/>
      <c r="BA54" s="575"/>
      <c r="BB54" s="575"/>
      <c r="BC54" s="575"/>
      <c r="BD54" s="575"/>
      <c r="BE54" s="575"/>
      <c r="BF54" s="575"/>
      <c r="BG54" s="575"/>
      <c r="BH54" s="575"/>
      <c r="BI54" s="576"/>
      <c r="BJ54" s="34"/>
    </row>
    <row r="55" spans="1:62">
      <c r="A55" s="254"/>
      <c r="B55" s="48"/>
      <c r="C55" s="577"/>
      <c r="D55" s="578"/>
      <c r="E55" s="578"/>
      <c r="F55" s="578"/>
      <c r="G55" s="578"/>
      <c r="H55" s="578"/>
      <c r="I55" s="578"/>
      <c r="J55" s="578"/>
      <c r="K55" s="578"/>
      <c r="L55" s="578"/>
      <c r="M55" s="578"/>
      <c r="N55" s="578"/>
      <c r="O55" s="578"/>
      <c r="P55" s="578"/>
      <c r="Q55" s="578"/>
      <c r="R55" s="578"/>
      <c r="S55" s="578"/>
      <c r="T55" s="578"/>
      <c r="U55" s="579"/>
      <c r="V55" s="579"/>
      <c r="W55" s="579"/>
      <c r="X55" s="579"/>
      <c r="Y55" s="579"/>
      <c r="Z55" s="579"/>
      <c r="AA55" s="579"/>
      <c r="AB55" s="579"/>
      <c r="AC55" s="579"/>
      <c r="AD55" s="579"/>
      <c r="AE55" s="579"/>
      <c r="AF55" s="579"/>
      <c r="AG55" s="579"/>
      <c r="AH55" s="579"/>
      <c r="AI55" s="580"/>
      <c r="AJ55" s="580"/>
      <c r="AK55" s="580"/>
      <c r="AL55" s="580"/>
      <c r="AM55" s="580"/>
      <c r="AN55" s="580"/>
      <c r="AO55" s="580"/>
      <c r="AP55" s="580"/>
      <c r="AQ55" s="580"/>
      <c r="AR55" s="580"/>
      <c r="AS55" s="580"/>
      <c r="AT55" s="580"/>
      <c r="AU55" s="580"/>
      <c r="AV55" s="580"/>
      <c r="AW55" s="580"/>
      <c r="AX55" s="580"/>
      <c r="AY55" s="580"/>
      <c r="AZ55" s="580"/>
      <c r="BA55" s="580"/>
      <c r="BB55" s="580"/>
      <c r="BC55" s="580"/>
      <c r="BD55" s="580"/>
      <c r="BE55" s="580"/>
      <c r="BF55" s="580"/>
      <c r="BG55" s="580"/>
      <c r="BH55" s="580"/>
      <c r="BI55" s="581"/>
      <c r="BJ55" s="582"/>
    </row>
    <row r="56" spans="1:62">
      <c r="B56" s="48"/>
      <c r="C56" s="578"/>
      <c r="D56" s="578"/>
      <c r="E56" s="578"/>
      <c r="F56" s="578"/>
      <c r="G56" s="578"/>
      <c r="H56" s="578"/>
      <c r="I56" s="578"/>
      <c r="J56" s="578"/>
      <c r="K56" s="578"/>
      <c r="L56" s="578"/>
      <c r="M56" s="578"/>
      <c r="N56" s="578"/>
      <c r="O56" s="578"/>
      <c r="P56" s="578"/>
      <c r="Q56" s="578"/>
      <c r="R56" s="578"/>
      <c r="S56" s="578"/>
      <c r="T56" s="578"/>
      <c r="U56" s="579"/>
      <c r="V56" s="579"/>
      <c r="W56" s="579"/>
      <c r="X56" s="579"/>
      <c r="Y56" s="579"/>
      <c r="Z56" s="579"/>
      <c r="AA56" s="579"/>
      <c r="AB56" s="579"/>
      <c r="AC56" s="579"/>
      <c r="AD56" s="579"/>
      <c r="AE56" s="579"/>
      <c r="AF56" s="579"/>
      <c r="AG56" s="579"/>
      <c r="AH56" s="579"/>
      <c r="AI56" s="580"/>
      <c r="AJ56" s="580"/>
      <c r="AK56" s="580"/>
      <c r="AL56" s="580"/>
      <c r="AM56" s="580"/>
      <c r="AN56" s="580"/>
      <c r="AO56" s="580"/>
      <c r="AP56" s="580"/>
      <c r="AQ56" s="580"/>
      <c r="AR56" s="580"/>
      <c r="AS56" s="580"/>
      <c r="AT56" s="580"/>
      <c r="AU56" s="580"/>
      <c r="AV56" s="580"/>
      <c r="AW56" s="38"/>
      <c r="AX56" s="38"/>
      <c r="AY56" s="38"/>
      <c r="AZ56" s="38"/>
      <c r="BA56" s="38"/>
      <c r="BB56" s="38"/>
      <c r="BC56" s="38"/>
      <c r="BD56" s="38"/>
      <c r="BE56" s="580"/>
      <c r="BF56" s="580"/>
      <c r="BG56" s="580"/>
      <c r="BH56" s="580"/>
      <c r="BI56" s="581"/>
      <c r="BJ56" s="582"/>
    </row>
    <row r="57" spans="1:62" s="493" customFormat="1" ht="18">
      <c r="A57" s="241"/>
      <c r="B57" s="583"/>
      <c r="C57" s="495"/>
      <c r="D57" s="584" t="str">
        <f>'Evaluation-Bewertung'!D71</f>
        <v>Responsible for downgrading</v>
      </c>
      <c r="E57" s="585"/>
      <c r="F57" s="585"/>
      <c r="G57" s="495"/>
      <c r="H57" s="585"/>
      <c r="I57" s="586"/>
      <c r="J57" s="586"/>
      <c r="K57" s="586"/>
      <c r="L57" s="586"/>
      <c r="M57" s="1525"/>
      <c r="N57" s="1525"/>
      <c r="O57" s="1525"/>
      <c r="P57" s="1525"/>
      <c r="Q57" s="586"/>
      <c r="R57" s="586"/>
      <c r="S57" s="586"/>
      <c r="T57" s="16"/>
      <c r="U57" s="16"/>
      <c r="V57" s="16"/>
      <c r="W57" s="16"/>
      <c r="X57" s="16"/>
      <c r="Y57" s="16"/>
      <c r="Z57" s="16"/>
      <c r="AA57" s="16"/>
      <c r="AB57" s="16"/>
      <c r="AC57" s="16"/>
      <c r="AD57" s="16"/>
      <c r="AE57" s="16"/>
      <c r="AF57" s="16"/>
      <c r="AG57" s="579"/>
      <c r="AH57" s="579"/>
      <c r="AI57" s="588"/>
      <c r="AJ57" s="588"/>
      <c r="AK57" s="588"/>
      <c r="AL57" s="588"/>
      <c r="AM57" s="588"/>
      <c r="AN57" s="1524">
        <f>'Input Form - EingabeMaske'!F34</f>
        <v>0</v>
      </c>
      <c r="AO57" s="1524"/>
      <c r="AP57" s="1524"/>
      <c r="AQ57" s="1524"/>
      <c r="AR57" s="1524"/>
      <c r="AS57" s="1524"/>
      <c r="AT57" s="1524"/>
      <c r="AU57" s="589" t="str">
        <f>'Evaluation-Bewertung'!AU71</f>
        <v>Overall compliance EG:</v>
      </c>
      <c r="AV57" s="590"/>
      <c r="AW57" s="591"/>
      <c r="AX57" s="591"/>
      <c r="AY57" s="591"/>
      <c r="AZ57" s="591"/>
      <c r="BA57" s="591"/>
      <c r="BB57" s="591"/>
      <c r="BC57" s="591"/>
      <c r="BD57" s="591"/>
      <c r="BE57" s="580"/>
      <c r="BF57" s="580"/>
      <c r="BG57" s="580"/>
      <c r="BH57" s="580"/>
      <c r="BI57" s="592"/>
      <c r="BJ57" s="593"/>
    </row>
    <row r="58" spans="1:62" ht="16.5" thickBot="1">
      <c r="B58" s="48"/>
      <c r="C58" s="578"/>
      <c r="D58" s="1499"/>
      <c r="E58" s="1499"/>
      <c r="F58" s="1499"/>
      <c r="G58" s="1499"/>
      <c r="H58" s="1499"/>
      <c r="I58" s="1500"/>
      <c r="J58" s="1500"/>
      <c r="K58" s="1500"/>
      <c r="L58" s="1500"/>
      <c r="M58" s="1500"/>
      <c r="N58" s="1500"/>
      <c r="O58" s="1500"/>
      <c r="P58" s="1500"/>
      <c r="Q58" s="724"/>
      <c r="R58" s="724"/>
      <c r="S58" s="724"/>
      <c r="T58" s="16"/>
      <c r="U58" s="16"/>
      <c r="V58" s="16"/>
      <c r="W58" s="16"/>
      <c r="X58" s="16"/>
      <c r="Y58" s="16"/>
      <c r="Z58" s="16"/>
      <c r="AA58" s="16"/>
      <c r="AB58" s="16"/>
      <c r="AC58" s="16"/>
      <c r="AD58" s="16"/>
      <c r="AE58" s="16"/>
      <c r="AF58" s="16"/>
      <c r="AG58" s="579"/>
      <c r="AH58" s="579"/>
      <c r="AI58" s="588"/>
      <c r="AJ58" s="588"/>
      <c r="AK58" s="588"/>
      <c r="AL58" s="588"/>
      <c r="AM58" s="588"/>
      <c r="AN58" s="588"/>
      <c r="AO58" s="588"/>
      <c r="AP58" s="588"/>
      <c r="AQ58" s="588"/>
      <c r="AR58" s="588"/>
      <c r="AS58" s="588"/>
      <c r="AT58" s="588"/>
      <c r="AU58" s="38"/>
      <c r="AV58" s="38"/>
      <c r="AW58" s="591"/>
      <c r="AX58" s="591"/>
      <c r="AY58" s="591"/>
      <c r="AZ58" s="591"/>
      <c r="BA58" s="591"/>
      <c r="BB58" s="591"/>
      <c r="BC58" s="591"/>
      <c r="BD58" s="591"/>
      <c r="BE58" s="580"/>
      <c r="BF58" s="580"/>
      <c r="BG58" s="580"/>
      <c r="BH58" s="580"/>
      <c r="BI58" s="581"/>
      <c r="BJ58" s="582"/>
    </row>
    <row r="59" spans="1:62" ht="15.75">
      <c r="B59" s="48"/>
      <c r="C59" s="38"/>
      <c r="D59" s="594" t="str">
        <f>+IF(K149="n.b.","n.b.",+IF(K149&lt;80%,"C",+IF(K149&lt;90%,"B","A")))</f>
        <v>A</v>
      </c>
      <c r="E59" s="595" t="str">
        <f>'Evaluation-Bewertung'!E73</f>
        <v>Calculated EG, C&lt;80, B&lt;90</v>
      </c>
      <c r="F59" s="596"/>
      <c r="G59" s="596"/>
      <c r="H59" s="596"/>
      <c r="I59" s="596"/>
      <c r="J59" s="596"/>
      <c r="K59" s="596"/>
      <c r="L59" s="596"/>
      <c r="M59" s="597"/>
      <c r="N59" s="597"/>
      <c r="O59" s="598"/>
      <c r="P59" s="598"/>
      <c r="Q59" s="598"/>
      <c r="R59" s="599"/>
      <c r="S59" s="38"/>
      <c r="T59" s="16"/>
      <c r="U59" s="16"/>
      <c r="V59" s="16"/>
      <c r="W59" s="16"/>
      <c r="X59" s="16"/>
      <c r="Y59" s="16"/>
      <c r="Z59" s="16"/>
      <c r="AA59" s="16"/>
      <c r="AB59" s="16"/>
      <c r="AC59" s="16"/>
      <c r="AD59" s="16"/>
      <c r="AE59" s="16"/>
      <c r="AF59" s="16"/>
      <c r="AG59" s="579"/>
      <c r="AH59" s="579"/>
      <c r="AI59" s="588"/>
      <c r="AJ59" s="588"/>
      <c r="AK59" s="588"/>
      <c r="AL59" s="588"/>
      <c r="AM59" s="588"/>
      <c r="AN59" s="588"/>
      <c r="AO59" s="588"/>
      <c r="AP59" s="588"/>
      <c r="AQ59" s="588"/>
      <c r="AR59" s="588"/>
      <c r="AS59" s="588"/>
      <c r="AT59" s="588"/>
      <c r="AU59" s="600"/>
      <c r="AV59" s="600"/>
      <c r="AW59" s="591"/>
      <c r="AX59" s="591"/>
      <c r="AY59" s="591"/>
      <c r="AZ59" s="591"/>
      <c r="BA59" s="591"/>
      <c r="BB59" s="591"/>
      <c r="BC59" s="591"/>
      <c r="BD59" s="591"/>
      <c r="BE59" s="580"/>
      <c r="BF59" s="580"/>
      <c r="BG59" s="580"/>
      <c r="BH59" s="580"/>
      <c r="BI59" s="581"/>
      <c r="BJ59" s="582"/>
    </row>
    <row r="60" spans="1:62" ht="18">
      <c r="B60" s="48"/>
      <c r="C60" s="38"/>
      <c r="D60" s="601" t="str">
        <f>+E146</f>
        <v>A</v>
      </c>
      <c r="E60" s="602" t="str">
        <f>'Evaluation-Bewertung'!E74</f>
        <v xml:space="preserve">Asterisk questions for EG, minimum 1 question with 4 ratings = "B", minimum 1 question with 0 = "C"  </v>
      </c>
      <c r="F60" s="603"/>
      <c r="G60" s="603"/>
      <c r="H60" s="603"/>
      <c r="I60" s="603"/>
      <c r="J60" s="603"/>
      <c r="K60" s="603"/>
      <c r="L60" s="603"/>
      <c r="M60" s="267"/>
      <c r="N60" s="267"/>
      <c r="O60" s="604"/>
      <c r="P60" s="604"/>
      <c r="Q60" s="604"/>
      <c r="R60" s="605"/>
      <c r="S60" s="38"/>
      <c r="T60" s="16"/>
      <c r="U60" s="16"/>
      <c r="V60" s="16"/>
      <c r="W60" s="16"/>
      <c r="X60" s="16"/>
      <c r="Y60" s="16"/>
      <c r="Z60" s="16"/>
      <c r="AA60" s="16"/>
      <c r="AB60" s="16"/>
      <c r="AC60" s="16"/>
      <c r="AD60" s="16"/>
      <c r="AE60" s="16"/>
      <c r="AF60" s="16"/>
      <c r="AG60" s="579"/>
      <c r="AH60" s="579"/>
      <c r="AI60" s="260"/>
      <c r="AJ60" s="260"/>
      <c r="AK60" s="260"/>
      <c r="AL60" s="260"/>
      <c r="AM60" s="579"/>
      <c r="AN60" s="579"/>
      <c r="AO60" s="579"/>
      <c r="AP60" s="579"/>
      <c r="AR60" s="38"/>
      <c r="AS60" s="589"/>
      <c r="AT60" s="589"/>
      <c r="AU60" s="589"/>
      <c r="AV60" s="589"/>
      <c r="AW60" s="589"/>
      <c r="AX60" s="589"/>
      <c r="AY60" s="589"/>
      <c r="AZ60" s="589"/>
      <c r="BA60" s="589"/>
      <c r="BB60" s="589"/>
      <c r="BC60" s="589"/>
      <c r="BD60" s="600"/>
      <c r="BE60" s="606"/>
      <c r="BF60" s="600"/>
      <c r="BG60" s="600"/>
      <c r="BH60" s="600"/>
      <c r="BI60" s="581"/>
      <c r="BJ60" s="582"/>
    </row>
    <row r="61" spans="1:62" ht="16.5" thickBot="1">
      <c r="B61" s="48"/>
      <c r="C61" s="38"/>
      <c r="D61" s="607" t="str">
        <f>IF(COUNTIF(A8:A52,Z51)=16,Z51,+IF(COUNTIF((A8:A52),"C")&gt;=1,"C",+IF(+COUNTIF((A8:A52),"B")&gt;=1,"B","A")))</f>
        <v>A</v>
      </c>
      <c r="E61" s="602" t="str">
        <f>'Evaluation-Bewertung'!E75</f>
        <v>No question rated 0, otherwise "B"</v>
      </c>
      <c r="F61" s="603"/>
      <c r="G61" s="603"/>
      <c r="H61" s="603"/>
      <c r="I61" s="603"/>
      <c r="J61" s="603"/>
      <c r="K61" s="603"/>
      <c r="L61" s="603"/>
      <c r="M61" s="267"/>
      <c r="N61" s="267"/>
      <c r="O61" s="604"/>
      <c r="P61" s="604"/>
      <c r="Q61" s="604"/>
      <c r="R61" s="605"/>
      <c r="S61" s="38"/>
      <c r="T61" s="16"/>
      <c r="U61" s="16"/>
      <c r="V61" s="16"/>
      <c r="W61" s="16"/>
      <c r="X61" s="16"/>
      <c r="Y61" s="16"/>
      <c r="Z61" s="16"/>
      <c r="AA61" s="16"/>
      <c r="AB61" s="16"/>
      <c r="AC61" s="16"/>
      <c r="AD61" s="16"/>
      <c r="AE61" s="16"/>
      <c r="AF61" s="16"/>
      <c r="AG61" s="579"/>
      <c r="AH61" s="579"/>
      <c r="AI61" s="608"/>
      <c r="AJ61" s="608"/>
      <c r="AK61" s="608"/>
      <c r="AL61" s="1454" t="str">
        <f>'Evaluation-Bewertung'!AL75</f>
        <v>Total points awarded for the relevant questions</v>
      </c>
      <c r="AM61" s="1454" t="e">
        <f>'Evaluation-Bewertung'!AM75</f>
        <v>#N/A</v>
      </c>
      <c r="AN61" s="1454" t="e">
        <f>'Evaluation-Bewertung'!AN75</f>
        <v>#N/A</v>
      </c>
      <c r="AO61" s="1454" t="e">
        <f>'Evaluation-Bewertung'!AO75</f>
        <v>#N/A</v>
      </c>
      <c r="AP61" s="1454" t="e">
        <f>'Evaluation-Bewertung'!AP75</f>
        <v>#N/A</v>
      </c>
      <c r="AQ61" s="1454" t="e">
        <f>'Evaluation-Bewertung'!AQ75</f>
        <v>#N/A</v>
      </c>
      <c r="AR61" s="1454" t="e">
        <f>'Evaluation-Bewertung'!AR75</f>
        <v>#N/A</v>
      </c>
      <c r="AS61" s="1454" t="e">
        <f>'Evaluation-Bewertung'!AS75</f>
        <v>#N/A</v>
      </c>
      <c r="AT61" s="1454" t="e">
        <f>'Evaluation-Bewertung'!AT75</f>
        <v>#N/A</v>
      </c>
      <c r="AU61" s="1454" t="e">
        <f>'Evaluation-Bewertung'!AU75</f>
        <v>#N/A</v>
      </c>
      <c r="AV61" s="1454" t="e">
        <f>'Evaluation-Bewertung'!AV75</f>
        <v>#N/A</v>
      </c>
      <c r="AW61" s="1454" t="e">
        <f>'Evaluation-Bewertung'!AW75</f>
        <v>#N/A</v>
      </c>
      <c r="AX61" s="1454" t="e">
        <f>'Evaluation-Bewertung'!AX75</f>
        <v>#N/A</v>
      </c>
      <c r="AY61" s="1587">
        <f>SUM(O8,AI14,AP22,W29,AM45,AD52)</f>
        <v>0</v>
      </c>
      <c r="AZ61" s="1587"/>
      <c r="BA61" s="741"/>
      <c r="BB61" s="1453" t="s">
        <v>257</v>
      </c>
      <c r="BC61" s="1453"/>
      <c r="BD61" s="1453"/>
      <c r="BE61" s="1453" t="str">
        <f>'Evaluation-Bewertung'!BE75</f>
        <v>Rating</v>
      </c>
      <c r="BF61" s="1453">
        <f>'Evaluation-Bewertung'!BF75</f>
        <v>0</v>
      </c>
      <c r="BG61" s="609"/>
      <c r="BH61" s="580"/>
      <c r="BI61" s="581"/>
      <c r="BJ61" s="582"/>
    </row>
    <row r="62" spans="1:62" ht="15.75">
      <c r="B62" s="48"/>
      <c r="C62" s="38"/>
      <c r="D62" s="601" t="e">
        <f>+AD152</f>
        <v>#DIV/0!</v>
      </c>
      <c r="E62" s="602" t="str">
        <f>'Evaluation-Bewertung'!E76</f>
        <v>Eu1…Eu7, &lt;80% rated "B"</v>
      </c>
      <c r="F62" s="603"/>
      <c r="G62" s="603"/>
      <c r="H62" s="603"/>
      <c r="I62" s="603"/>
      <c r="J62" s="603"/>
      <c r="K62" s="603"/>
      <c r="L62" s="603"/>
      <c r="M62" s="267"/>
      <c r="N62" s="267"/>
      <c r="O62" s="604"/>
      <c r="P62" s="604"/>
      <c r="Q62" s="604"/>
      <c r="R62" s="605"/>
      <c r="S62" s="38"/>
      <c r="T62" s="16"/>
      <c r="U62" s="16"/>
      <c r="V62" s="16"/>
      <c r="W62" s="16"/>
      <c r="X62" s="16"/>
      <c r="Y62" s="16"/>
      <c r="Z62" s="16"/>
      <c r="AA62" s="16"/>
      <c r="AB62" s="16"/>
      <c r="AC62" s="16"/>
      <c r="AD62" s="16"/>
      <c r="AE62" s="16"/>
      <c r="AF62" s="16"/>
      <c r="AG62" s="579"/>
      <c r="AH62" s="579"/>
      <c r="AI62" s="608"/>
      <c r="AJ62" s="608"/>
      <c r="AK62" s="608"/>
      <c r="AL62" s="1454" t="e">
        <f>'Evaluation-Bewertung'!AL76</f>
        <v>#N/A</v>
      </c>
      <c r="AM62" s="1454" t="e">
        <f>'Evaluation-Bewertung'!AM76</f>
        <v>#N/A</v>
      </c>
      <c r="AN62" s="1454" t="e">
        <f>'Evaluation-Bewertung'!AN76</f>
        <v>#N/A</v>
      </c>
      <c r="AO62" s="1454" t="e">
        <f>'Evaluation-Bewertung'!AO76</f>
        <v>#N/A</v>
      </c>
      <c r="AP62" s="1454" t="e">
        <f>'Evaluation-Bewertung'!AP76</f>
        <v>#N/A</v>
      </c>
      <c r="AQ62" s="1454" t="e">
        <f>'Evaluation-Bewertung'!AQ76</f>
        <v>#N/A</v>
      </c>
      <c r="AR62" s="1454" t="e">
        <f>'Evaluation-Bewertung'!AR76</f>
        <v>#N/A</v>
      </c>
      <c r="AS62" s="1454" t="e">
        <f>'Evaluation-Bewertung'!AS76</f>
        <v>#N/A</v>
      </c>
      <c r="AT62" s="1454" t="e">
        <f>'Evaluation-Bewertung'!AT76</f>
        <v>#N/A</v>
      </c>
      <c r="AU62" s="1454" t="e">
        <f>'Evaluation-Bewertung'!AU76</f>
        <v>#N/A</v>
      </c>
      <c r="AV62" s="1454" t="e">
        <f>'Evaluation-Bewertung'!AV76</f>
        <v>#N/A</v>
      </c>
      <c r="AW62" s="1454" t="e">
        <f>'Evaluation-Bewertung'!AW76</f>
        <v>#N/A</v>
      </c>
      <c r="AX62" s="1454" t="e">
        <f>'Evaluation-Bewertung'!AX76</f>
        <v>#N/A</v>
      </c>
      <c r="AY62" s="1587"/>
      <c r="AZ62" s="1587"/>
      <c r="BA62" s="741"/>
      <c r="BB62" s="1455" t="str">
        <f>IF(OR(AN57=0,ISERROR(AVERAGE(epm,epp,epr,ez,epg,ek))),$AI$35,ROUND(AY61/AY64,2))</f>
        <v>n.e.</v>
      </c>
      <c r="BC62" s="1456"/>
      <c r="BD62" s="1457"/>
      <c r="BE62" s="1597" t="str">
        <f>+IF(BB62=$AI$35,$AI$35,+D65)</f>
        <v>n.e.</v>
      </c>
      <c r="BF62" s="1598"/>
      <c r="BG62" s="609"/>
      <c r="BH62" s="38"/>
      <c r="BI62" s="581"/>
      <c r="BJ62" s="582"/>
    </row>
    <row r="63" spans="1:62" ht="30">
      <c r="B63" s="48"/>
      <c r="C63" s="38"/>
      <c r="D63" s="601" t="str">
        <f>+AD167</f>
        <v>C</v>
      </c>
      <c r="E63" s="602" t="str">
        <f>'Evaluation-Bewertung'!E77</f>
        <v>E1…E10, &lt;80% rated "B", &lt;70% rated "C"</v>
      </c>
      <c r="F63" s="603"/>
      <c r="G63" s="603"/>
      <c r="H63" s="603"/>
      <c r="I63" s="603"/>
      <c r="J63" s="603"/>
      <c r="K63" s="603"/>
      <c r="L63" s="603"/>
      <c r="M63" s="267"/>
      <c r="N63" s="267"/>
      <c r="O63" s="604"/>
      <c r="P63" s="604"/>
      <c r="Q63" s="604"/>
      <c r="R63" s="605"/>
      <c r="S63" s="38"/>
      <c r="T63" s="16"/>
      <c r="U63" s="16"/>
      <c r="V63" s="16"/>
      <c r="W63" s="16"/>
      <c r="X63" s="16"/>
      <c r="Y63" s="16"/>
      <c r="Z63" s="16"/>
      <c r="AA63" s="16"/>
      <c r="AB63" s="16"/>
      <c r="AC63" s="16"/>
      <c r="AD63" s="16"/>
      <c r="AE63" s="16"/>
      <c r="AF63" s="16"/>
      <c r="AG63" s="579"/>
      <c r="AH63" s="579"/>
      <c r="AI63" s="608"/>
      <c r="AJ63" s="608"/>
      <c r="AK63" s="608"/>
      <c r="AL63" s="490" t="s">
        <v>259</v>
      </c>
      <c r="AM63" s="490"/>
      <c r="AN63" s="490"/>
      <c r="AO63" s="490"/>
      <c r="AP63" s="490"/>
      <c r="AQ63" s="490"/>
      <c r="AR63" s="490"/>
      <c r="AS63" s="490"/>
      <c r="AT63" s="490"/>
      <c r="AU63" s="490"/>
      <c r="AV63" s="490"/>
      <c r="AW63" s="490"/>
      <c r="AX63" s="490"/>
      <c r="AY63" s="490"/>
      <c r="AZ63" s="490"/>
      <c r="BA63" s="490"/>
      <c r="BB63" s="1458"/>
      <c r="BC63" s="1459"/>
      <c r="BD63" s="1460"/>
      <c r="BE63" s="1599"/>
      <c r="BF63" s="1600"/>
      <c r="BG63" s="610"/>
      <c r="BH63" s="610"/>
      <c r="BI63" s="581"/>
      <c r="BJ63" s="582"/>
    </row>
    <row r="64" spans="1:62" ht="30.75" thickBot="1">
      <c r="B64" s="48"/>
      <c r="C64" s="38"/>
      <c r="D64" s="601" t="str">
        <f>++IF(K149=$AI$35,$AI$35,+IF(MIN(epm,ede,epe,elm,ek,epg)&lt;70%,"C",+IF(MIN(epm,ede,epe,elm,ek,epg)&lt;80%,"B","A")))</f>
        <v>n.e.</v>
      </c>
      <c r="E64" s="602" t="str">
        <f>'Evaluation-Bewertung'!E78</f>
        <v>Sub ratings Ep2, Ep3, Ep4, Ep5, Ep6, Ep7 &lt;80% rate "B", &lt;70% rate "C"</v>
      </c>
      <c r="F64" s="603"/>
      <c r="G64" s="603"/>
      <c r="H64" s="603"/>
      <c r="I64" s="603"/>
      <c r="J64" s="603"/>
      <c r="K64" s="603"/>
      <c r="L64" s="603"/>
      <c r="M64" s="267"/>
      <c r="N64" s="267"/>
      <c r="O64" s="604"/>
      <c r="P64" s="604"/>
      <c r="Q64" s="604"/>
      <c r="R64" s="605"/>
      <c r="S64" s="38"/>
      <c r="T64" s="16"/>
      <c r="U64" s="16"/>
      <c r="V64" s="16"/>
      <c r="W64" s="16"/>
      <c r="X64" s="16"/>
      <c r="Y64" s="16"/>
      <c r="Z64" s="16"/>
      <c r="AA64" s="16"/>
      <c r="AB64" s="16"/>
      <c r="AC64" s="16"/>
      <c r="AD64" s="16"/>
      <c r="AE64" s="16"/>
      <c r="AF64" s="16"/>
      <c r="AG64" s="579"/>
      <c r="AH64" s="579"/>
      <c r="AI64" s="608"/>
      <c r="AJ64" s="608"/>
      <c r="AK64" s="608"/>
      <c r="AL64" s="1454" t="str">
        <f>'Evaluation-Bewertung'!AL78</f>
        <v>Total possible number of points for the relevant questions</v>
      </c>
      <c r="AM64" s="1454" t="e">
        <f>'Evaluation-Bewertung'!AM78</f>
        <v>#N/A</v>
      </c>
      <c r="AN64" s="1454" t="e">
        <f>'Evaluation-Bewertung'!AN78</f>
        <v>#N/A</v>
      </c>
      <c r="AO64" s="1454" t="e">
        <f>'Evaluation-Bewertung'!AO78</f>
        <v>#N/A</v>
      </c>
      <c r="AP64" s="1454" t="e">
        <f>'Evaluation-Bewertung'!AP78</f>
        <v>#N/A</v>
      </c>
      <c r="AQ64" s="1454" t="e">
        <f>'Evaluation-Bewertung'!AQ78</f>
        <v>#N/A</v>
      </c>
      <c r="AR64" s="1454" t="e">
        <f>'Evaluation-Bewertung'!AR78</f>
        <v>#N/A</v>
      </c>
      <c r="AS64" s="1454" t="e">
        <f>'Evaluation-Bewertung'!AS78</f>
        <v>#N/A</v>
      </c>
      <c r="AT64" s="1454" t="e">
        <f>'Evaluation-Bewertung'!AT78</f>
        <v>#N/A</v>
      </c>
      <c r="AU64" s="1454" t="e">
        <f>'Evaluation-Bewertung'!AU78</f>
        <v>#N/A</v>
      </c>
      <c r="AV64" s="1454" t="e">
        <f>'Evaluation-Bewertung'!AV78</f>
        <v>#N/A</v>
      </c>
      <c r="AW64" s="1454" t="e">
        <f>'Evaluation-Bewertung'!AW78</f>
        <v>#N/A</v>
      </c>
      <c r="AX64" s="1454" t="e">
        <f>'Evaluation-Bewertung'!AX78</f>
        <v>#N/A</v>
      </c>
      <c r="AY64" s="1587">
        <f>SUM(N8,AH14,AO22,V29,AL45,AC52)</f>
        <v>0</v>
      </c>
      <c r="AZ64" s="1587"/>
      <c r="BA64" s="741"/>
      <c r="BB64" s="1461"/>
      <c r="BC64" s="1462"/>
      <c r="BD64" s="1463"/>
      <c r="BE64" s="1601"/>
      <c r="BF64" s="1602"/>
      <c r="BG64" s="610"/>
      <c r="BH64" s="38"/>
      <c r="BI64" s="581"/>
      <c r="BJ64" s="582"/>
    </row>
    <row r="65" spans="2:62" ht="30.75" thickBot="1">
      <c r="B65" s="48"/>
      <c r="C65" s="38"/>
      <c r="D65" s="611" t="str">
        <f>IF(COUNTIF(D59:D64,"n.b.")=6,"n.b.",IF(COUNTIF(D59:D64,"C")&gt;=1,"C",IF(COUNTIF(D59:D64,"B")&gt;=1,"B","A")))</f>
        <v>C</v>
      </c>
      <c r="E65" s="612" t="str">
        <f>'Evaluation-Bewertung'!E79</f>
        <v>Overall compliance EG:</v>
      </c>
      <c r="F65" s="613"/>
      <c r="G65" s="613"/>
      <c r="H65" s="613"/>
      <c r="I65" s="613"/>
      <c r="J65" s="613"/>
      <c r="K65" s="613"/>
      <c r="L65" s="613"/>
      <c r="M65" s="614"/>
      <c r="N65" s="614"/>
      <c r="O65" s="615"/>
      <c r="P65" s="615"/>
      <c r="Q65" s="615"/>
      <c r="R65" s="616"/>
      <c r="S65" s="38"/>
      <c r="T65" s="16"/>
      <c r="U65" s="16"/>
      <c r="V65" s="16"/>
      <c r="W65" s="16"/>
      <c r="X65" s="16"/>
      <c r="Y65" s="16"/>
      <c r="Z65" s="16"/>
      <c r="AA65" s="16"/>
      <c r="AB65" s="16"/>
      <c r="AC65" s="16"/>
      <c r="AD65" s="16"/>
      <c r="AE65" s="16"/>
      <c r="AF65" s="16"/>
      <c r="AG65" s="579"/>
      <c r="AH65" s="579"/>
      <c r="AI65" s="608"/>
      <c r="AJ65" s="608"/>
      <c r="AK65" s="608"/>
      <c r="AL65" s="1454" t="e">
        <f>'Evaluation-Bewertung'!AL79</f>
        <v>#N/A</v>
      </c>
      <c r="AM65" s="1454" t="e">
        <f>'Evaluation-Bewertung'!AM79</f>
        <v>#N/A</v>
      </c>
      <c r="AN65" s="1454" t="e">
        <f>'Evaluation-Bewertung'!AN79</f>
        <v>#N/A</v>
      </c>
      <c r="AO65" s="1454" t="e">
        <f>'Evaluation-Bewertung'!AO79</f>
        <v>#N/A</v>
      </c>
      <c r="AP65" s="1454" t="e">
        <f>'Evaluation-Bewertung'!AP79</f>
        <v>#N/A</v>
      </c>
      <c r="AQ65" s="1454" t="e">
        <f>'Evaluation-Bewertung'!AQ79</f>
        <v>#N/A</v>
      </c>
      <c r="AR65" s="1454" t="e">
        <f>'Evaluation-Bewertung'!AR79</f>
        <v>#N/A</v>
      </c>
      <c r="AS65" s="1454" t="e">
        <f>'Evaluation-Bewertung'!AS79</f>
        <v>#N/A</v>
      </c>
      <c r="AT65" s="1454" t="e">
        <f>'Evaluation-Bewertung'!AT79</f>
        <v>#N/A</v>
      </c>
      <c r="AU65" s="1454" t="e">
        <f>'Evaluation-Bewertung'!AU79</f>
        <v>#N/A</v>
      </c>
      <c r="AV65" s="1454" t="e">
        <f>'Evaluation-Bewertung'!AV79</f>
        <v>#N/A</v>
      </c>
      <c r="AW65" s="1454" t="e">
        <f>'Evaluation-Bewertung'!AW79</f>
        <v>#N/A</v>
      </c>
      <c r="AX65" s="1454" t="e">
        <f>'Evaluation-Bewertung'!AX79</f>
        <v>#N/A</v>
      </c>
      <c r="AY65" s="1587"/>
      <c r="AZ65" s="1587"/>
      <c r="BA65" s="741"/>
      <c r="BB65" s="490"/>
      <c r="BC65" s="38"/>
      <c r="BD65" s="38"/>
      <c r="BE65" s="38"/>
      <c r="BF65" s="38"/>
      <c r="BG65" s="610"/>
      <c r="BH65" s="38"/>
      <c r="BI65" s="581"/>
      <c r="BJ65" s="582"/>
    </row>
    <row r="66" spans="2:62" ht="19.5" customHeight="1">
      <c r="B66" s="48"/>
      <c r="C66" s="580"/>
      <c r="D66" s="604"/>
      <c r="E66" s="604"/>
      <c r="F66" s="604"/>
      <c r="G66" s="604"/>
      <c r="H66" s="604"/>
      <c r="I66" s="604"/>
      <c r="J66" s="604"/>
      <c r="K66" s="604"/>
      <c r="L66" s="604"/>
      <c r="M66" s="604"/>
      <c r="N66" s="604"/>
      <c r="O66" s="604"/>
      <c r="P66" s="604"/>
      <c r="Q66" s="604"/>
      <c r="R66" s="604"/>
      <c r="S66" s="604"/>
      <c r="T66" s="580"/>
      <c r="U66" s="579"/>
      <c r="V66" s="579"/>
      <c r="W66" s="579"/>
      <c r="X66" s="579"/>
      <c r="Y66" s="579"/>
      <c r="Z66" s="579"/>
      <c r="AA66" s="579"/>
      <c r="AB66" s="579"/>
      <c r="AC66" s="579"/>
      <c r="AD66" s="579"/>
      <c r="AE66" s="579"/>
      <c r="AF66" s="579"/>
      <c r="AG66" s="579"/>
      <c r="AH66" s="579"/>
      <c r="AI66" s="608"/>
      <c r="AJ66" s="608"/>
      <c r="AK66" s="608"/>
      <c r="AL66" s="608"/>
      <c r="AM66" s="608"/>
      <c r="AN66" s="608"/>
      <c r="AO66" s="608"/>
      <c r="AP66" s="608"/>
      <c r="AQ66" s="608"/>
      <c r="AR66" s="608"/>
      <c r="AS66" s="608"/>
      <c r="AT66" s="608"/>
      <c r="AU66" s="608"/>
      <c r="AV66" s="608"/>
      <c r="AW66" s="608"/>
      <c r="AX66" s="608"/>
      <c r="AY66" s="608"/>
      <c r="AZ66" s="38"/>
      <c r="BA66" s="38"/>
      <c r="BB66" s="38"/>
      <c r="BC66" s="38"/>
      <c r="BD66" s="610"/>
      <c r="BE66" s="38"/>
      <c r="BF66" s="38"/>
      <c r="BG66" s="38"/>
      <c r="BH66" s="38"/>
      <c r="BI66" s="581"/>
      <c r="BJ66" s="582"/>
    </row>
    <row r="67" spans="2:62" ht="15" customHeight="1">
      <c r="B67" s="48"/>
      <c r="D67" s="604"/>
      <c r="E67" s="604"/>
      <c r="F67" s="604"/>
      <c r="G67" s="604"/>
      <c r="H67" s="604"/>
      <c r="I67" s="604"/>
      <c r="J67" s="604"/>
      <c r="K67" s="604"/>
      <c r="L67" s="604"/>
      <c r="M67" s="604"/>
      <c r="N67" s="604"/>
      <c r="O67" s="604"/>
      <c r="P67" s="604"/>
      <c r="Q67" s="604"/>
      <c r="R67" s="604"/>
      <c r="S67" s="604"/>
      <c r="T67" s="31"/>
      <c r="U67" s="579"/>
      <c r="V67" s="38"/>
      <c r="W67" s="579"/>
      <c r="X67" s="579"/>
      <c r="Y67" s="579"/>
      <c r="Z67" s="579"/>
      <c r="AA67" s="579"/>
      <c r="AB67" s="579"/>
      <c r="AC67" s="579"/>
      <c r="AD67" s="579"/>
      <c r="AE67" s="579"/>
      <c r="AF67" s="579"/>
      <c r="AG67" s="579"/>
      <c r="AH67" s="579"/>
      <c r="AI67" s="1474"/>
      <c r="AJ67" s="1474"/>
      <c r="AK67" s="1474"/>
      <c r="AL67" s="1474"/>
      <c r="AM67" s="1474"/>
      <c r="AN67" s="1474"/>
      <c r="AO67" s="1474"/>
      <c r="AP67" s="1474"/>
      <c r="AQ67" s="1596"/>
      <c r="AR67" s="491"/>
      <c r="AS67" s="491"/>
      <c r="AT67" s="964"/>
      <c r="AU67" s="38"/>
      <c r="AV67" s="38"/>
      <c r="AW67" s="38"/>
      <c r="AX67" s="617"/>
      <c r="AY67" s="617"/>
      <c r="AZ67" s="38"/>
      <c r="BA67" s="38"/>
      <c r="BB67" s="38"/>
      <c r="BC67" s="38"/>
      <c r="BD67" s="38"/>
      <c r="BE67" s="606"/>
      <c r="BF67" s="617"/>
      <c r="BG67" s="617"/>
      <c r="BH67" s="617"/>
      <c r="BI67" s="618"/>
      <c r="BJ67" s="34"/>
    </row>
    <row r="68" spans="2:62" ht="14.25" customHeight="1">
      <c r="B68" s="48"/>
      <c r="C68" s="33"/>
      <c r="D68" s="31"/>
      <c r="E68" s="31"/>
      <c r="F68" s="31"/>
      <c r="G68" s="31"/>
      <c r="H68" s="31"/>
      <c r="I68" s="31"/>
      <c r="J68" s="31"/>
      <c r="K68" s="31"/>
      <c r="L68" s="31"/>
      <c r="M68" s="31"/>
      <c r="N68" s="31"/>
      <c r="O68" s="174"/>
      <c r="P68" s="31"/>
      <c r="Q68" s="31"/>
      <c r="R68" s="31"/>
      <c r="S68" s="31"/>
      <c r="T68" s="31"/>
      <c r="U68" s="31"/>
      <c r="V68" s="965"/>
      <c r="W68" s="965"/>
      <c r="X68" s="965"/>
      <c r="Y68" s="606"/>
      <c r="Z68" s="212"/>
      <c r="AA68" s="212"/>
      <c r="AB68" s="31"/>
      <c r="AC68" s="31"/>
      <c r="AD68" s="31"/>
      <c r="AE68" s="619"/>
      <c r="AF68" s="966"/>
      <c r="AG68" s="967"/>
      <c r="AH68" s="966"/>
      <c r="AI68" s="213"/>
      <c r="AJ68" s="213"/>
      <c r="AK68" s="213"/>
      <c r="AL68" s="213"/>
      <c r="AM68" s="213"/>
      <c r="AN68" s="213"/>
      <c r="AO68" s="213"/>
      <c r="AP68" s="213"/>
      <c r="AQ68" s="966"/>
      <c r="AR68" s="212"/>
      <c r="AS68" s="212"/>
      <c r="AT68" s="965"/>
      <c r="AU68" s="38"/>
      <c r="AV68" s="38"/>
      <c r="AW68" s="38"/>
      <c r="AX68" s="617"/>
      <c r="AY68" s="617"/>
      <c r="AZ68" s="38"/>
      <c r="BA68" s="38"/>
      <c r="BB68" s="38"/>
      <c r="BC68" s="38"/>
      <c r="BD68" s="38"/>
      <c r="BE68" s="38"/>
      <c r="BF68" s="617"/>
      <c r="BG68" s="617"/>
      <c r="BH68" s="617"/>
      <c r="BI68" s="618"/>
      <c r="BJ68" s="34"/>
    </row>
    <row r="69" spans="2:62" ht="15" customHeight="1">
      <c r="B69" s="48"/>
      <c r="C69" s="620" t="str">
        <f>'Evaluation-Bewertung'!C83</f>
        <v>At least 2/3 of questions must be answered for each evaluated process element and sub element</v>
      </c>
      <c r="D69" s="580"/>
      <c r="E69" s="580"/>
      <c r="F69" s="580"/>
      <c r="G69" s="580"/>
      <c r="H69" s="580"/>
      <c r="I69" s="31"/>
      <c r="J69" s="580"/>
      <c r="K69" s="580"/>
      <c r="L69" s="580"/>
      <c r="M69" s="580"/>
      <c r="N69" s="578"/>
      <c r="O69" s="621"/>
      <c r="P69" s="622"/>
      <c r="Q69" s="578"/>
      <c r="R69" s="578"/>
      <c r="S69" s="267"/>
      <c r="T69" s="267"/>
      <c r="U69" s="578"/>
      <c r="V69" s="578"/>
      <c r="W69" s="38"/>
      <c r="X69" s="578"/>
      <c r="Y69" s="578"/>
      <c r="Z69" s="578"/>
      <c r="AA69" s="580"/>
      <c r="AB69" s="580"/>
      <c r="AC69" s="580"/>
      <c r="AD69" s="580"/>
      <c r="AE69" s="38"/>
      <c r="AF69" s="38"/>
      <c r="AG69" s="272" t="str">
        <f>'Evaluation-Bewertung'!AG83</f>
        <v xml:space="preserve">Down grading rules must be applied to the classification results (A, B. C). This must be checked by the auditor! </v>
      </c>
      <c r="AH69" s="38"/>
      <c r="AI69" s="38"/>
      <c r="AJ69" s="38"/>
      <c r="AK69" s="38"/>
      <c r="AL69" s="38"/>
      <c r="AQ69" s="38"/>
      <c r="AR69" s="38"/>
      <c r="AS69" s="38"/>
      <c r="AT69" s="38"/>
      <c r="AU69" s="38"/>
      <c r="AV69" s="38"/>
      <c r="AW69" s="38"/>
      <c r="AX69" s="617"/>
      <c r="AY69" s="617"/>
      <c r="AZ69" s="617"/>
      <c r="BA69" s="617"/>
      <c r="BB69" s="617"/>
      <c r="BC69" s="617"/>
      <c r="BD69" s="617"/>
      <c r="BE69" s="617"/>
      <c r="BF69" s="617"/>
      <c r="BG69" s="617"/>
      <c r="BH69" s="617"/>
      <c r="BI69" s="581"/>
      <c r="BJ69" s="582"/>
    </row>
    <row r="70" spans="2:62" ht="7.15" customHeight="1" thickBot="1">
      <c r="B70" s="101"/>
      <c r="C70" s="623"/>
      <c r="D70" s="624"/>
      <c r="E70" s="624"/>
      <c r="F70" s="624"/>
      <c r="G70" s="624"/>
      <c r="H70" s="624"/>
      <c r="I70" s="624"/>
      <c r="J70" s="624"/>
      <c r="K70" s="624"/>
      <c r="L70" s="624"/>
      <c r="M70" s="624"/>
      <c r="N70" s="624"/>
      <c r="O70" s="624"/>
      <c r="P70" s="624"/>
      <c r="Q70" s="624"/>
      <c r="R70" s="624"/>
      <c r="S70" s="624"/>
      <c r="T70" s="624"/>
      <c r="U70" s="624"/>
      <c r="V70" s="624"/>
      <c r="W70" s="624"/>
      <c r="X70" s="624"/>
      <c r="Y70" s="624"/>
      <c r="Z70" s="624"/>
      <c r="AA70" s="624"/>
      <c r="AB70" s="624"/>
      <c r="AC70" s="624"/>
      <c r="AD70" s="624"/>
      <c r="AE70" s="624"/>
      <c r="AF70" s="624"/>
      <c r="AG70" s="624"/>
      <c r="AH70" s="624"/>
      <c r="AI70" s="624"/>
      <c r="AJ70" s="624"/>
      <c r="AK70" s="624"/>
      <c r="AL70" s="624"/>
      <c r="AM70" s="624"/>
      <c r="AN70" s="624"/>
      <c r="AO70" s="624"/>
      <c r="AP70" s="624"/>
      <c r="AQ70" s="624"/>
      <c r="AR70" s="624"/>
      <c r="AS70" s="624"/>
      <c r="AT70" s="624"/>
      <c r="AU70" s="624"/>
      <c r="AV70" s="624"/>
      <c r="AW70" s="624"/>
      <c r="AX70" s="624"/>
      <c r="AY70" s="624"/>
      <c r="AZ70" s="624"/>
      <c r="BA70" s="624"/>
      <c r="BB70" s="624"/>
      <c r="BC70" s="624"/>
      <c r="BD70" s="624"/>
      <c r="BE70" s="624"/>
      <c r="BF70" s="624"/>
      <c r="BG70" s="624"/>
      <c r="BH70" s="624"/>
      <c r="BI70" s="625"/>
      <c r="BJ70" s="582"/>
    </row>
    <row r="71" spans="2:62" ht="10.5" customHeight="1">
      <c r="C71" s="214"/>
      <c r="D71" s="215"/>
      <c r="E71" s="215"/>
      <c r="F71" s="215"/>
      <c r="G71" s="215"/>
      <c r="H71" s="215"/>
      <c r="I71" s="215"/>
      <c r="J71" s="215"/>
      <c r="K71" s="215"/>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row>
    <row r="72" spans="2:62" ht="21" customHeight="1">
      <c r="T72" s="290"/>
      <c r="U72" s="290"/>
      <c r="V72" s="290"/>
      <c r="W72" s="290"/>
      <c r="X72" s="290"/>
      <c r="Y72" s="290"/>
      <c r="Z72" s="290"/>
      <c r="AA72" s="290"/>
      <c r="AB72" s="290"/>
      <c r="AC72" s="290"/>
      <c r="AD72" s="290"/>
      <c r="AE72" s="290"/>
      <c r="AF72" s="290"/>
      <c r="AG72" s="290"/>
      <c r="AH72" s="290"/>
      <c r="AI72" s="290"/>
      <c r="AJ72" s="290"/>
      <c r="AK72" s="290"/>
      <c r="AL72" s="290"/>
      <c r="AM72" s="290"/>
      <c r="AN72" s="290"/>
      <c r="AO72" s="290"/>
      <c r="AP72" s="290"/>
      <c r="AQ72" s="290"/>
      <c r="AR72" s="290"/>
      <c r="AS72" s="290"/>
      <c r="AT72" s="290"/>
      <c r="AU72" s="290"/>
      <c r="AV72" s="290"/>
      <c r="AW72" s="1498"/>
      <c r="AX72" s="1498"/>
      <c r="AY72" s="1498"/>
      <c r="AZ72" s="1498"/>
      <c r="BA72" s="1498"/>
      <c r="BB72" s="1498"/>
      <c r="BC72" s="1498"/>
      <c r="BD72" s="1498"/>
      <c r="BE72" s="1498"/>
      <c r="BF72" s="1498"/>
      <c r="BG72" s="1498"/>
      <c r="BH72" s="1498"/>
      <c r="BI72" s="1498"/>
    </row>
    <row r="73" spans="2:62" ht="138" customHeight="1">
      <c r="D73" s="309" t="s">
        <v>76</v>
      </c>
      <c r="E73" s="310" t="s">
        <v>147</v>
      </c>
      <c r="F73" s="311"/>
      <c r="G73" s="274"/>
      <c r="H73" s="310" t="s">
        <v>153</v>
      </c>
      <c r="I73" s="312" t="s">
        <v>154</v>
      </c>
      <c r="J73" s="289"/>
      <c r="K73" s="289"/>
      <c r="L73" s="289"/>
      <c r="T73" s="290"/>
      <c r="U73" s="290"/>
      <c r="V73" s="290"/>
      <c r="W73" s="290"/>
      <c r="X73" s="290"/>
      <c r="Y73" s="290"/>
      <c r="Z73" s="290"/>
      <c r="AA73" s="290"/>
      <c r="AB73" s="290"/>
      <c r="AC73" s="290"/>
      <c r="AD73" s="290"/>
      <c r="AE73" s="290"/>
      <c r="AF73" s="289"/>
      <c r="AG73" s="289"/>
      <c r="AH73" s="289"/>
      <c r="AI73" s="289"/>
      <c r="AJ73" s="289"/>
      <c r="AK73" s="289"/>
      <c r="AL73" s="289"/>
      <c r="AM73" s="290"/>
      <c r="AN73" s="290"/>
      <c r="AO73" s="290"/>
      <c r="AP73" s="290"/>
      <c r="AQ73" s="290"/>
      <c r="AR73" s="290"/>
      <c r="AS73" s="290"/>
      <c r="AT73" s="290"/>
      <c r="AU73" s="290"/>
      <c r="AV73" s="290"/>
      <c r="AW73" s="1498"/>
      <c r="AX73" s="1498"/>
      <c r="AY73" s="1498"/>
      <c r="AZ73" s="1498"/>
      <c r="BA73" s="1498"/>
      <c r="BB73" s="1498"/>
      <c r="BC73" s="1498"/>
      <c r="BD73" s="1498"/>
      <c r="BE73" s="1498"/>
      <c r="BF73" s="1498"/>
      <c r="BG73" s="1498"/>
      <c r="BH73" s="1498"/>
      <c r="BI73" s="1498"/>
    </row>
    <row r="74" spans="2:62" ht="15.75">
      <c r="D74" s="313" t="s">
        <v>96</v>
      </c>
      <c r="E74" s="38"/>
      <c r="F74" s="38"/>
      <c r="G74" s="38"/>
      <c r="H74" s="38"/>
      <c r="I74" s="275"/>
      <c r="T74" s="290"/>
      <c r="U74" s="290"/>
      <c r="V74" s="290"/>
      <c r="W74" s="290"/>
      <c r="X74" s="290"/>
      <c r="Y74" s="290"/>
      <c r="Z74" s="290"/>
      <c r="AA74" s="290"/>
      <c r="AB74" s="290"/>
      <c r="AC74" s="290"/>
      <c r="AD74" s="290"/>
      <c r="AE74" s="290"/>
      <c r="AM74" s="290"/>
      <c r="AN74" s="290"/>
      <c r="AO74" s="290"/>
      <c r="AP74" s="290"/>
      <c r="AQ74" s="290"/>
      <c r="AR74" s="290"/>
      <c r="AS74" s="290"/>
      <c r="AT74" s="290"/>
      <c r="AU74" s="290"/>
      <c r="AV74" s="290"/>
      <c r="AW74" s="1589"/>
      <c r="AX74" s="1589"/>
      <c r="AY74" s="1589"/>
      <c r="AZ74" s="1589"/>
      <c r="BA74" s="1589"/>
      <c r="BB74" s="1589"/>
      <c r="BC74" s="1589"/>
      <c r="BD74" s="1589"/>
      <c r="BE74" s="1589"/>
      <c r="BF74" s="1589"/>
      <c r="BG74" s="1589"/>
      <c r="BH74" s="1589"/>
      <c r="BI74" s="1589"/>
    </row>
    <row r="75" spans="2:62" ht="15">
      <c r="D75" s="314" t="str">
        <f>+'Questions - Fragen'!$A13</f>
        <v>2.1</v>
      </c>
      <c r="E75" s="38"/>
      <c r="F75" s="38"/>
      <c r="G75" s="38"/>
      <c r="H75" s="38"/>
      <c r="I75" s="275"/>
      <c r="T75" s="290"/>
      <c r="U75" s="290"/>
      <c r="V75" s="290"/>
      <c r="W75" s="290"/>
      <c r="X75" s="290"/>
      <c r="Y75" s="290"/>
      <c r="Z75" s="290"/>
      <c r="AA75" s="290"/>
      <c r="AB75" s="290"/>
      <c r="AC75" s="290"/>
      <c r="AD75" s="290"/>
      <c r="AE75" s="290"/>
      <c r="AM75" s="290"/>
      <c r="AN75" s="290"/>
      <c r="AO75" s="290"/>
      <c r="AP75" s="290"/>
      <c r="AQ75" s="290"/>
      <c r="AR75" s="290"/>
      <c r="AS75" s="290"/>
      <c r="AT75" s="290"/>
      <c r="AU75" s="290"/>
      <c r="AV75" s="290"/>
      <c r="AW75" s="1589"/>
      <c r="AX75" s="1589"/>
      <c r="AY75" s="1589"/>
      <c r="AZ75" s="1589"/>
      <c r="BA75" s="1589"/>
      <c r="BB75" s="1589"/>
      <c r="BC75" s="1589"/>
      <c r="BD75" s="1589"/>
      <c r="BE75" s="1589"/>
      <c r="BF75" s="1589"/>
      <c r="BG75" s="1589"/>
      <c r="BH75" s="1589"/>
      <c r="BI75" s="1589"/>
    </row>
    <row r="76" spans="2:62" ht="15">
      <c r="D76" s="314" t="str">
        <f>+'Questions - Fragen'!$A14</f>
        <v>2.2</v>
      </c>
      <c r="E76" s="38"/>
      <c r="F76" s="38"/>
      <c r="G76" s="38"/>
      <c r="H76" s="38"/>
      <c r="I76" s="275"/>
      <c r="T76" s="290"/>
      <c r="U76" s="744"/>
      <c r="V76" s="744"/>
      <c r="W76" s="291"/>
      <c r="X76" s="744"/>
      <c r="Y76" s="744"/>
      <c r="Z76" s="744"/>
      <c r="AA76" s="744"/>
      <c r="AB76" s="744"/>
      <c r="AC76" s="744"/>
      <c r="AD76" s="744"/>
      <c r="AE76" s="744"/>
      <c r="AF76" s="744"/>
      <c r="AG76" s="744"/>
      <c r="AH76" s="744"/>
      <c r="AI76" s="744"/>
      <c r="AJ76" s="744"/>
      <c r="AK76" s="744"/>
      <c r="AL76" s="744"/>
      <c r="AM76" s="744"/>
      <c r="AN76" s="744"/>
      <c r="AO76" s="744"/>
      <c r="AP76" s="744"/>
      <c r="AQ76" s="744"/>
      <c r="AR76" s="744"/>
      <c r="AS76" s="744"/>
      <c r="AT76" s="744"/>
      <c r="AU76" s="744"/>
      <c r="AV76" s="744"/>
      <c r="AW76" s="1498"/>
      <c r="AX76" s="1498"/>
      <c r="AY76" s="1498"/>
      <c r="AZ76" s="1498"/>
      <c r="BA76" s="1498"/>
      <c r="BB76" s="1498"/>
      <c r="BC76" s="1498"/>
      <c r="BD76" s="1498"/>
      <c r="BE76" s="1498"/>
      <c r="BF76" s="1498"/>
      <c r="BG76" s="1498"/>
      <c r="BH76" s="1498"/>
      <c r="BI76" s="1498"/>
    </row>
    <row r="77" spans="2:62" ht="15">
      <c r="D77" s="314" t="str">
        <f>+'Questions - Fragen'!$A15</f>
        <v>2.3</v>
      </c>
      <c r="E77" s="38"/>
      <c r="F77" s="38"/>
      <c r="G77" s="38"/>
      <c r="H77" s="38"/>
      <c r="I77" s="275"/>
      <c r="T77" s="290"/>
      <c r="U77" s="744"/>
      <c r="V77" s="744"/>
      <c r="W77" s="744"/>
      <c r="X77" s="744"/>
      <c r="Y77" s="744"/>
      <c r="Z77" s="744"/>
      <c r="AA77" s="744"/>
      <c r="AB77" s="744"/>
      <c r="AC77" s="744"/>
      <c r="AD77" s="744"/>
      <c r="AE77" s="744"/>
      <c r="AF77" s="744"/>
      <c r="AG77" s="744"/>
      <c r="AH77" s="744"/>
      <c r="AI77" s="744"/>
      <c r="AJ77" s="744"/>
      <c r="AK77" s="744"/>
      <c r="AL77" s="744"/>
      <c r="AM77" s="744"/>
      <c r="AN77" s="744"/>
      <c r="AO77" s="744"/>
      <c r="AP77" s="744"/>
      <c r="AQ77" s="744"/>
      <c r="AR77" s="744"/>
      <c r="AS77" s="744"/>
      <c r="AT77" s="744"/>
      <c r="AU77" s="744"/>
      <c r="AV77" s="744"/>
      <c r="AW77" s="1498"/>
      <c r="AX77" s="1498"/>
      <c r="AY77" s="1498"/>
      <c r="AZ77" s="1498"/>
      <c r="BA77" s="1498"/>
      <c r="BB77" s="1498"/>
      <c r="BC77" s="1498"/>
      <c r="BD77" s="1498"/>
      <c r="BE77" s="1498"/>
      <c r="BF77" s="1498"/>
      <c r="BG77" s="1498"/>
      <c r="BH77" s="1498"/>
      <c r="BI77" s="1498"/>
    </row>
    <row r="78" spans="2:62" ht="15">
      <c r="D78" s="314" t="str">
        <f>+'Questions - Fragen'!$A16</f>
        <v>2.4</v>
      </c>
      <c r="E78" s="38"/>
      <c r="F78" s="38"/>
      <c r="G78" s="38"/>
      <c r="H78" s="38"/>
      <c r="I78" s="275"/>
      <c r="T78" s="290"/>
      <c r="U78" s="744"/>
      <c r="V78" s="744"/>
      <c r="W78" s="1479"/>
      <c r="X78" s="1480"/>
      <c r="Y78" s="1480"/>
      <c r="Z78" s="1480"/>
      <c r="AA78" s="1480"/>
      <c r="AB78" s="1480"/>
      <c r="AC78" s="1480"/>
      <c r="AD78" s="1480"/>
      <c r="AE78" s="1480"/>
      <c r="AF78" s="1480"/>
      <c r="AG78" s="1480"/>
      <c r="AH78" s="1480"/>
      <c r="AI78" s="1480"/>
      <c r="AJ78" s="1480"/>
      <c r="AK78" s="1480"/>
      <c r="AL78" s="1480"/>
      <c r="AM78" s="1480"/>
      <c r="AN78" s="1480"/>
      <c r="AO78" s="1480"/>
      <c r="AP78" s="1480"/>
      <c r="AQ78" s="1480"/>
      <c r="AR78" s="1480"/>
      <c r="AS78" s="1480"/>
      <c r="AT78" s="1480"/>
      <c r="AU78" s="1480"/>
      <c r="AV78" s="1480"/>
      <c r="AW78" s="1498"/>
      <c r="AX78" s="1498"/>
      <c r="AY78" s="1498"/>
      <c r="AZ78" s="1498"/>
      <c r="BA78" s="1498"/>
      <c r="BB78" s="1498"/>
      <c r="BC78" s="1498"/>
      <c r="BD78" s="1498"/>
      <c r="BE78" s="1498"/>
      <c r="BF78" s="1498"/>
      <c r="BG78" s="1498"/>
      <c r="BH78" s="1498"/>
      <c r="BI78" s="1498"/>
    </row>
    <row r="79" spans="2:62" ht="15">
      <c r="D79" s="314" t="str">
        <f>+'Questions - Fragen'!$A17</f>
        <v>2.5</v>
      </c>
      <c r="E79" s="38" t="str">
        <f>H8</f>
        <v>n.e.</v>
      </c>
      <c r="F79" s="38"/>
      <c r="G79" s="38"/>
      <c r="H79" s="38"/>
      <c r="I79" s="275"/>
      <c r="T79" s="290"/>
      <c r="U79" s="744"/>
      <c r="V79" s="744"/>
      <c r="W79" s="1480"/>
      <c r="X79" s="1480"/>
      <c r="Y79" s="1480"/>
      <c r="Z79" s="1480"/>
      <c r="AA79" s="1480"/>
      <c r="AB79" s="1480"/>
      <c r="AC79" s="1480"/>
      <c r="AD79" s="1480"/>
      <c r="AE79" s="1480"/>
      <c r="AF79" s="1480"/>
      <c r="AG79" s="1480"/>
      <c r="AH79" s="1480"/>
      <c r="AI79" s="1480"/>
      <c r="AJ79" s="1480"/>
      <c r="AK79" s="1480"/>
      <c r="AL79" s="1480"/>
      <c r="AM79" s="1480"/>
      <c r="AN79" s="1480"/>
      <c r="AO79" s="1480"/>
      <c r="AP79" s="1480"/>
      <c r="AQ79" s="1480"/>
      <c r="AR79" s="1480"/>
      <c r="AS79" s="1480"/>
      <c r="AT79" s="1480"/>
      <c r="AU79" s="1480"/>
      <c r="AV79" s="1480"/>
      <c r="AW79" s="1498"/>
      <c r="AX79" s="1498"/>
      <c r="AY79" s="1498"/>
      <c r="AZ79" s="1498"/>
      <c r="BA79" s="1498"/>
      <c r="BB79" s="1498"/>
      <c r="BC79" s="1498"/>
      <c r="BD79" s="1498"/>
      <c r="BE79" s="1498"/>
      <c r="BF79" s="1498"/>
      <c r="BG79" s="1498"/>
      <c r="BH79" s="1498"/>
      <c r="BI79" s="1498"/>
    </row>
    <row r="80" spans="2:62" ht="15">
      <c r="D80" s="314" t="str">
        <f>+'Questions - Fragen'!$A18</f>
        <v>2.6</v>
      </c>
      <c r="E80" s="38" t="str">
        <f>I8</f>
        <v>n.e.</v>
      </c>
      <c r="F80" s="38"/>
      <c r="G80" s="38"/>
      <c r="H80" s="38"/>
      <c r="I80" s="275"/>
      <c r="T80" s="290"/>
      <c r="U80" s="744"/>
      <c r="V80" s="744"/>
      <c r="W80" s="1476"/>
      <c r="X80" s="1477"/>
      <c r="Y80" s="1477"/>
      <c r="Z80" s="1477"/>
      <c r="AA80" s="1477"/>
      <c r="AB80" s="1477"/>
      <c r="AC80" s="1477"/>
      <c r="AD80" s="1477"/>
      <c r="AE80" s="1477"/>
      <c r="AF80" s="1477"/>
      <c r="AG80" s="1477"/>
      <c r="AH80" s="1477"/>
      <c r="AI80" s="1477"/>
      <c r="AJ80" s="1477"/>
      <c r="AK80" s="1477"/>
      <c r="AL80" s="1477"/>
      <c r="AM80" s="1477"/>
      <c r="AN80" s="1477"/>
      <c r="AO80" s="1477"/>
      <c r="AP80" s="1477"/>
      <c r="AQ80" s="1477"/>
      <c r="AR80" s="1477"/>
      <c r="AS80" s="1477"/>
      <c r="AT80" s="1477"/>
      <c r="AU80" s="1477"/>
      <c r="AV80" s="1477"/>
      <c r="AW80" s="1498"/>
      <c r="AX80" s="1498"/>
      <c r="AY80" s="1498"/>
      <c r="AZ80" s="1498"/>
      <c r="BA80" s="1498"/>
      <c r="BB80" s="1498"/>
      <c r="BC80" s="1498"/>
      <c r="BD80" s="1498"/>
      <c r="BE80" s="1498"/>
      <c r="BF80" s="1498"/>
      <c r="BG80" s="1498"/>
      <c r="BH80" s="1498"/>
      <c r="BI80" s="1498"/>
    </row>
    <row r="81" spans="4:61" ht="15">
      <c r="D81" s="314" t="str">
        <f>+'Questions - Fragen'!$A19</f>
        <v>2.7</v>
      </c>
      <c r="E81" s="38"/>
      <c r="F81" s="38"/>
      <c r="G81" s="38"/>
      <c r="H81" s="38"/>
      <c r="I81" s="275"/>
      <c r="T81" s="290"/>
      <c r="U81" s="744"/>
      <c r="V81" s="744"/>
      <c r="W81" s="1477"/>
      <c r="X81" s="1477"/>
      <c r="Y81" s="1477"/>
      <c r="Z81" s="1477"/>
      <c r="AA81" s="1477"/>
      <c r="AB81" s="1477"/>
      <c r="AC81" s="1477"/>
      <c r="AD81" s="1477"/>
      <c r="AE81" s="1477"/>
      <c r="AF81" s="1477"/>
      <c r="AG81" s="1477"/>
      <c r="AH81" s="1477"/>
      <c r="AI81" s="1477"/>
      <c r="AJ81" s="1477"/>
      <c r="AK81" s="1477"/>
      <c r="AL81" s="1477"/>
      <c r="AM81" s="1477"/>
      <c r="AN81" s="1477"/>
      <c r="AO81" s="1477"/>
      <c r="AP81" s="1477"/>
      <c r="AQ81" s="1477"/>
      <c r="AR81" s="1477"/>
      <c r="AS81" s="1477"/>
      <c r="AT81" s="1477"/>
      <c r="AU81" s="1477"/>
      <c r="AV81" s="1477"/>
      <c r="AW81" s="1498"/>
      <c r="AX81" s="1498"/>
      <c r="AY81" s="1498"/>
      <c r="AZ81" s="1498"/>
      <c r="BA81" s="1498"/>
      <c r="BB81" s="1498"/>
      <c r="BC81" s="1498"/>
      <c r="BD81" s="1498"/>
      <c r="BE81" s="1498"/>
      <c r="BF81" s="1498"/>
      <c r="BG81" s="1498"/>
      <c r="BH81" s="1498"/>
      <c r="BI81" s="1498"/>
    </row>
    <row r="82" spans="4:61" ht="15.75">
      <c r="D82" s="315" t="str">
        <f>+'Questions - Fragen'!$A20</f>
        <v>P3</v>
      </c>
      <c r="E82" s="38"/>
      <c r="F82" s="38"/>
      <c r="G82" s="272" t="s">
        <v>96</v>
      </c>
      <c r="H82" s="38" t="str">
        <f>+IF(COUNT(E75:E81)=0,"n.b.",+IF(MIN(E75:E81)=0,"C",+IF(MIN(E75:E81)=4,"B","A")))</f>
        <v>n.b.</v>
      </c>
      <c r="I82" s="275" t="str">
        <f>+A8</f>
        <v>n.e.</v>
      </c>
      <c r="T82" s="290"/>
      <c r="U82" s="744"/>
      <c r="V82" s="744"/>
      <c r="W82" s="1477"/>
      <c r="X82" s="1477"/>
      <c r="Y82" s="1477"/>
      <c r="Z82" s="1477"/>
      <c r="AA82" s="1477"/>
      <c r="AB82" s="1477"/>
      <c r="AC82" s="1477"/>
      <c r="AD82" s="1477"/>
      <c r="AE82" s="1477"/>
      <c r="AF82" s="1477"/>
      <c r="AG82" s="1477"/>
      <c r="AH82" s="1477"/>
      <c r="AI82" s="1477"/>
      <c r="AJ82" s="1477"/>
      <c r="AK82" s="1477"/>
      <c r="AL82" s="1477"/>
      <c r="AM82" s="1477"/>
      <c r="AN82" s="1477"/>
      <c r="AO82" s="1477"/>
      <c r="AP82" s="1477"/>
      <c r="AQ82" s="1477"/>
      <c r="AR82" s="1477"/>
      <c r="AS82" s="1477"/>
      <c r="AT82" s="1477"/>
      <c r="AU82" s="1477"/>
      <c r="AV82" s="1477"/>
      <c r="AW82" s="1482"/>
      <c r="AX82" s="1482"/>
      <c r="AY82" s="1482"/>
      <c r="AZ82" s="1482"/>
      <c r="BA82" s="1482"/>
      <c r="BB82" s="1482"/>
      <c r="BC82" s="1482"/>
      <c r="BD82" s="1482"/>
      <c r="BE82" s="1482"/>
      <c r="BF82" s="1482"/>
      <c r="BG82" s="1482"/>
      <c r="BH82" s="1482"/>
      <c r="BI82" s="1482"/>
    </row>
    <row r="83" spans="4:61" ht="15">
      <c r="D83" s="314" t="str">
        <f>+'Questions - Fragen'!$A22</f>
        <v>3.1</v>
      </c>
      <c r="E83" s="38"/>
      <c r="F83" s="38"/>
      <c r="G83" s="38"/>
      <c r="H83" s="38"/>
      <c r="I83" s="275"/>
      <c r="T83" s="290"/>
      <c r="U83" s="744"/>
      <c r="V83" s="744"/>
      <c r="W83" s="1476"/>
      <c r="X83" s="1477"/>
      <c r="Y83" s="1477"/>
      <c r="Z83" s="1477"/>
      <c r="AA83" s="1477"/>
      <c r="AB83" s="1477"/>
      <c r="AC83" s="1477"/>
      <c r="AD83" s="1477"/>
      <c r="AE83" s="1477"/>
      <c r="AF83" s="1477"/>
      <c r="AG83" s="1477"/>
      <c r="AH83" s="1477"/>
      <c r="AI83" s="1477"/>
      <c r="AJ83" s="1477"/>
      <c r="AK83" s="1477"/>
      <c r="AL83" s="1477"/>
      <c r="AM83" s="1477"/>
      <c r="AN83" s="1477"/>
      <c r="AO83" s="1477"/>
      <c r="AP83" s="1477"/>
      <c r="AQ83" s="1477"/>
      <c r="AR83" s="1477"/>
      <c r="AS83" s="1477"/>
      <c r="AT83" s="1477"/>
      <c r="AU83" s="1477"/>
      <c r="AV83" s="1477"/>
      <c r="AW83" s="1481"/>
      <c r="AX83" s="1482"/>
      <c r="AY83" s="1482"/>
      <c r="AZ83" s="1482"/>
      <c r="BA83" s="1482"/>
      <c r="BB83" s="1482"/>
      <c r="BC83" s="1482"/>
      <c r="BD83" s="1482"/>
      <c r="BE83" s="1482"/>
      <c r="BF83" s="1482"/>
      <c r="BG83" s="1482"/>
      <c r="BH83" s="1482"/>
      <c r="BI83" s="1482"/>
    </row>
    <row r="84" spans="4:61" ht="15">
      <c r="D84" s="314" t="str">
        <f>+'Questions - Fragen'!$A25</f>
        <v>3.2</v>
      </c>
      <c r="E84" s="38" t="str">
        <f>IF(COUNT(J84:K84)&gt;0,MIN(J84:K84),"n.b")</f>
        <v>n.b</v>
      </c>
      <c r="F84" s="38"/>
      <c r="G84" s="38"/>
      <c r="H84" s="38"/>
      <c r="I84" s="275"/>
      <c r="J84" s="167" t="str">
        <f>E14</f>
        <v>n.e.</v>
      </c>
      <c r="K84" s="167" t="str">
        <f>P14</f>
        <v>n.e.</v>
      </c>
      <c r="T84" s="290"/>
      <c r="U84" s="744"/>
      <c r="V84" s="744"/>
      <c r="W84" s="1477"/>
      <c r="X84" s="1477"/>
      <c r="Y84" s="1477"/>
      <c r="Z84" s="1477"/>
      <c r="AA84" s="1477"/>
      <c r="AB84" s="1477"/>
      <c r="AC84" s="1477"/>
      <c r="AD84" s="1477"/>
      <c r="AE84" s="1477"/>
      <c r="AF84" s="1477"/>
      <c r="AG84" s="1477"/>
      <c r="AH84" s="1477"/>
      <c r="AI84" s="1477"/>
      <c r="AJ84" s="1477"/>
      <c r="AK84" s="1477"/>
      <c r="AL84" s="1477"/>
      <c r="AM84" s="1477"/>
      <c r="AN84" s="1477"/>
      <c r="AO84" s="1477"/>
      <c r="AP84" s="1477"/>
      <c r="AQ84" s="1477"/>
      <c r="AR84" s="1477"/>
      <c r="AS84" s="1477"/>
      <c r="AT84" s="1477"/>
      <c r="AU84" s="1477"/>
      <c r="AV84" s="1477"/>
      <c r="AW84" s="1482"/>
      <c r="AX84" s="1482"/>
      <c r="AY84" s="1482"/>
      <c r="AZ84" s="1482"/>
      <c r="BA84" s="1482"/>
      <c r="BB84" s="1482"/>
      <c r="BC84" s="1482"/>
      <c r="BD84" s="1482"/>
      <c r="BE84" s="1482"/>
      <c r="BF84" s="1482"/>
      <c r="BG84" s="1482"/>
      <c r="BH84" s="1482"/>
      <c r="BI84" s="1482"/>
    </row>
    <row r="85" spans="4:61" ht="15">
      <c r="D85" s="314" t="str">
        <f>+'Questions - Fragen'!$A28</f>
        <v>3.3</v>
      </c>
      <c r="E85" s="38"/>
      <c r="F85" s="38"/>
      <c r="G85" s="38"/>
      <c r="H85" s="38"/>
      <c r="I85" s="275"/>
      <c r="J85" s="167"/>
      <c r="K85" s="167"/>
      <c r="T85" s="290"/>
      <c r="U85" s="744"/>
      <c r="V85" s="744"/>
      <c r="W85" s="1588"/>
      <c r="X85" s="1588"/>
      <c r="Y85" s="1588"/>
      <c r="Z85" s="1588"/>
      <c r="AA85" s="1588"/>
      <c r="AB85" s="1588"/>
      <c r="AC85" s="1588"/>
      <c r="AD85" s="1588"/>
      <c r="AE85" s="1588"/>
      <c r="AF85" s="1588"/>
      <c r="AG85" s="1588"/>
      <c r="AH85" s="1588"/>
      <c r="AI85" s="1588"/>
      <c r="AJ85" s="1588"/>
      <c r="AK85" s="1588"/>
      <c r="AL85" s="1588"/>
      <c r="AM85" s="1588"/>
      <c r="AN85" s="1588"/>
      <c r="AO85" s="1588"/>
      <c r="AP85" s="1588"/>
      <c r="AQ85" s="1588"/>
      <c r="AR85" s="1588"/>
      <c r="AS85" s="1588"/>
      <c r="AT85" s="1588"/>
      <c r="AU85" s="1588"/>
      <c r="AV85" s="1588"/>
      <c r="AW85" s="1481"/>
      <c r="AX85" s="1482"/>
      <c r="AY85" s="1482"/>
      <c r="AZ85" s="1482"/>
      <c r="BA85" s="1482"/>
      <c r="BB85" s="1482"/>
      <c r="BC85" s="1482"/>
      <c r="BD85" s="1482"/>
      <c r="BE85" s="1482"/>
      <c r="BF85" s="1482"/>
      <c r="BG85" s="1482"/>
      <c r="BH85" s="1482"/>
      <c r="BI85" s="1482"/>
    </row>
    <row r="86" spans="4:61" ht="15">
      <c r="D86" s="314" t="str">
        <f>+'Questions - Fragen'!$A31</f>
        <v>3.4</v>
      </c>
      <c r="E86" s="38"/>
      <c r="F86" s="38"/>
      <c r="G86" s="38"/>
      <c r="H86" s="38"/>
      <c r="I86" s="275"/>
      <c r="J86" s="167"/>
      <c r="K86" s="167"/>
      <c r="T86" s="290"/>
      <c r="U86" s="744"/>
      <c r="V86" s="744"/>
      <c r="W86" s="1588"/>
      <c r="X86" s="1588"/>
      <c r="Y86" s="1588"/>
      <c r="Z86" s="1588"/>
      <c r="AA86" s="1588"/>
      <c r="AB86" s="1588"/>
      <c r="AC86" s="1588"/>
      <c r="AD86" s="1588"/>
      <c r="AE86" s="1588"/>
      <c r="AF86" s="1588"/>
      <c r="AG86" s="1588"/>
      <c r="AH86" s="1588"/>
      <c r="AI86" s="1588"/>
      <c r="AJ86" s="1588"/>
      <c r="AK86" s="1588"/>
      <c r="AL86" s="1588"/>
      <c r="AM86" s="1588"/>
      <c r="AN86" s="1588"/>
      <c r="AO86" s="1588"/>
      <c r="AP86" s="1588"/>
      <c r="AQ86" s="1588"/>
      <c r="AR86" s="1588"/>
      <c r="AS86" s="1588"/>
      <c r="AT86" s="1588"/>
      <c r="AU86" s="1588"/>
      <c r="AV86" s="1588"/>
      <c r="AW86" s="1482"/>
      <c r="AX86" s="1482"/>
      <c r="AY86" s="1482"/>
      <c r="AZ86" s="1482"/>
      <c r="BA86" s="1482"/>
      <c r="BB86" s="1482"/>
      <c r="BC86" s="1482"/>
      <c r="BD86" s="1482"/>
      <c r="BE86" s="1482"/>
      <c r="BF86" s="1482"/>
      <c r="BG86" s="1482"/>
      <c r="BH86" s="1482"/>
      <c r="BI86" s="1482"/>
    </row>
    <row r="87" spans="4:61">
      <c r="D87" s="314" t="str">
        <f>+'Questions - Fragen'!$A34</f>
        <v>3.5</v>
      </c>
      <c r="E87" s="38"/>
      <c r="F87" s="38"/>
      <c r="G87" s="38"/>
      <c r="H87" s="38"/>
      <c r="I87" s="275"/>
      <c r="J87" s="167"/>
      <c r="K87" s="167"/>
      <c r="T87" s="260"/>
      <c r="U87" s="1497"/>
      <c r="V87" s="1497"/>
      <c r="W87" s="1497"/>
      <c r="X87" s="1497"/>
      <c r="Y87" s="1497"/>
      <c r="Z87" s="1497"/>
      <c r="AA87" s="1497"/>
      <c r="AB87" s="1497"/>
      <c r="AC87" s="1497"/>
      <c r="AD87" s="1497"/>
      <c r="AE87" s="1497"/>
      <c r="AF87" s="1497"/>
      <c r="AG87" s="1497"/>
      <c r="AH87" s="1497"/>
      <c r="AI87" s="1497"/>
      <c r="AJ87" s="1497"/>
      <c r="AK87" s="1497"/>
      <c r="AL87" s="1497"/>
      <c r="AM87" s="1497"/>
      <c r="AN87" s="1497"/>
      <c r="AO87" s="1497"/>
      <c r="AP87" s="1497"/>
      <c r="AQ87" s="1497"/>
      <c r="AR87" s="1497"/>
      <c r="AS87" s="1497"/>
      <c r="AT87" s="1497"/>
      <c r="AU87" s="1497"/>
      <c r="AV87" s="1497"/>
      <c r="AW87" s="1482"/>
      <c r="AX87" s="1482"/>
      <c r="AY87" s="1482"/>
      <c r="AZ87" s="1482"/>
      <c r="BA87" s="1482"/>
      <c r="BB87" s="1482"/>
      <c r="BC87" s="1482"/>
      <c r="BD87" s="1482"/>
      <c r="BE87" s="1482"/>
      <c r="BF87" s="1482"/>
      <c r="BG87" s="1482"/>
      <c r="BH87" s="1482"/>
      <c r="BI87" s="1482"/>
    </row>
    <row r="88" spans="4:61" ht="15">
      <c r="D88" s="315" t="str">
        <f>+'Questions - Fragen'!$A37</f>
        <v>P4</v>
      </c>
      <c r="E88" s="38"/>
      <c r="F88" s="38"/>
      <c r="G88" s="272" t="s">
        <v>97</v>
      </c>
      <c r="H88" s="38" t="str">
        <f>+IF(COUNT(E82:E87)=0,"n.b.",+IF(MIN(E82:E87)=0,"C",+IF(MIN(E82:E87)=4,"B","A")))</f>
        <v>n.b.</v>
      </c>
      <c r="I88" s="275" t="str">
        <f>+A14</f>
        <v>n.e.</v>
      </c>
      <c r="J88" s="167"/>
      <c r="K88" s="167"/>
      <c r="T88" s="260"/>
      <c r="U88" s="1497"/>
      <c r="V88" s="1497"/>
      <c r="W88" s="1497"/>
      <c r="X88" s="1497"/>
      <c r="Y88" s="1497"/>
      <c r="Z88" s="1497"/>
      <c r="AA88" s="1497"/>
      <c r="AB88" s="1497"/>
      <c r="AC88" s="1497"/>
      <c r="AD88" s="1497"/>
      <c r="AE88" s="1497"/>
      <c r="AF88" s="1497"/>
      <c r="AG88" s="1497"/>
      <c r="AH88" s="1497"/>
      <c r="AI88" s="1497"/>
      <c r="AJ88" s="1497"/>
      <c r="AK88" s="1497"/>
      <c r="AL88" s="1497"/>
      <c r="AM88" s="1497"/>
      <c r="AN88" s="1497"/>
      <c r="AO88" s="1497"/>
      <c r="AP88" s="1497"/>
      <c r="AQ88" s="1497"/>
      <c r="AR88" s="1497"/>
      <c r="AS88" s="1497"/>
      <c r="AT88" s="1497"/>
      <c r="AU88" s="1497"/>
      <c r="AV88" s="1497"/>
      <c r="AW88" s="1482"/>
      <c r="AX88" s="1482"/>
      <c r="AY88" s="1482"/>
      <c r="AZ88" s="1482"/>
      <c r="BA88" s="1482"/>
      <c r="BB88" s="1482"/>
      <c r="BC88" s="1482"/>
      <c r="BD88" s="1482"/>
      <c r="BE88" s="1482"/>
      <c r="BF88" s="1482"/>
      <c r="BG88" s="1482"/>
      <c r="BH88" s="1482"/>
      <c r="BI88" s="1482"/>
    </row>
    <row r="89" spans="4:61">
      <c r="D89" s="314" t="str">
        <f>+'Questions - Fragen'!$A39</f>
        <v>4.1</v>
      </c>
      <c r="E89" s="38" t="str">
        <f>IF(COUNT(J89:K89)&gt;0,MIN(J89:K89),"n.b")</f>
        <v>n.b</v>
      </c>
      <c r="F89" s="38"/>
      <c r="G89" s="38"/>
      <c r="H89" s="38"/>
      <c r="I89" s="275"/>
      <c r="J89" s="167" t="str">
        <f>D22</f>
        <v>n.e.</v>
      </c>
      <c r="K89" s="167" t="str">
        <f>Q22</f>
        <v>n.e.</v>
      </c>
      <c r="T89" s="260"/>
      <c r="U89" s="1497"/>
      <c r="V89" s="1497"/>
      <c r="W89" s="1497"/>
      <c r="X89" s="1497"/>
      <c r="Y89" s="1497"/>
      <c r="Z89" s="1497"/>
      <c r="AA89" s="1497"/>
      <c r="AB89" s="1497"/>
      <c r="AC89" s="1497"/>
      <c r="AD89" s="1497"/>
      <c r="AE89" s="1497"/>
      <c r="AF89" s="1497"/>
      <c r="AG89" s="1497"/>
      <c r="AH89" s="1497"/>
      <c r="AI89" s="1497"/>
      <c r="AJ89" s="1497"/>
      <c r="AK89" s="1497"/>
      <c r="AL89" s="1497"/>
      <c r="AM89" s="1497"/>
      <c r="AN89" s="1497"/>
      <c r="AO89" s="1497"/>
      <c r="AP89" s="1497"/>
      <c r="AQ89" s="1497"/>
      <c r="AR89" s="1497"/>
      <c r="AS89" s="1497"/>
      <c r="AT89" s="1497"/>
      <c r="AU89" s="1497"/>
      <c r="AV89" s="1497"/>
      <c r="AW89" s="1482"/>
      <c r="AX89" s="1482"/>
      <c r="AY89" s="1482"/>
      <c r="AZ89" s="1482"/>
      <c r="BA89" s="1482"/>
      <c r="BB89" s="1482"/>
      <c r="BC89" s="1482"/>
      <c r="BD89" s="1482"/>
      <c r="BE89" s="1482"/>
      <c r="BF89" s="1482"/>
      <c r="BG89" s="1482"/>
      <c r="BH89" s="1482"/>
      <c r="BI89" s="1482"/>
    </row>
    <row r="90" spans="4:61">
      <c r="D90" s="314" t="str">
        <f>+'Questions - Fragen'!$A42</f>
        <v>4.2</v>
      </c>
      <c r="E90" s="38"/>
      <c r="F90" s="38"/>
      <c r="G90" s="38"/>
      <c r="H90" s="38"/>
      <c r="I90" s="275"/>
      <c r="J90" s="167"/>
      <c r="K90" s="167"/>
      <c r="T90" s="260"/>
      <c r="U90" s="1497"/>
      <c r="V90" s="1497"/>
      <c r="W90" s="1497"/>
      <c r="X90" s="1497"/>
      <c r="Y90" s="1497"/>
      <c r="Z90" s="1497"/>
      <c r="AA90" s="1497"/>
      <c r="AB90" s="1497"/>
      <c r="AC90" s="1497"/>
      <c r="AD90" s="1497"/>
      <c r="AE90" s="1497"/>
      <c r="AF90" s="1497"/>
      <c r="AG90" s="1497"/>
      <c r="AH90" s="1497"/>
      <c r="AI90" s="1497"/>
      <c r="AJ90" s="1497"/>
      <c r="AK90" s="1497"/>
      <c r="AL90" s="1497"/>
      <c r="AM90" s="1497"/>
      <c r="AN90" s="1497"/>
      <c r="AO90" s="1497"/>
      <c r="AP90" s="1497"/>
      <c r="AQ90" s="1497"/>
      <c r="AR90" s="1497"/>
      <c r="AS90" s="1497"/>
      <c r="AT90" s="1497"/>
      <c r="AU90" s="1497"/>
      <c r="AV90" s="1497"/>
      <c r="AW90" s="1482"/>
      <c r="AX90" s="1482"/>
      <c r="AY90" s="1482"/>
      <c r="AZ90" s="1482"/>
      <c r="BA90" s="1482"/>
      <c r="BB90" s="1482"/>
      <c r="BC90" s="1482"/>
      <c r="BD90" s="1482"/>
      <c r="BE90" s="1482"/>
      <c r="BF90" s="1482"/>
      <c r="BG90" s="1482"/>
      <c r="BH90" s="1482"/>
      <c r="BI90" s="1482"/>
    </row>
    <row r="91" spans="4:61">
      <c r="D91" s="314" t="str">
        <f>+'Questions - Fragen'!$A45</f>
        <v>4.3</v>
      </c>
      <c r="E91" s="38"/>
      <c r="F91" s="38"/>
      <c r="G91" s="38"/>
      <c r="H91" s="38"/>
      <c r="I91" s="275"/>
      <c r="J91" s="167"/>
      <c r="K91" s="167"/>
      <c r="T91" s="260"/>
      <c r="U91" s="1497"/>
      <c r="V91" s="1497"/>
      <c r="W91" s="1497"/>
      <c r="X91" s="1497"/>
      <c r="Y91" s="1497"/>
      <c r="Z91" s="1497"/>
      <c r="AA91" s="1497"/>
      <c r="AB91" s="1497"/>
      <c r="AC91" s="1497"/>
      <c r="AD91" s="1497"/>
      <c r="AE91" s="1497"/>
      <c r="AF91" s="1497"/>
      <c r="AG91" s="1497"/>
      <c r="AH91" s="1497"/>
      <c r="AI91" s="1497"/>
      <c r="AJ91" s="1497"/>
      <c r="AK91" s="1497"/>
      <c r="AL91" s="1497"/>
      <c r="AM91" s="1497"/>
      <c r="AN91" s="1497"/>
      <c r="AO91" s="1497"/>
      <c r="AP91" s="1497"/>
      <c r="AQ91" s="1497"/>
      <c r="AR91" s="1497"/>
      <c r="AS91" s="1497"/>
      <c r="AT91" s="1497"/>
      <c r="AU91" s="1497"/>
      <c r="AV91" s="1497"/>
      <c r="AW91" s="1482"/>
      <c r="AX91" s="1482"/>
      <c r="AY91" s="1482"/>
      <c r="AZ91" s="1482"/>
      <c r="BA91" s="1482"/>
      <c r="BB91" s="1482"/>
      <c r="BC91" s="1482"/>
      <c r="BD91" s="1482"/>
      <c r="BE91" s="1482"/>
      <c r="BF91" s="1482"/>
      <c r="BG91" s="1482"/>
      <c r="BH91" s="1482"/>
      <c r="BI91" s="1482"/>
    </row>
    <row r="92" spans="4:61">
      <c r="D92" s="314" t="str">
        <f>+'Questions - Fragen'!$A48</f>
        <v>4.4</v>
      </c>
      <c r="E92" s="38" t="str">
        <f>IF(COUNT(J92:K92)&gt;0,MIN(J92:K92),"n.b")</f>
        <v>n.b</v>
      </c>
      <c r="F92" s="38"/>
      <c r="G92" s="38"/>
      <c r="H92" s="38"/>
      <c r="I92" s="275"/>
      <c r="J92" s="167" t="str">
        <f>G22</f>
        <v>n.e.</v>
      </c>
      <c r="K92" s="167" t="str">
        <f>T22</f>
        <v>n.e.</v>
      </c>
      <c r="T92" s="260"/>
      <c r="U92" s="1497"/>
      <c r="V92" s="1497"/>
      <c r="W92" s="1497"/>
      <c r="X92" s="1497"/>
      <c r="Y92" s="1497"/>
      <c r="Z92" s="1497"/>
      <c r="AA92" s="1497"/>
      <c r="AB92" s="1497"/>
      <c r="AC92" s="1497"/>
      <c r="AD92" s="1497"/>
      <c r="AE92" s="1497"/>
      <c r="AF92" s="1497"/>
      <c r="AG92" s="1497"/>
      <c r="AH92" s="1497"/>
      <c r="AI92" s="1497"/>
      <c r="AJ92" s="1497"/>
      <c r="AK92" s="1497"/>
      <c r="AL92" s="1497"/>
      <c r="AM92" s="1497"/>
      <c r="AN92" s="1497"/>
      <c r="AO92" s="1497"/>
      <c r="AP92" s="1497"/>
      <c r="AQ92" s="1497"/>
      <c r="AR92" s="1497"/>
      <c r="AS92" s="1497"/>
      <c r="AT92" s="1497"/>
      <c r="AU92" s="1497"/>
      <c r="AV92" s="1497"/>
      <c r="AW92" s="1482"/>
      <c r="AX92" s="1482"/>
      <c r="AY92" s="1482"/>
      <c r="AZ92" s="1482"/>
      <c r="BA92" s="1482"/>
      <c r="BB92" s="1482"/>
      <c r="BC92" s="1482"/>
      <c r="BD92" s="1482"/>
      <c r="BE92" s="1482"/>
      <c r="BF92" s="1482"/>
      <c r="BG92" s="1482"/>
      <c r="BH92" s="1482"/>
      <c r="BI92" s="1482"/>
    </row>
    <row r="93" spans="4:61">
      <c r="D93" s="314" t="str">
        <f>+'Questions - Fragen'!$A51</f>
        <v>4.5</v>
      </c>
      <c r="E93" s="38"/>
      <c r="F93" s="38"/>
      <c r="G93" s="38"/>
      <c r="H93" s="38"/>
      <c r="I93" s="275"/>
      <c r="J93" s="167"/>
      <c r="K93" s="167"/>
      <c r="T93" s="260"/>
      <c r="U93" s="1497"/>
      <c r="V93" s="1497"/>
      <c r="W93" s="1497"/>
      <c r="X93" s="1497"/>
      <c r="Y93" s="1497"/>
      <c r="Z93" s="1497"/>
      <c r="AA93" s="1497"/>
      <c r="AB93" s="1497"/>
      <c r="AC93" s="1497"/>
      <c r="AD93" s="1497"/>
      <c r="AE93" s="1497"/>
      <c r="AF93" s="1497"/>
      <c r="AG93" s="1497"/>
      <c r="AH93" s="1497"/>
      <c r="AI93" s="1497"/>
      <c r="AJ93" s="1497"/>
      <c r="AK93" s="1497"/>
      <c r="AL93" s="1497"/>
      <c r="AM93" s="1497"/>
      <c r="AN93" s="1497"/>
      <c r="AO93" s="1497"/>
      <c r="AP93" s="1497"/>
      <c r="AQ93" s="1497"/>
      <c r="AR93" s="1497"/>
      <c r="AS93" s="1497"/>
      <c r="AT93" s="1497"/>
      <c r="AU93" s="1497"/>
      <c r="AV93" s="1497"/>
      <c r="AW93" s="1482"/>
      <c r="AX93" s="1482"/>
      <c r="AY93" s="1482"/>
      <c r="AZ93" s="1482"/>
      <c r="BA93" s="1482"/>
      <c r="BB93" s="1482"/>
      <c r="BC93" s="1482"/>
      <c r="BD93" s="1482"/>
      <c r="BE93" s="1482"/>
      <c r="BF93" s="1482"/>
      <c r="BG93" s="1482"/>
      <c r="BH93" s="1482"/>
      <c r="BI93" s="1482"/>
    </row>
    <row r="94" spans="4:61">
      <c r="D94" s="314" t="str">
        <f>+'Questions - Fragen'!$A54</f>
        <v>4.6</v>
      </c>
      <c r="E94" s="38"/>
      <c r="F94" s="38"/>
      <c r="G94" s="38"/>
      <c r="H94" s="38"/>
      <c r="I94" s="275"/>
      <c r="J94" s="167"/>
      <c r="K94" s="167"/>
      <c r="T94" s="260"/>
      <c r="U94" s="1497"/>
      <c r="V94" s="1497"/>
      <c r="W94" s="1497"/>
      <c r="X94" s="1497"/>
      <c r="Y94" s="1497"/>
      <c r="Z94" s="1497"/>
      <c r="AA94" s="1497"/>
      <c r="AB94" s="1497"/>
      <c r="AC94" s="1497"/>
      <c r="AD94" s="1497"/>
      <c r="AE94" s="1497"/>
      <c r="AF94" s="1497"/>
      <c r="AG94" s="1497"/>
      <c r="AH94" s="1497"/>
      <c r="AI94" s="1497"/>
      <c r="AJ94" s="1497"/>
      <c r="AK94" s="1497"/>
      <c r="AL94" s="1497"/>
      <c r="AM94" s="1497"/>
      <c r="AN94" s="1497"/>
      <c r="AO94" s="1497"/>
      <c r="AP94" s="1497"/>
      <c r="AQ94" s="1497"/>
      <c r="AR94" s="1497"/>
      <c r="AS94" s="1497"/>
      <c r="AT94" s="1497"/>
      <c r="AU94" s="1497"/>
      <c r="AV94" s="1497"/>
      <c r="AW94" s="1482"/>
      <c r="AX94" s="1482"/>
      <c r="AY94" s="1482"/>
      <c r="AZ94" s="1482"/>
      <c r="BA94" s="1482"/>
      <c r="BB94" s="1482"/>
      <c r="BC94" s="1482"/>
      <c r="BD94" s="1482"/>
      <c r="BE94" s="1482"/>
      <c r="BF94" s="1482"/>
      <c r="BG94" s="1482"/>
      <c r="BH94" s="1482"/>
      <c r="BI94" s="1482"/>
    </row>
    <row r="95" spans="4:61" ht="15">
      <c r="D95" s="398" t="str">
        <f>+'Questions - Fragen'!$A56</f>
        <v>4.7</v>
      </c>
      <c r="E95" s="38"/>
      <c r="F95" s="38"/>
      <c r="G95" s="38"/>
      <c r="H95" s="38"/>
      <c r="I95" s="275"/>
      <c r="J95" s="167"/>
      <c r="K95" s="167"/>
      <c r="T95" s="260"/>
      <c r="U95" s="1022"/>
      <c r="V95" s="1022"/>
      <c r="W95" s="1022"/>
      <c r="X95" s="1022"/>
      <c r="Y95" s="1022"/>
      <c r="Z95" s="1022"/>
      <c r="AA95" s="1022"/>
      <c r="AB95" s="1022"/>
      <c r="AC95" s="1022"/>
      <c r="AD95" s="1022"/>
      <c r="AE95" s="1022"/>
      <c r="AF95" s="1022"/>
      <c r="AG95" s="1022"/>
      <c r="AH95" s="1022"/>
      <c r="AI95" s="1022"/>
      <c r="AJ95" s="1022"/>
      <c r="AK95" s="1022"/>
      <c r="AL95" s="1022"/>
      <c r="AM95" s="1022"/>
      <c r="AN95" s="1022"/>
      <c r="AO95" s="1022"/>
      <c r="AP95" s="1022"/>
      <c r="AQ95" s="1022"/>
      <c r="AR95" s="1022"/>
      <c r="AS95" s="1022"/>
      <c r="AT95" s="1022"/>
      <c r="AU95" s="1022"/>
      <c r="AV95" s="1022"/>
      <c r="AW95" s="1021"/>
      <c r="AX95" s="1021"/>
      <c r="AY95" s="1021"/>
      <c r="AZ95" s="1021"/>
      <c r="BA95" s="1021"/>
      <c r="BB95" s="1021"/>
      <c r="BC95" s="1021"/>
      <c r="BD95" s="1021"/>
      <c r="BE95" s="1021"/>
      <c r="BF95" s="1021"/>
      <c r="BG95" s="1021"/>
      <c r="BH95" s="1021"/>
      <c r="BI95" s="1021"/>
    </row>
    <row r="96" spans="4:61" ht="15">
      <c r="D96" s="314" t="str">
        <f>+'Questions - Fragen'!$A58</f>
        <v>4.8</v>
      </c>
      <c r="E96" s="38" t="str">
        <f>IF(COUNT(J96:K96)&gt;0,MIN(J96:K96),"n.b")</f>
        <v>n.b</v>
      </c>
      <c r="F96" s="38"/>
      <c r="G96" s="38"/>
      <c r="H96" s="38"/>
      <c r="I96" s="275"/>
      <c r="J96" s="167" t="str">
        <f>K22</f>
        <v>n.e.</v>
      </c>
      <c r="K96" s="167" t="str">
        <f>X22</f>
        <v>n.e.</v>
      </c>
      <c r="T96" s="260"/>
      <c r="U96" s="1497"/>
      <c r="V96" s="1497"/>
      <c r="W96" s="1497"/>
      <c r="X96" s="1497"/>
      <c r="Y96" s="1497"/>
      <c r="Z96" s="1497"/>
      <c r="AA96" s="1497"/>
      <c r="AB96" s="1497"/>
      <c r="AC96" s="1497"/>
      <c r="AD96" s="1497"/>
      <c r="AE96" s="1497"/>
      <c r="AF96" s="1497"/>
      <c r="AG96" s="1497"/>
      <c r="AH96" s="1497"/>
      <c r="AI96" s="1497"/>
      <c r="AJ96" s="1497"/>
      <c r="AK96" s="1497"/>
      <c r="AL96" s="1497"/>
      <c r="AM96" s="1497"/>
      <c r="AN96" s="1497"/>
      <c r="AO96" s="1497"/>
      <c r="AP96" s="1497"/>
      <c r="AQ96" s="1497"/>
      <c r="AR96" s="1497"/>
      <c r="AS96" s="1497"/>
      <c r="AT96" s="1497"/>
      <c r="AU96" s="1497"/>
      <c r="AV96" s="1497"/>
      <c r="AW96" s="1482"/>
      <c r="AX96" s="1482"/>
      <c r="AY96" s="1482"/>
      <c r="AZ96" s="1482"/>
      <c r="BA96" s="1482"/>
      <c r="BB96" s="1482"/>
      <c r="BC96" s="1482"/>
      <c r="BD96" s="1482"/>
      <c r="BE96" s="1482"/>
      <c r="BF96" s="1482"/>
      <c r="BG96" s="1482"/>
      <c r="BH96" s="1482"/>
      <c r="BI96" s="1482"/>
    </row>
    <row r="97" spans="4:20" ht="15">
      <c r="D97" s="315" t="str">
        <f>+'Questions - Fragen'!$A61</f>
        <v>P5</v>
      </c>
      <c r="E97" s="38"/>
      <c r="F97" s="38"/>
      <c r="G97" s="272" t="s">
        <v>98</v>
      </c>
      <c r="H97" s="38" t="str">
        <f>+IF(COUNT(E89:E96)=0,"n.b.",+IF(MIN(E89:E96)=0,"C",+IF(MIN(E89:E96)=4,"B","A")))</f>
        <v>n.b.</v>
      </c>
      <c r="I97" s="275" t="str">
        <f>+A22</f>
        <v>n.e.</v>
      </c>
    </row>
    <row r="98" spans="4:20">
      <c r="D98" s="314" t="str">
        <f>+'Questions - Fragen'!$A62</f>
        <v>5.1</v>
      </c>
      <c r="E98" s="38"/>
      <c r="F98" s="38"/>
      <c r="G98" s="38"/>
      <c r="H98" s="38"/>
      <c r="I98" s="275"/>
    </row>
    <row r="99" spans="4:20">
      <c r="D99" s="314" t="str">
        <f>+'Questions - Fragen'!$A63</f>
        <v>5.2</v>
      </c>
      <c r="E99" s="38"/>
      <c r="F99" s="38"/>
      <c r="G99" s="38"/>
      <c r="H99" s="38"/>
      <c r="I99" s="275"/>
    </row>
    <row r="100" spans="4:20">
      <c r="D100" s="314" t="str">
        <f>+'Questions - Fragen'!$A64</f>
        <v>5.3</v>
      </c>
      <c r="E100" s="38"/>
      <c r="F100" s="38"/>
      <c r="G100" s="38"/>
      <c r="H100" s="38"/>
      <c r="I100" s="275"/>
    </row>
    <row r="101" spans="4:20">
      <c r="D101" s="314" t="str">
        <f>+'Questions - Fragen'!$A65</f>
        <v>5.4</v>
      </c>
      <c r="E101" s="38" t="str">
        <f>O29</f>
        <v>n.e.</v>
      </c>
      <c r="F101" s="38"/>
      <c r="G101" s="38"/>
      <c r="H101" s="38"/>
      <c r="I101" s="275"/>
    </row>
    <row r="102" spans="4:20">
      <c r="D102" s="314" t="str">
        <f>+'Questions - Fragen'!$A66</f>
        <v>5.5</v>
      </c>
      <c r="E102" s="38" t="str">
        <f>P29</f>
        <v>n.e.</v>
      </c>
      <c r="F102" s="38"/>
      <c r="G102" s="38"/>
      <c r="H102" s="38"/>
      <c r="I102" s="275"/>
    </row>
    <row r="103" spans="4:20">
      <c r="D103" s="314" t="str">
        <f>+'Questions - Fragen'!$A67</f>
        <v>5.6</v>
      </c>
      <c r="E103" s="38"/>
      <c r="F103" s="38"/>
      <c r="G103" s="38"/>
      <c r="H103" s="38"/>
      <c r="I103" s="275"/>
    </row>
    <row r="104" spans="4:20">
      <c r="D104" s="314" t="str">
        <f>+'Questions - Fragen'!$A68</f>
        <v>5.7</v>
      </c>
      <c r="E104" s="38"/>
      <c r="F104" s="38"/>
      <c r="G104" s="272" t="s">
        <v>99</v>
      </c>
      <c r="H104" s="186" t="str">
        <f>+IF(COUNT(E98:E104)=0,"n.b.",+IF(MIN(E98:E104)=0,"C",+IF(MIN(E98:E104)=4,"B","A")))</f>
        <v>n.b.</v>
      </c>
      <c r="I104" s="275" t="str">
        <f>+A29</f>
        <v>n.e.</v>
      </c>
    </row>
    <row r="105" spans="4:20" ht="15">
      <c r="D105" s="315" t="str">
        <f>+'Questions - Fragen'!$A69</f>
        <v>P6</v>
      </c>
      <c r="E105" s="272" t="s">
        <v>162</v>
      </c>
      <c r="F105" s="38"/>
      <c r="G105" s="38"/>
      <c r="H105" s="38"/>
      <c r="I105" s="275"/>
      <c r="J105" s="32">
        <f>'Input Form - EingabeMaske'!F54</f>
        <v>0</v>
      </c>
      <c r="K105" s="32">
        <f>'Input Form - EingabeMaske'!F55</f>
        <v>0</v>
      </c>
      <c r="L105" s="32">
        <f>'Input Form - EingabeMaske'!F56</f>
        <v>0</v>
      </c>
      <c r="T105" s="32" t="s">
        <v>306</v>
      </c>
    </row>
    <row r="106" spans="4:20">
      <c r="D106" s="314" t="str">
        <f>+'Questions - Fragen'!$A70</f>
        <v>6.1</v>
      </c>
      <c r="E106" s="272" t="s">
        <v>162</v>
      </c>
      <c r="F106" s="38"/>
      <c r="G106" s="38"/>
      <c r="H106" s="38"/>
      <c r="I106" s="275"/>
      <c r="J106" s="32" t="s">
        <v>197</v>
      </c>
      <c r="K106" s="32" t="s">
        <v>198</v>
      </c>
      <c r="L106" s="32" t="s">
        <v>199</v>
      </c>
    </row>
    <row r="107" spans="4:20">
      <c r="D107" s="314" t="str">
        <f>+'Questions - Fragen'!$A71</f>
        <v>6.1.1</v>
      </c>
      <c r="E107" s="38" t="s">
        <v>210</v>
      </c>
      <c r="F107" s="38"/>
      <c r="G107" s="38"/>
      <c r="H107" s="38"/>
      <c r="I107" s="275"/>
      <c r="J107" s="177"/>
      <c r="K107" s="177"/>
      <c r="L107" s="177"/>
      <c r="M107" s="177"/>
      <c r="N107" s="177"/>
      <c r="O107" s="177"/>
      <c r="P107" s="177"/>
      <c r="Q107" s="177"/>
      <c r="R107" s="177"/>
      <c r="S107" s="177"/>
    </row>
    <row r="108" spans="4:20">
      <c r="D108" s="314" t="str">
        <f>+'Questions - Fragen'!$A82</f>
        <v>6.1.2</v>
      </c>
      <c r="E108" s="38" t="str">
        <f>+IF('Questions - Fragen'!B82&lt;&gt;"x","kein *",+IF(ISERROR(AVERAGE('Questions - Fragen'!D83:D85)),"n.b.",+MIN('Questions - Fragen'!D83:D85)))</f>
        <v>kein *</v>
      </c>
      <c r="F108" s="38"/>
      <c r="G108" s="38"/>
      <c r="H108" s="38"/>
      <c r="I108" s="275"/>
      <c r="J108" s="177"/>
      <c r="K108" s="177"/>
      <c r="L108" s="177"/>
      <c r="M108" s="177"/>
      <c r="N108" s="177"/>
      <c r="O108" s="177"/>
      <c r="P108" s="177"/>
      <c r="Q108" s="177"/>
      <c r="R108" s="177"/>
      <c r="S108" s="177"/>
    </row>
    <row r="109" spans="4:20">
      <c r="D109" s="314" t="str">
        <f>+'Questions - Fragen'!$A93</f>
        <v>6.1.3</v>
      </c>
      <c r="E109" s="38" t="str">
        <f>+IF('Questions - Fragen'!B93&lt;&gt;"x","kein *",+IF(ISERROR(AVERAGE('Questions - Fragen'!D94:D96)),"n.b.",+MIN('Questions - Fragen'!D94:D96)))</f>
        <v>kein *</v>
      </c>
      <c r="F109" s="38"/>
      <c r="G109" s="38"/>
      <c r="H109" s="38"/>
      <c r="I109" s="275"/>
      <c r="J109" s="177"/>
      <c r="K109" s="177"/>
      <c r="L109" s="177"/>
      <c r="M109" s="177"/>
      <c r="N109" s="177"/>
      <c r="O109" s="177"/>
      <c r="P109" s="177"/>
      <c r="Q109" s="177"/>
      <c r="R109" s="177"/>
      <c r="S109" s="177"/>
    </row>
    <row r="110" spans="4:20">
      <c r="D110" s="314" t="str">
        <f>+'Questions - Fragen'!$A104</f>
        <v>6.1.4</v>
      </c>
      <c r="E110" s="38" t="str">
        <f>+IF('Questions - Fragen'!B104&lt;&gt;"x","kein *",+IF(ISERROR(AVERAGE('Questions - Fragen'!D105:D107)),"n.b.",+MIN('Questions - Fragen'!D105:D107)))</f>
        <v>kein *</v>
      </c>
      <c r="F110" s="38"/>
      <c r="G110" s="38"/>
      <c r="H110" s="38"/>
      <c r="I110" s="275"/>
      <c r="J110" s="177"/>
      <c r="K110" s="177"/>
      <c r="L110" s="177"/>
      <c r="M110" s="177"/>
      <c r="N110" s="177"/>
      <c r="O110" s="177"/>
      <c r="P110" s="177"/>
      <c r="Q110" s="177"/>
      <c r="R110" s="177"/>
      <c r="S110" s="177"/>
    </row>
    <row r="111" spans="4:20">
      <c r="D111" s="314" t="str">
        <f>+'Questions - Fragen'!$A115</f>
        <v>6.1.5</v>
      </c>
      <c r="E111" s="38" t="str">
        <f>IF(COUNT(J111:S111)&gt;0,MIN(J111:S111),"n.b")</f>
        <v>n.b</v>
      </c>
      <c r="F111" s="38"/>
      <c r="G111" s="38"/>
      <c r="H111" s="38"/>
      <c r="I111" s="275"/>
      <c r="J111" s="177" t="str">
        <f>IF(OR(J$105=0,ISBLANK('Questions - Fragen'!$D$116)),"--",'Questions - Fragen'!$D$116)</f>
        <v>--</v>
      </c>
      <c r="K111" s="177" t="str">
        <f>IF(OR(K$105=0,ISBLANK('Questions - Fragen'!$D$117)),"--",'Questions - Fragen'!$D$117)</f>
        <v>--</v>
      </c>
      <c r="L111" s="177" t="str">
        <f>IF(OR(L$105=0,ISBLANK('Questions - Fragen'!$D$118)),"--",'Questions - Fragen'!$D$118)</f>
        <v>--</v>
      </c>
      <c r="M111" s="177"/>
      <c r="N111" s="177"/>
      <c r="O111" s="177"/>
      <c r="P111" s="177"/>
      <c r="Q111" s="177"/>
      <c r="R111" s="177"/>
      <c r="S111" s="177"/>
    </row>
    <row r="112" spans="4:20">
      <c r="D112" s="314" t="str">
        <f>+'Questions - Fragen'!$A126</f>
        <v>6.2</v>
      </c>
      <c r="E112" s="272" t="s">
        <v>162</v>
      </c>
      <c r="F112" s="38"/>
      <c r="G112" s="38"/>
      <c r="H112" s="38"/>
      <c r="I112" s="275"/>
      <c r="J112" s="177"/>
      <c r="K112" s="177"/>
      <c r="L112" s="177"/>
      <c r="M112" s="177"/>
      <c r="N112" s="177"/>
      <c r="O112" s="177"/>
      <c r="P112" s="177"/>
      <c r="Q112" s="177"/>
      <c r="R112" s="177"/>
      <c r="S112" s="177"/>
    </row>
    <row r="113" spans="4:19">
      <c r="D113" s="314" t="str">
        <f>+'Questions - Fragen'!$A127</f>
        <v>6.2.1</v>
      </c>
      <c r="E113" s="38" t="s">
        <v>210</v>
      </c>
      <c r="F113" s="38"/>
      <c r="G113" s="38"/>
      <c r="H113" s="38"/>
      <c r="I113" s="275"/>
      <c r="J113" s="177"/>
      <c r="K113" s="177"/>
      <c r="L113" s="177"/>
      <c r="M113" s="177"/>
      <c r="N113" s="177"/>
      <c r="O113" s="177"/>
      <c r="P113" s="177"/>
      <c r="Q113" s="177"/>
      <c r="R113" s="177"/>
      <c r="S113" s="177"/>
    </row>
    <row r="114" spans="4:19">
      <c r="D114" s="314" t="str">
        <f>+'Questions - Fragen'!$A138</f>
        <v>6.2.2</v>
      </c>
      <c r="E114" s="38" t="s">
        <v>210</v>
      </c>
      <c r="F114" s="38"/>
      <c r="G114" s="38"/>
      <c r="H114" s="38"/>
      <c r="I114" s="275"/>
      <c r="J114" s="177"/>
      <c r="K114" s="177"/>
      <c r="L114" s="177"/>
      <c r="M114" s="177"/>
      <c r="N114" s="177"/>
      <c r="O114" s="177"/>
      <c r="P114" s="177"/>
      <c r="Q114" s="177"/>
      <c r="R114" s="177"/>
      <c r="S114" s="177"/>
    </row>
    <row r="115" spans="4:19">
      <c r="D115" s="314" t="str">
        <f>+'Questions - Fragen'!$A149</f>
        <v>6.2.3</v>
      </c>
      <c r="E115" s="38" t="str">
        <f>IF(COUNT(J115:S115)&gt;0,MIN(J115:S115),"n.b")</f>
        <v>n.b</v>
      </c>
      <c r="F115" s="38"/>
      <c r="G115" s="38"/>
      <c r="H115" s="38"/>
      <c r="I115" s="275"/>
      <c r="J115" s="177" t="str">
        <f>IF(OR(J$105=0,ISBLANK('Questions - Fragen'!$D$150)),"--",'Questions - Fragen'!$D$150)</f>
        <v>--</v>
      </c>
      <c r="K115" s="177" t="str">
        <f>IF(OR(K$105=0,ISBLANK('Questions - Fragen'!$D$151)),"--",'Questions - Fragen'!$D$151)</f>
        <v>--</v>
      </c>
      <c r="L115" s="177" t="str">
        <f>IF(OR(L$105=0,ISBLANK('Questions - Fragen'!$D$152)),"--",'Questions - Fragen'!$D$152)</f>
        <v>--</v>
      </c>
      <c r="M115" s="177"/>
      <c r="N115" s="177"/>
      <c r="O115" s="177"/>
      <c r="P115" s="177"/>
      <c r="Q115" s="177"/>
      <c r="R115" s="177"/>
      <c r="S115" s="177"/>
    </row>
    <row r="116" spans="4:19">
      <c r="D116" s="314" t="str">
        <f>+'Questions - Fragen'!$A160</f>
        <v>6.2.4</v>
      </c>
      <c r="E116" s="38" t="str">
        <f>IF(COUNT(J116:S116)&gt;0,MIN(J116:S116),"n.b")</f>
        <v>n.b</v>
      </c>
      <c r="F116" s="38"/>
      <c r="G116" s="38"/>
      <c r="H116" s="38"/>
      <c r="I116" s="275"/>
      <c r="J116" s="177" t="str">
        <f>IF(OR(J$105=0,ISBLANK('Questions - Fragen'!$D$161)),"--",'Questions - Fragen'!$D$161)</f>
        <v>--</v>
      </c>
      <c r="K116" s="177" t="str">
        <f>IF(OR(K$105=0,ISBLANK('Questions - Fragen'!$D$162)),"--",'Questions - Fragen'!$D$162)</f>
        <v>--</v>
      </c>
      <c r="L116" s="177" t="str">
        <f>IF(OR(L$105=0,ISBLANK('Questions - Fragen'!$D$163)),"--",'Questions - Fragen'!$D$163)</f>
        <v>--</v>
      </c>
      <c r="M116" s="177"/>
      <c r="N116" s="177"/>
      <c r="O116" s="177"/>
      <c r="P116" s="177"/>
      <c r="Q116" s="177"/>
      <c r="R116" s="177"/>
      <c r="S116" s="177"/>
    </row>
    <row r="117" spans="4:19">
      <c r="D117" s="314" t="str">
        <f>+'Questions - Fragen'!$A171</f>
        <v>6.2.5</v>
      </c>
      <c r="E117" s="38" t="str">
        <f>+IF('Questions - Fragen'!B171&lt;&gt;"x","kein *",+IF(ISERROR(AVERAGE('Questions - Fragen'!D172:D174)),"n.b.",+MIN('Questions - Fragen'!D172:D174)))</f>
        <v>kein *</v>
      </c>
      <c r="F117" s="38"/>
      <c r="G117" s="38"/>
      <c r="H117" s="38"/>
      <c r="I117" s="275"/>
      <c r="J117" s="177"/>
      <c r="K117" s="177"/>
      <c r="L117" s="177"/>
      <c r="M117" s="177"/>
      <c r="N117" s="177"/>
      <c r="O117" s="177"/>
      <c r="P117" s="177"/>
      <c r="Q117" s="177"/>
      <c r="R117" s="177"/>
      <c r="S117" s="177"/>
    </row>
    <row r="118" spans="4:19">
      <c r="D118" s="314" t="str">
        <f>+'Questions - Fragen'!$A182</f>
        <v>6.3</v>
      </c>
      <c r="E118" s="272" t="s">
        <v>162</v>
      </c>
      <c r="F118" s="38"/>
      <c r="G118" s="38"/>
      <c r="H118" s="38"/>
      <c r="I118" s="275"/>
      <c r="J118" s="177"/>
      <c r="K118" s="177"/>
      <c r="L118" s="177"/>
      <c r="M118" s="177"/>
      <c r="N118" s="177"/>
      <c r="O118" s="177"/>
      <c r="P118" s="177"/>
      <c r="Q118" s="177"/>
      <c r="R118" s="177"/>
      <c r="S118" s="177"/>
    </row>
    <row r="119" spans="4:19">
      <c r="D119" s="314" t="str">
        <f>+'Questions - Fragen'!$A183</f>
        <v>6.3.1</v>
      </c>
      <c r="E119" s="38" t="str">
        <f>IF(COUNT(J119:S119)&gt;0,MIN(J119:S119),"n.b")</f>
        <v>n.b</v>
      </c>
      <c r="F119" s="38"/>
      <c r="G119" s="38"/>
      <c r="H119" s="38"/>
      <c r="I119" s="275"/>
      <c r="J119" s="177" t="str">
        <f>IF(OR(J$105=0,ISBLANK('Questions - Fragen'!$D$184)),"--",'Questions - Fragen'!$D$184)</f>
        <v>--</v>
      </c>
      <c r="K119" s="177" t="str">
        <f>IF(OR(K$105=0,ISBLANK('Questions - Fragen'!$D$185)),"--",'Questions - Fragen'!$D$185)</f>
        <v>--</v>
      </c>
      <c r="L119" s="177" t="str">
        <f>IF(OR(L$105=0,ISBLANK('Questions - Fragen'!$D$186)),"--",'Questions - Fragen'!$D$186)</f>
        <v>--</v>
      </c>
      <c r="M119" s="177"/>
      <c r="N119" s="177"/>
      <c r="O119" s="177"/>
      <c r="P119" s="177"/>
      <c r="Q119" s="177"/>
      <c r="R119" s="177"/>
      <c r="S119" s="177"/>
    </row>
    <row r="120" spans="4:19">
      <c r="D120" s="314" t="str">
        <f>+'Questions - Fragen'!$A194</f>
        <v>6.3.2</v>
      </c>
      <c r="E120" s="38" t="s">
        <v>210</v>
      </c>
      <c r="F120" s="38"/>
      <c r="G120" s="38"/>
      <c r="H120" s="38"/>
      <c r="I120" s="275"/>
      <c r="J120" s="177"/>
      <c r="K120" s="177"/>
      <c r="L120" s="177"/>
      <c r="M120" s="177"/>
      <c r="N120" s="177"/>
      <c r="O120" s="177"/>
      <c r="P120" s="177"/>
      <c r="Q120" s="177"/>
      <c r="R120" s="177"/>
      <c r="S120" s="177"/>
    </row>
    <row r="121" spans="4:19">
      <c r="D121" s="314" t="str">
        <f>+'Questions - Fragen'!$A205</f>
        <v>6.3.3</v>
      </c>
      <c r="E121" s="38" t="str">
        <f>+IF('Questions - Fragen'!B205&lt;&gt;"x","kein *",+IF(ISERROR(AVERAGE('Questions - Fragen'!D206:D208)),"n.b.",+MIN('Questions - Fragen'!D206:D208)))</f>
        <v>kein *</v>
      </c>
      <c r="F121" s="38"/>
      <c r="G121" s="38"/>
      <c r="H121" s="38"/>
      <c r="I121" s="275"/>
      <c r="J121" s="177"/>
      <c r="K121" s="177"/>
      <c r="L121" s="177"/>
      <c r="M121" s="177"/>
      <c r="N121" s="177"/>
      <c r="O121" s="177"/>
      <c r="P121" s="177"/>
      <c r="Q121" s="177"/>
      <c r="R121" s="177"/>
      <c r="S121" s="177"/>
    </row>
    <row r="122" spans="4:19">
      <c r="D122" s="314" t="str">
        <f>+'Questions - Fragen'!$A216</f>
        <v>6.4</v>
      </c>
      <c r="E122" s="272" t="s">
        <v>162</v>
      </c>
      <c r="F122" s="38"/>
      <c r="G122" s="38"/>
      <c r="H122" s="38"/>
      <c r="I122" s="275"/>
      <c r="J122" s="177"/>
      <c r="K122" s="177"/>
      <c r="L122" s="177"/>
      <c r="M122" s="177"/>
      <c r="N122" s="177"/>
      <c r="O122" s="177"/>
      <c r="P122" s="177"/>
      <c r="Q122" s="177"/>
      <c r="R122" s="177"/>
      <c r="S122" s="177"/>
    </row>
    <row r="123" spans="4:19">
      <c r="D123" s="314" t="str">
        <f>+'Questions - Fragen'!$A217</f>
        <v>6.4.1</v>
      </c>
      <c r="E123" s="38" t="str">
        <f>IF(COUNT(J123:S123)&gt;0,MIN(J123:S123),"n.b")</f>
        <v>n.b</v>
      </c>
      <c r="F123" s="38"/>
      <c r="G123" s="38"/>
      <c r="H123" s="38"/>
      <c r="I123" s="275"/>
      <c r="J123" s="177" t="str">
        <f>IF(OR(J$105=0,ISBLANK('Questions - Fragen'!$D$218)),"--",'Questions - Fragen'!$D$218)</f>
        <v>--</v>
      </c>
      <c r="K123" s="177" t="str">
        <f>IF(OR(K$105=0,ISBLANK('Questions - Fragen'!$D$219)),"--",'Questions - Fragen'!$D$219)</f>
        <v>--</v>
      </c>
      <c r="L123" s="177" t="str">
        <f>IF(OR(L$105=0,ISBLANK('Questions - Fragen'!$D$220)),"--",'Questions - Fragen'!$D$220)</f>
        <v>--</v>
      </c>
      <c r="M123" s="177"/>
      <c r="N123" s="177"/>
      <c r="O123" s="177"/>
      <c r="P123" s="177"/>
      <c r="Q123" s="177"/>
      <c r="R123" s="177"/>
      <c r="S123" s="177"/>
    </row>
    <row r="124" spans="4:19">
      <c r="D124" s="314" t="str">
        <f>+'Questions - Fragen'!$A228</f>
        <v>6.4.2</v>
      </c>
      <c r="E124" s="38" t="s">
        <v>210</v>
      </c>
      <c r="F124" s="38"/>
      <c r="G124" s="38"/>
      <c r="H124" s="38"/>
      <c r="I124" s="275"/>
      <c r="J124" s="177"/>
      <c r="K124" s="177"/>
      <c r="L124" s="177"/>
      <c r="M124" s="177"/>
      <c r="N124" s="177"/>
      <c r="O124" s="177"/>
      <c r="P124" s="177"/>
      <c r="Q124" s="177"/>
      <c r="R124" s="177"/>
      <c r="S124" s="177"/>
    </row>
    <row r="125" spans="4:19">
      <c r="D125" s="314" t="str">
        <f>+'Questions - Fragen'!$A239</f>
        <v>6.4.3</v>
      </c>
      <c r="E125" s="38" t="str">
        <f>IF(COUNT(J125:S125)&gt;0,MIN(J125:S125),"n.b")</f>
        <v>n.b</v>
      </c>
      <c r="F125" s="38"/>
      <c r="G125" s="38"/>
      <c r="H125" s="38"/>
      <c r="I125" s="275"/>
      <c r="J125" s="177" t="str">
        <f>IF(OR(J$105=0,ISBLANK('Questions - Fragen'!$D$240)),"--",'Questions - Fragen'!$D$240)</f>
        <v>--</v>
      </c>
      <c r="K125" s="177" t="str">
        <f>IF(OR(K$105=0,ISBLANK('Questions - Fragen'!$D$241)),"--",'Questions - Fragen'!$D$241)</f>
        <v>--</v>
      </c>
      <c r="L125" s="177" t="str">
        <f>IF(OR(L$105=0,ISBLANK('Questions - Fragen'!$D$242)),"--",'Questions - Fragen'!$D$242)</f>
        <v>--</v>
      </c>
      <c r="M125" s="177"/>
      <c r="N125" s="177"/>
      <c r="O125" s="177"/>
      <c r="P125" s="177"/>
      <c r="Q125" s="177"/>
      <c r="R125" s="177"/>
      <c r="S125" s="177"/>
    </row>
    <row r="126" spans="4:19">
      <c r="D126" s="314" t="str">
        <f>+'Questions - Fragen'!$A250</f>
        <v>6.4.4</v>
      </c>
      <c r="E126" s="38" t="str">
        <f>+IF('Questions - Fragen'!B250&lt;&gt;"x","kein *",+IF(ISERROR(AVERAGE('Questions - Fragen'!D251:D253)),"n.b.",+MIN('Questions - Fragen'!D251:D253)))</f>
        <v>kein *</v>
      </c>
      <c r="F126" s="38"/>
      <c r="G126" s="38"/>
      <c r="H126" s="38"/>
      <c r="I126" s="275"/>
      <c r="J126" s="177"/>
      <c r="K126" s="177"/>
      <c r="L126" s="177"/>
      <c r="M126" s="177"/>
      <c r="N126" s="177"/>
      <c r="O126" s="177"/>
      <c r="P126" s="177"/>
      <c r="Q126" s="177"/>
      <c r="R126" s="177"/>
      <c r="S126" s="177"/>
    </row>
    <row r="127" spans="4:19">
      <c r="D127" s="398" t="str">
        <f>'Questions - Fragen'!A261</f>
        <v>6.4.5</v>
      </c>
      <c r="E127" s="38" t="s">
        <v>210</v>
      </c>
      <c r="F127" s="38"/>
      <c r="G127" s="38"/>
      <c r="H127" s="38"/>
      <c r="I127" s="275"/>
      <c r="J127" s="177"/>
      <c r="K127" s="177"/>
      <c r="L127" s="177"/>
      <c r="M127" s="177"/>
      <c r="N127" s="177"/>
      <c r="O127" s="177"/>
      <c r="P127" s="177"/>
      <c r="Q127" s="177"/>
      <c r="R127" s="177"/>
      <c r="S127" s="177"/>
    </row>
    <row r="128" spans="4:19">
      <c r="D128" s="314" t="str">
        <f>+'Questions - Fragen'!$A272</f>
        <v>6.5</v>
      </c>
      <c r="E128" s="272" t="s">
        <v>162</v>
      </c>
      <c r="F128" s="38"/>
      <c r="G128" s="38"/>
      <c r="H128" s="38"/>
      <c r="I128" s="275"/>
      <c r="J128" s="177"/>
      <c r="K128" s="177"/>
      <c r="L128" s="177"/>
      <c r="M128" s="177"/>
      <c r="N128" s="177"/>
      <c r="O128" s="177"/>
      <c r="P128" s="177"/>
      <c r="Q128" s="177"/>
      <c r="R128" s="177"/>
      <c r="S128" s="177"/>
    </row>
    <row r="129" spans="4:19">
      <c r="D129" s="314" t="str">
        <f>+'Questions - Fragen'!$A273</f>
        <v>6.5.1</v>
      </c>
      <c r="E129" s="38" t="str">
        <f>+IF('Questions - Fragen'!B273&lt;&gt;"x","kein *",+IF(ISERROR(AVERAGE('Questions - Fragen'!D274:D276)),"n.b.",+MIN('Questions - Fragen'!D274:D276)))</f>
        <v>kein *</v>
      </c>
      <c r="F129" s="38"/>
      <c r="G129" s="38"/>
      <c r="H129" s="38"/>
      <c r="I129" s="275"/>
      <c r="J129" s="177"/>
      <c r="K129" s="177"/>
      <c r="L129" s="177"/>
      <c r="M129" s="177"/>
      <c r="N129" s="177"/>
      <c r="O129" s="177"/>
      <c r="P129" s="177"/>
      <c r="Q129" s="177"/>
      <c r="R129" s="177"/>
      <c r="S129" s="177"/>
    </row>
    <row r="130" spans="4:19">
      <c r="D130" s="314" t="str">
        <f>+'Questions - Fragen'!$A284</f>
        <v>6.5.2</v>
      </c>
      <c r="E130" s="38" t="str">
        <f>+IF('Questions - Fragen'!B284&lt;&gt;"x","kein *",+IF(ISERROR(AVERAGE('Questions - Fragen'!D285:D287)),"n.b.",+MIN('Questions - Fragen'!D285:D287)))</f>
        <v>kein *</v>
      </c>
      <c r="F130" s="38"/>
      <c r="G130" s="38"/>
      <c r="H130" s="38"/>
      <c r="I130" s="275"/>
      <c r="J130" s="177"/>
      <c r="K130" s="177"/>
      <c r="L130" s="177"/>
      <c r="M130" s="177"/>
      <c r="N130" s="177"/>
      <c r="O130" s="177"/>
      <c r="P130" s="177"/>
      <c r="Q130" s="177"/>
      <c r="R130" s="177"/>
      <c r="S130" s="177"/>
    </row>
    <row r="131" spans="4:19">
      <c r="D131" s="314" t="str">
        <f>+'Questions - Fragen'!$A295</f>
        <v>6.5.3</v>
      </c>
      <c r="E131" s="38">
        <f>IF(COUNT(J131:S131)&gt;0,MIN(J131:S131),"n.b")</f>
        <v>10</v>
      </c>
      <c r="F131" s="38"/>
      <c r="G131" s="38"/>
      <c r="H131" s="38"/>
      <c r="I131" s="275"/>
      <c r="J131" s="177">
        <f>IF('Questions - Fragen'!$B295&lt;&gt;"x","kein *",IF(ISBLANK('Questions - Fragen'!D296),"--",'Questions - Fragen'!D296))</f>
        <v>10</v>
      </c>
      <c r="K131" s="177">
        <f>IF('Questions - Fragen'!$B295&lt;&gt;"x","kein *",IF(ISBLANK('Questions - Fragen'!D297),"--",'Questions - Fragen'!D297))</f>
        <v>10</v>
      </c>
      <c r="L131" s="177" t="str">
        <f>IF('Questions - Fragen'!$B295&lt;&gt;"x","kein *",IF(ISBLANK('Questions - Fragen'!D298),"--",'Questions - Fragen'!D298))</f>
        <v>n.e.</v>
      </c>
      <c r="M131" s="177"/>
      <c r="N131" s="177"/>
      <c r="O131" s="177"/>
      <c r="P131" s="177"/>
      <c r="Q131" s="177"/>
      <c r="R131" s="177"/>
      <c r="S131" s="177"/>
    </row>
    <row r="132" spans="4:19">
      <c r="D132" s="314" t="str">
        <f>+'Questions - Fragen'!$A306</f>
        <v>6.5.4</v>
      </c>
      <c r="E132" s="38" t="s">
        <v>210</v>
      </c>
      <c r="F132" s="38"/>
      <c r="G132" s="38"/>
      <c r="H132" s="38"/>
      <c r="I132" s="275"/>
      <c r="J132" s="177"/>
      <c r="K132" s="177"/>
      <c r="L132" s="177"/>
      <c r="M132" s="177"/>
      <c r="N132" s="177"/>
      <c r="O132" s="177"/>
      <c r="P132" s="177"/>
      <c r="Q132" s="177"/>
      <c r="R132" s="177"/>
      <c r="S132" s="177"/>
    </row>
    <row r="133" spans="4:19">
      <c r="D133" s="314" t="str">
        <f>+'Questions - Fragen'!$A317</f>
        <v>6.6</v>
      </c>
      <c r="E133" s="272" t="s">
        <v>162</v>
      </c>
      <c r="F133" s="38"/>
      <c r="G133" s="38"/>
      <c r="H133" s="38"/>
      <c r="I133" s="275"/>
      <c r="J133" s="177"/>
      <c r="K133" s="177"/>
      <c r="L133" s="177"/>
      <c r="M133" s="177"/>
      <c r="N133" s="177"/>
      <c r="O133" s="177"/>
      <c r="P133" s="177"/>
      <c r="Q133" s="177"/>
      <c r="R133" s="177"/>
      <c r="S133" s="177"/>
    </row>
    <row r="134" spans="4:19">
      <c r="D134" s="314" t="str">
        <f>+'Questions - Fragen'!$A318</f>
        <v>6.6.1</v>
      </c>
      <c r="E134" s="38" t="s">
        <v>210</v>
      </c>
      <c r="F134" s="38"/>
      <c r="G134" s="38"/>
      <c r="H134" s="38"/>
      <c r="I134" s="275"/>
      <c r="J134" s="177"/>
      <c r="K134" s="177"/>
      <c r="L134" s="177"/>
      <c r="M134" s="177"/>
      <c r="N134" s="177"/>
      <c r="O134" s="177"/>
      <c r="P134" s="177"/>
      <c r="Q134" s="177"/>
      <c r="R134" s="177"/>
      <c r="S134" s="177"/>
    </row>
    <row r="135" spans="4:19">
      <c r="D135" s="314" t="str">
        <f>+'Questions - Fragen'!$A329</f>
        <v>6.6.2</v>
      </c>
      <c r="E135" s="38" t="str">
        <f>+IF('Questions - Fragen'!B329&lt;&gt;"x","kein *",+IF(ISERROR(AVERAGE('Questions - Fragen'!D330:D332)),"n.b.",+MIN('Questions - Fragen'!D330:D332)))</f>
        <v>kein *</v>
      </c>
      <c r="F135" s="38"/>
      <c r="G135" s="38"/>
      <c r="H135" s="38"/>
      <c r="I135" s="275"/>
      <c r="J135" s="177"/>
      <c r="K135" s="177"/>
      <c r="L135" s="177"/>
      <c r="M135" s="177"/>
      <c r="N135" s="177"/>
      <c r="O135" s="177"/>
      <c r="P135" s="177"/>
      <c r="Q135" s="177"/>
      <c r="R135" s="177"/>
      <c r="S135" s="177"/>
    </row>
    <row r="136" spans="4:19">
      <c r="D136" s="314" t="str">
        <f>+'Questions - Fragen'!$A340</f>
        <v>6.6.3</v>
      </c>
      <c r="E136" s="38" t="str">
        <f>+IF('Questions - Fragen'!B340&lt;&gt;"x","kein *",+IF(ISERROR(AVERAGE('Questions - Fragen'!D341:D343)),"n.b.",+MIN('Questions - Fragen'!D341:D343)))</f>
        <v>kein *</v>
      </c>
      <c r="F136" s="38"/>
      <c r="G136" s="38"/>
      <c r="H136" s="38"/>
      <c r="I136" s="275"/>
      <c r="J136" s="177"/>
      <c r="K136" s="177"/>
      <c r="L136" s="177"/>
      <c r="M136" s="177"/>
      <c r="N136" s="177"/>
      <c r="O136" s="177"/>
      <c r="P136" s="177"/>
      <c r="Q136" s="177"/>
      <c r="R136" s="177"/>
      <c r="S136" s="177"/>
    </row>
    <row r="137" spans="4:19">
      <c r="D137" s="314" t="str">
        <f>+'Questions - Fragen'!$A351</f>
        <v>6.6.4</v>
      </c>
      <c r="E137" s="38" t="str">
        <f>IF(COUNT(J137:S137)&gt;0,MIN(J137:S137),"n.b")</f>
        <v>n.b</v>
      </c>
      <c r="F137" s="38"/>
      <c r="G137" s="38"/>
      <c r="H137" s="38"/>
      <c r="I137" s="275"/>
      <c r="J137" s="177" t="str">
        <f>IF(OR(J$105=0,ISBLANK('Questions - Fragen'!$D$352)),"--",'Questions - Fragen'!$D$352)</f>
        <v>--</v>
      </c>
      <c r="K137" s="177" t="str">
        <f>IF(OR(K$105=0,ISBLANK('Questions - Fragen'!$D$353)),"--",'Questions - Fragen'!$D$353)</f>
        <v>--</v>
      </c>
      <c r="L137" s="177" t="str">
        <f>IF(OR(L$105=0,ISBLANK('Questions - Fragen'!$D$354)),"--",'Questions - Fragen'!$D$354)</f>
        <v>--</v>
      </c>
      <c r="M137" s="177"/>
      <c r="N137" s="177"/>
      <c r="O137" s="177"/>
      <c r="P137" s="177"/>
      <c r="Q137" s="177"/>
      <c r="R137" s="177"/>
      <c r="S137" s="177"/>
    </row>
    <row r="138" spans="4:19" ht="15">
      <c r="D138" s="315" t="str">
        <f>+'Questions - Fragen'!$A362</f>
        <v>P7</v>
      </c>
      <c r="E138" s="272" t="s">
        <v>162</v>
      </c>
      <c r="F138" s="38"/>
      <c r="G138" s="272" t="s">
        <v>100</v>
      </c>
      <c r="H138" s="273" t="str">
        <f>IF(COUNT(E106:E137)=0,"n.b.",IF(MIN(E106:E137)=0,"C",IF(MIN(E106:E137)=4,"B","A")))</f>
        <v>A</v>
      </c>
      <c r="I138" s="292" t="str">
        <f>+A42</f>
        <v>A</v>
      </c>
      <c r="J138" s="273" t="str">
        <f>+IF(COUNTIFS('Questions - Fragen'!$A$72:$A$354,J106,'Questions - Fragen'!$D$72:$D$354,"n.b.")=26,"n.b.",+IF(MIN(J107:J137)=0,"C",+IF(MIN(J107:J137)=4,"B","A")))</f>
        <v>A</v>
      </c>
      <c r="K138" s="273" t="str">
        <f>+IF(COUNTIFS('Questions - Fragen'!$A$72:$A$354,K106,'Questions - Fragen'!$D$72:$D$354,"n.b.")=26,"n.b.",+IF(MIN(K107:K137)=0,"C",+IF(MIN(K107:K137)=4,"B","A")))</f>
        <v>A</v>
      </c>
      <c r="L138" s="273" t="str">
        <f>+IF(COUNTIFS('Questions - Fragen'!$A$72:$A$354,L106,'Questions - Fragen'!$D$72:$D$354,"n.b.")=26,"n.b.",+IF(MIN(L107:L137)=0,"C",+IF(MIN(L107:L137)=4,"B","A")))</f>
        <v>C</v>
      </c>
    </row>
    <row r="139" spans="4:19">
      <c r="D139" s="314" t="str">
        <f>+'Questions - Fragen'!$A363</f>
        <v>7.1</v>
      </c>
      <c r="E139" s="38"/>
      <c r="F139" s="38"/>
      <c r="G139" s="38"/>
      <c r="H139" s="38"/>
      <c r="I139" s="275"/>
      <c r="J139" s="32">
        <v>1</v>
      </c>
      <c r="K139" s="32">
        <v>2</v>
      </c>
      <c r="L139" s="32">
        <v>3</v>
      </c>
    </row>
    <row r="140" spans="4:19">
      <c r="D140" s="314" t="str">
        <f>+'Questions - Fragen'!$A364</f>
        <v>7.2</v>
      </c>
      <c r="E140" s="38"/>
      <c r="F140" s="38"/>
      <c r="G140" s="38"/>
      <c r="H140" s="38"/>
      <c r="I140" s="275"/>
    </row>
    <row r="141" spans="4:19">
      <c r="D141" s="314" t="str">
        <f>+'Questions - Fragen'!$A365</f>
        <v>7.3</v>
      </c>
      <c r="E141" s="38" t="str">
        <f>W52</f>
        <v>n.e.</v>
      </c>
      <c r="F141" s="38"/>
      <c r="G141" s="38"/>
      <c r="H141" s="38"/>
      <c r="I141" s="275"/>
    </row>
    <row r="142" spans="4:19">
      <c r="D142" s="314" t="str">
        <f>+'Questions - Fragen'!$A366</f>
        <v>7.4</v>
      </c>
      <c r="E142" s="38" t="str">
        <f>X52</f>
        <v>n.e.</v>
      </c>
      <c r="F142" s="38"/>
      <c r="G142" s="38"/>
      <c r="H142" s="38"/>
      <c r="I142" s="275"/>
    </row>
    <row r="143" spans="4:19">
      <c r="D143" s="314" t="str">
        <f>+'Questions - Fragen'!$A367</f>
        <v>7.5</v>
      </c>
      <c r="E143" s="38"/>
      <c r="F143" s="38"/>
      <c r="G143" s="38"/>
      <c r="H143" s="38"/>
      <c r="I143" s="275"/>
    </row>
    <row r="144" spans="4:19">
      <c r="D144" s="316"/>
      <c r="E144" s="276"/>
      <c r="F144" s="276"/>
      <c r="G144" s="317" t="s">
        <v>101</v>
      </c>
      <c r="H144" s="325" t="str">
        <f>IF(COUNT(E139:E143)=0,"n.b.",+IF(MIN(E139:E143)=0,"C",+IF(MIN(E139:E143)=4,"B","A")))</f>
        <v>n.b.</v>
      </c>
      <c r="I144" s="248" t="str">
        <f>+A52</f>
        <v>n.e.</v>
      </c>
    </row>
    <row r="145" spans="2:31" ht="15" thickBot="1">
      <c r="D145" s="304" t="s">
        <v>148</v>
      </c>
      <c r="E145" s="305">
        <f>+COUNT((E75:E143))</f>
        <v>1</v>
      </c>
      <c r="F145" s="305">
        <f>+COUNTIF(E75:E143,0)</f>
        <v>0</v>
      </c>
      <c r="G145" s="305">
        <f>+IF(COUNT(E75:E143)=0,"n.b.",+MIN(E75:E143))</f>
        <v>10</v>
      </c>
      <c r="H145" s="305"/>
      <c r="I145" s="306"/>
      <c r="Z145" s="177" t="s">
        <v>165</v>
      </c>
      <c r="AA145" s="177" t="s">
        <v>163</v>
      </c>
      <c r="AB145" s="195" t="str">
        <f>+G48</f>
        <v>n.e.</v>
      </c>
    </row>
    <row r="146" spans="2:31" ht="15" thickBot="1">
      <c r="D146" s="307" t="s">
        <v>149</v>
      </c>
      <c r="E146" s="303" t="str">
        <f>+IF(E145=0,"n.b.",(+IF(F145&gt;=1,"C",(+IF(F146&gt;=1,"B","A")))))</f>
        <v>A</v>
      </c>
      <c r="F146" s="302">
        <f>+COUNTIF(E75:E143,4)</f>
        <v>0</v>
      </c>
      <c r="G146" s="302" t="str">
        <f>+IF(G145="n.b.","n.b.",+IF(G145=0,"C",+IF(G145=4,"B","A")))</f>
        <v>A</v>
      </c>
      <c r="H146" s="302"/>
      <c r="I146" s="308"/>
      <c r="Z146" s="177" t="s">
        <v>166</v>
      </c>
      <c r="AA146" s="177" t="s">
        <v>164</v>
      </c>
      <c r="AB146" s="195" t="str">
        <f>+M48</f>
        <v>n.e.</v>
      </c>
    </row>
    <row r="147" spans="2:31" ht="18">
      <c r="D147" s="236"/>
      <c r="G147" s="282"/>
      <c r="H147" s="260"/>
      <c r="I147" s="260"/>
      <c r="J147" s="283"/>
      <c r="K147" s="281"/>
      <c r="L147" s="268"/>
      <c r="M147" s="318" t="s">
        <v>183</v>
      </c>
      <c r="N147" s="268"/>
      <c r="O147" s="268"/>
      <c r="P147" s="268"/>
      <c r="Q147" s="268"/>
      <c r="R147" s="268"/>
      <c r="S147" s="268"/>
      <c r="T147" s="268"/>
      <c r="U147" s="268"/>
      <c r="V147" s="269"/>
      <c r="X147" s="177"/>
      <c r="Z147" s="177" t="s">
        <v>167</v>
      </c>
      <c r="AA147" s="177" t="s">
        <v>188</v>
      </c>
      <c r="AB147" s="195" t="str">
        <f>+Q48</f>
        <v>n.e.</v>
      </c>
    </row>
    <row r="148" spans="2:31">
      <c r="D148" s="236"/>
      <c r="G148" s="284"/>
      <c r="H148" s="260"/>
      <c r="I148" s="260"/>
      <c r="J148" s="283"/>
      <c r="K148" s="48"/>
      <c r="L148" s="38"/>
      <c r="M148" s="38"/>
      <c r="N148" s="38"/>
      <c r="O148" s="38"/>
      <c r="P148" s="38"/>
      <c r="Q148" s="38"/>
      <c r="R148" s="38"/>
      <c r="S148" s="38"/>
      <c r="T148" s="38"/>
      <c r="U148" s="38"/>
      <c r="V148" s="54"/>
      <c r="Z148" s="177" t="s">
        <v>168</v>
      </c>
      <c r="AA148" s="177" t="s">
        <v>190</v>
      </c>
      <c r="AB148" s="195" t="str">
        <f>+W48</f>
        <v>n.e.</v>
      </c>
    </row>
    <row r="149" spans="2:31">
      <c r="D149" s="236"/>
      <c r="G149" s="260"/>
      <c r="H149" s="260"/>
      <c r="I149" s="260"/>
      <c r="J149" s="283"/>
      <c r="K149" s="278" t="str">
        <f>BB62</f>
        <v>n.e.</v>
      </c>
      <c r="L149" s="277" t="str">
        <f>+IF(K149="n.b.","n.b.",+IF(K149&lt;80%,"C",+IF(K149&lt;90%,"B","A")))</f>
        <v>A</v>
      </c>
      <c r="M149" s="319" t="s">
        <v>181</v>
      </c>
      <c r="N149" s="319"/>
      <c r="O149" s="319"/>
      <c r="P149" s="319"/>
      <c r="Q149" s="319"/>
      <c r="R149" s="319"/>
      <c r="S149" s="319"/>
      <c r="T149" s="319"/>
      <c r="U149" s="260"/>
      <c r="V149" s="283"/>
      <c r="Z149" s="177" t="s">
        <v>169</v>
      </c>
      <c r="AA149" s="177" t="s">
        <v>191</v>
      </c>
      <c r="AB149" s="195" t="str">
        <f>+AB48</f>
        <v>n.e.</v>
      </c>
    </row>
    <row r="150" spans="2:31">
      <c r="B150" s="16"/>
      <c r="C150" s="16"/>
      <c r="D150" s="16"/>
      <c r="E150" s="16"/>
      <c r="F150" s="16"/>
      <c r="G150" s="16"/>
      <c r="H150" s="260"/>
      <c r="I150" s="285"/>
      <c r="J150" s="286"/>
      <c r="K150" s="279"/>
      <c r="L150" s="270" t="str">
        <f>+E146</f>
        <v>A</v>
      </c>
      <c r="M150" s="319" t="s">
        <v>182</v>
      </c>
      <c r="N150" s="319"/>
      <c r="O150" s="319"/>
      <c r="P150" s="319"/>
      <c r="Q150" s="319"/>
      <c r="R150" s="319"/>
      <c r="S150" s="319"/>
      <c r="T150" s="319"/>
      <c r="U150" s="260"/>
      <c r="V150" s="283"/>
      <c r="Z150" s="177" t="s">
        <v>170</v>
      </c>
      <c r="AA150" s="177" t="s">
        <v>192</v>
      </c>
      <c r="AB150" s="195" t="str">
        <f>+AG48</f>
        <v>n.e.</v>
      </c>
    </row>
    <row r="151" spans="2:31">
      <c r="B151" s="16"/>
      <c r="C151" s="16"/>
      <c r="D151" s="16"/>
      <c r="E151" s="16"/>
      <c r="F151" s="16"/>
      <c r="G151" s="16"/>
      <c r="H151" s="287"/>
      <c r="I151" s="260"/>
      <c r="J151" s="283"/>
      <c r="K151" s="279"/>
      <c r="L151" s="270" t="str">
        <f>IF(COUNT((A8:A52)=0),"n.b.",+IF(COUNTIF((A8:A52),"C")&gt;=1,"C",+IF(+COUNTIF((A8:A52),"B")&gt;=1,"B","A")))</f>
        <v>A</v>
      </c>
      <c r="M151" s="319" t="s">
        <v>185</v>
      </c>
      <c r="N151" s="319"/>
      <c r="O151" s="319"/>
      <c r="P151" s="319"/>
      <c r="Q151" s="319"/>
      <c r="R151" s="319"/>
      <c r="S151" s="319"/>
      <c r="T151" s="319"/>
      <c r="U151" s="260"/>
      <c r="V151" s="283"/>
      <c r="Z151" s="177" t="s">
        <v>171</v>
      </c>
      <c r="AA151" s="177" t="s">
        <v>193</v>
      </c>
      <c r="AB151" s="195" t="e">
        <f>+BD48</f>
        <v>#DIV/0!</v>
      </c>
    </row>
    <row r="152" spans="2:31">
      <c r="B152" s="16"/>
      <c r="C152" s="16"/>
      <c r="D152" s="16"/>
      <c r="E152" s="16"/>
      <c r="F152" s="16"/>
      <c r="G152" s="16"/>
      <c r="H152" s="260"/>
      <c r="I152" s="260"/>
      <c r="J152" s="283"/>
      <c r="K152" s="279"/>
      <c r="L152" s="270" t="e">
        <f>+AD152</f>
        <v>#DIV/0!</v>
      </c>
      <c r="M152" s="319" t="s">
        <v>431</v>
      </c>
      <c r="N152" s="319"/>
      <c r="O152" s="319"/>
      <c r="P152" s="319"/>
      <c r="Q152" s="319"/>
      <c r="R152" s="319"/>
      <c r="S152" s="319"/>
      <c r="T152" s="319"/>
      <c r="U152" s="260"/>
      <c r="V152" s="283"/>
      <c r="AA152" s="177"/>
      <c r="AB152" s="32">
        <f>+COUNTIF(AB145:AB151,"n.b.")</f>
        <v>0</v>
      </c>
      <c r="AD152" s="327" t="e">
        <f>+IF(AB152=7,$AI$35,+IF(MIN(G48,M48,Q48,W48,AB48,AG48,BD48)&lt;80%,"B","A"))</f>
        <v>#DIV/0!</v>
      </c>
      <c r="AE152" s="32">
        <f>+COUNTIF((AB145:AB151),"=&lt;80")</f>
        <v>0</v>
      </c>
    </row>
    <row r="153" spans="2:31">
      <c r="B153" s="16"/>
      <c r="C153" s="16"/>
      <c r="D153" s="16"/>
      <c r="E153" s="16"/>
      <c r="F153" s="16"/>
      <c r="G153" s="16"/>
      <c r="H153" s="260"/>
      <c r="I153" s="260"/>
      <c r="J153" s="283"/>
      <c r="K153" s="279"/>
      <c r="L153" s="270" t="str">
        <f>+AD167</f>
        <v>C</v>
      </c>
      <c r="M153" s="319" t="s">
        <v>150</v>
      </c>
      <c r="N153" s="319"/>
      <c r="O153" s="319"/>
      <c r="P153" s="319"/>
      <c r="Q153" s="319"/>
      <c r="R153" s="319"/>
      <c r="S153" s="319"/>
      <c r="T153" s="319"/>
      <c r="U153" s="260"/>
      <c r="V153" s="283"/>
      <c r="AA153" s="177"/>
    </row>
    <row r="154" spans="2:31" ht="15" thickBot="1">
      <c r="B154" s="16"/>
      <c r="C154" s="16"/>
      <c r="D154" s="16"/>
      <c r="E154" s="16"/>
      <c r="F154" s="16"/>
      <c r="G154" s="16"/>
      <c r="H154" s="260"/>
      <c r="I154" s="260"/>
      <c r="J154" s="283"/>
      <c r="K154" s="48"/>
      <c r="L154" s="270" t="e">
        <f>++IF(K149="n.b.","n.b.",+IF(MIN(epm,ede,epe,elm,ek,epg)&lt;70%,"C",+IF(MIN(epm,ede,epe,elm,ek,epg)&lt;80%,"B","kA")))</f>
        <v>#DIV/0!</v>
      </c>
      <c r="M154" s="320" t="s">
        <v>194</v>
      </c>
      <c r="N154" s="319"/>
      <c r="O154" s="319"/>
      <c r="P154" s="319"/>
      <c r="Q154" s="319"/>
      <c r="R154" s="319"/>
      <c r="S154" s="319"/>
      <c r="T154" s="319"/>
      <c r="U154" s="260"/>
      <c r="V154" s="283"/>
      <c r="AA154" s="177"/>
    </row>
    <row r="155" spans="2:31" ht="15" thickBot="1">
      <c r="B155" s="16"/>
      <c r="C155" s="16"/>
      <c r="D155" s="16"/>
      <c r="E155" s="16"/>
      <c r="F155" s="16"/>
      <c r="G155" s="16"/>
      <c r="H155" s="260"/>
      <c r="I155" s="260"/>
      <c r="J155" s="283"/>
      <c r="K155" s="279"/>
      <c r="L155" s="288" t="str">
        <f>IF(COUNTIF(L149:L154,"n.b.")=6,"n.b.",IF(COUNTIF(L149:L154,"C")&gt;=1,"C",IF(COUNTIF(L149:L154,"B")&gt;=1,"B","A")))</f>
        <v>C</v>
      </c>
      <c r="M155" s="321" t="s">
        <v>151</v>
      </c>
      <c r="N155" s="321"/>
      <c r="O155" s="322"/>
      <c r="P155" s="319"/>
      <c r="Q155" s="319"/>
      <c r="R155" s="319"/>
      <c r="S155" s="319"/>
      <c r="T155" s="319"/>
      <c r="U155" s="260"/>
      <c r="V155" s="283"/>
    </row>
    <row r="156" spans="2:31">
      <c r="B156" s="16"/>
      <c r="C156" s="16"/>
      <c r="D156" s="16"/>
      <c r="E156" s="16"/>
      <c r="F156" s="16"/>
      <c r="G156" s="16"/>
      <c r="H156" s="260"/>
      <c r="I156" s="260"/>
      <c r="J156" s="283"/>
      <c r="K156" s="279"/>
      <c r="L156" s="271"/>
      <c r="M156" s="319"/>
      <c r="N156" s="319"/>
      <c r="O156" s="319"/>
      <c r="P156" s="319"/>
      <c r="Q156" s="319"/>
      <c r="R156" s="319"/>
      <c r="S156" s="319"/>
      <c r="T156" s="319"/>
      <c r="U156" s="260"/>
      <c r="V156" s="283"/>
      <c r="Z156" s="177" t="s">
        <v>189</v>
      </c>
    </row>
    <row r="157" spans="2:31">
      <c r="B157" s="16"/>
      <c r="C157" s="16"/>
      <c r="D157" s="16"/>
      <c r="E157" s="16"/>
      <c r="F157" s="16"/>
      <c r="G157" s="16"/>
      <c r="H157" s="260"/>
      <c r="I157" s="260"/>
      <c r="J157" s="283"/>
      <c r="K157" s="279"/>
      <c r="L157" s="271"/>
      <c r="M157" s="319"/>
      <c r="N157" s="319"/>
      <c r="O157" s="319"/>
      <c r="P157" s="319"/>
      <c r="Q157" s="319"/>
      <c r="R157" s="319"/>
      <c r="S157" s="319"/>
      <c r="T157" s="319"/>
      <c r="U157" s="260"/>
      <c r="V157" s="283"/>
      <c r="Y157" s="237"/>
      <c r="Z157" s="177" t="s">
        <v>12</v>
      </c>
      <c r="AA157" s="177" t="s">
        <v>172</v>
      </c>
      <c r="AB157" s="195" t="str">
        <f>+AS36</f>
        <v>xx</v>
      </c>
    </row>
    <row r="158" spans="2:31">
      <c r="B158" s="16"/>
      <c r="C158" s="16"/>
      <c r="D158" s="16"/>
      <c r="E158" s="16"/>
      <c r="F158" s="16"/>
      <c r="G158" s="16"/>
      <c r="H158" s="260"/>
      <c r="I158" s="260"/>
      <c r="J158" s="283"/>
      <c r="K158" s="278" t="str">
        <f>+IF(ISERROR(+AVERAGE(epm,ede,epe)),"n.b.",+ROUND((+AVERAGE(epm,ede,epe)),2))</f>
        <v>n.b.</v>
      </c>
      <c r="L158" s="277" t="str">
        <f>+IF(K158="n.b.","n.b.",(+IF(K158&lt;80%,"C",+IF(K158&lt;90%,"B","A"))))</f>
        <v>n.b.</v>
      </c>
      <c r="M158" s="319" t="s">
        <v>155</v>
      </c>
      <c r="N158" s="319"/>
      <c r="O158" s="319"/>
      <c r="P158" s="319"/>
      <c r="Q158" s="319"/>
      <c r="R158" s="319"/>
      <c r="S158" s="319"/>
      <c r="T158" s="319"/>
      <c r="U158" s="260"/>
      <c r="V158" s="283"/>
      <c r="Y158" s="237"/>
      <c r="Z158" s="177" t="s">
        <v>13</v>
      </c>
      <c r="AA158" s="177" t="s">
        <v>173</v>
      </c>
      <c r="AB158" s="195" t="str">
        <f>+AS38</f>
        <v>xx</v>
      </c>
    </row>
    <row r="159" spans="2:31">
      <c r="B159" s="16"/>
      <c r="C159" s="16"/>
      <c r="D159" s="16"/>
      <c r="E159" s="16"/>
      <c r="F159" s="16"/>
      <c r="G159" s="16"/>
      <c r="H159" s="260"/>
      <c r="I159" s="260"/>
      <c r="J159" s="283"/>
      <c r="K159" s="279"/>
      <c r="L159" s="270" t="str">
        <f>+IF(COUNTIF(H82:H97,"n.b.")=3,"n.b.",+IF(COUNTIF((H82:H97),"C")&gt;=1,"C",+IF(+COUNTIF((H82:H97),"B")&gt;=1,"B","A")))</f>
        <v>n.b.</v>
      </c>
      <c r="M159" s="319" t="s">
        <v>184</v>
      </c>
      <c r="N159" s="319"/>
      <c r="O159" s="319"/>
      <c r="P159" s="319"/>
      <c r="Q159" s="319"/>
      <c r="R159" s="319"/>
      <c r="S159" s="319"/>
      <c r="T159" s="319"/>
      <c r="U159" s="260"/>
      <c r="V159" s="283"/>
      <c r="Y159" s="237"/>
      <c r="Z159" s="177" t="s">
        <v>14</v>
      </c>
      <c r="AA159" s="177" t="s">
        <v>174</v>
      </c>
      <c r="AB159" s="195" t="str">
        <f>+AS40</f>
        <v>xx</v>
      </c>
    </row>
    <row r="160" spans="2:31">
      <c r="B160" s="16"/>
      <c r="C160" s="16"/>
      <c r="D160" s="16"/>
      <c r="E160" s="16"/>
      <c r="F160" s="16"/>
      <c r="G160" s="16"/>
      <c r="H160" s="260"/>
      <c r="I160" s="260"/>
      <c r="J160" s="283"/>
      <c r="K160" s="48"/>
      <c r="L160" s="270" t="str">
        <f>++IF(K158="n.b.","n.b.",+IF(MIN(epm,ede,epe)&lt;70%,"C",+IF(MIN(epm,ede,epe)&lt;80%,"B","kA")))</f>
        <v>n.b.</v>
      </c>
      <c r="M160" s="320" t="s">
        <v>187</v>
      </c>
      <c r="N160" s="319"/>
      <c r="O160" s="319"/>
      <c r="P160" s="260"/>
      <c r="Q160" s="319"/>
      <c r="R160" s="319"/>
      <c r="S160" s="319"/>
      <c r="T160" s="319"/>
      <c r="U160" s="260"/>
      <c r="V160" s="283"/>
      <c r="Y160" s="237"/>
      <c r="Z160" s="177"/>
      <c r="AA160" s="177"/>
      <c r="AB160" s="195"/>
    </row>
    <row r="161" spans="2:30" ht="15" thickBot="1">
      <c r="B161" s="16"/>
      <c r="C161" s="16"/>
      <c r="D161" s="16"/>
      <c r="E161" s="16"/>
      <c r="F161" s="16"/>
      <c r="G161" s="16"/>
      <c r="H161" s="260"/>
      <c r="I161" s="260"/>
      <c r="J161" s="283"/>
      <c r="K161" s="48"/>
      <c r="L161" s="270" t="str">
        <f>IF(COUNT((A8:A22)=0),"n.b.",+IF(+COUNTIF((A8:A22),"C")&gt;=1,"C",+IF(+COUNTIF((A8:A22),"B")&gt;=1,"B","A")))</f>
        <v>A</v>
      </c>
      <c r="M161" s="320" t="s">
        <v>180</v>
      </c>
      <c r="N161" s="319"/>
      <c r="O161" s="319"/>
      <c r="P161" s="260"/>
      <c r="Q161" s="319"/>
      <c r="R161" s="319"/>
      <c r="S161" s="319"/>
      <c r="T161" s="319"/>
      <c r="U161" s="260"/>
      <c r="V161" s="283"/>
      <c r="Y161" s="237"/>
      <c r="Z161" s="177"/>
      <c r="AA161" s="177"/>
      <c r="AB161" s="195"/>
    </row>
    <row r="162" spans="2:30" ht="15" thickBot="1">
      <c r="B162" s="16"/>
      <c r="C162" s="16"/>
      <c r="D162" s="16"/>
      <c r="E162" s="16"/>
      <c r="F162" s="16"/>
      <c r="G162" s="16"/>
      <c r="H162" s="260"/>
      <c r="I162" s="260"/>
      <c r="J162" s="283"/>
      <c r="K162" s="279"/>
      <c r="L162" s="288" t="str">
        <f>+IF(L158="n.b.","n.b.",+IF(COUNTIF(L158:L161,"C")&gt;=1,"C",+IF(COUNTIF(L158:L161,"B")&gt;=1,"B","A")))</f>
        <v>n.b.</v>
      </c>
      <c r="M162" s="321" t="s">
        <v>156</v>
      </c>
      <c r="N162" s="322"/>
      <c r="O162" s="319"/>
      <c r="P162" s="319"/>
      <c r="Q162" s="319"/>
      <c r="R162" s="319"/>
      <c r="S162" s="319"/>
      <c r="T162" s="319"/>
      <c r="U162" s="260"/>
      <c r="V162" s="283"/>
      <c r="Y162" s="237"/>
      <c r="Z162" s="177"/>
      <c r="AA162" s="177"/>
      <c r="AB162" s="195"/>
    </row>
    <row r="163" spans="2:30">
      <c r="B163" s="16"/>
      <c r="C163" s="16"/>
      <c r="D163" s="16"/>
      <c r="E163" s="16"/>
      <c r="F163" s="16"/>
      <c r="G163" s="16"/>
      <c r="H163" s="260"/>
      <c r="I163" s="260"/>
      <c r="J163" s="283"/>
      <c r="K163" s="279"/>
      <c r="L163" s="271"/>
      <c r="M163" s="319"/>
      <c r="N163" s="319"/>
      <c r="O163" s="319"/>
      <c r="P163" s="319"/>
      <c r="Q163" s="319"/>
      <c r="R163" s="319"/>
      <c r="S163" s="319"/>
      <c r="T163" s="319"/>
      <c r="U163" s="260"/>
      <c r="V163" s="283"/>
      <c r="Y163" s="237"/>
      <c r="Z163" s="177"/>
      <c r="AA163" s="177"/>
      <c r="AB163" s="195"/>
    </row>
    <row r="164" spans="2:30">
      <c r="B164" s="16"/>
      <c r="C164" s="16"/>
      <c r="D164" s="16"/>
      <c r="E164" s="16"/>
      <c r="F164" s="16"/>
      <c r="G164" s="16"/>
      <c r="H164" s="260"/>
      <c r="I164" s="260"/>
      <c r="J164" s="283"/>
      <c r="K164" s="278" t="str">
        <f>++IF(ISERROR(AVERAGE(ez,epg,ek)),"n.b.",+ROUND((+AVERAGE(ez,epg,ek)),2))</f>
        <v>n.b.</v>
      </c>
      <c r="L164" s="277" t="str">
        <f>+IF(K164="n.b.","n.b.",+IF(K164&lt;80%,"C",+IF(K164&lt;90%,"B","A")))</f>
        <v>n.b.</v>
      </c>
      <c r="M164" s="319" t="s">
        <v>157</v>
      </c>
      <c r="N164" s="319"/>
      <c r="O164" s="319"/>
      <c r="P164" s="319"/>
      <c r="Q164" s="319"/>
      <c r="R164" s="319"/>
      <c r="S164" s="319"/>
      <c r="T164" s="319"/>
      <c r="U164" s="260"/>
      <c r="V164" s="283"/>
      <c r="Y164" s="237"/>
      <c r="Z164" s="177"/>
      <c r="AA164" s="177"/>
      <c r="AB164" s="195"/>
    </row>
    <row r="165" spans="2:30">
      <c r="B165" s="16"/>
      <c r="C165" s="16"/>
      <c r="D165" s="16"/>
      <c r="E165" s="16"/>
      <c r="F165" s="16"/>
      <c r="G165" s="16"/>
      <c r="H165" s="260"/>
      <c r="I165" s="260"/>
      <c r="J165" s="283"/>
      <c r="K165" s="279"/>
      <c r="L165" s="270" t="str">
        <f>+IF(K164="n.b.","n.b.",+IF(MIN(elm,epg,ek,AS36:AS40,G48,M48,Q48,W48,AB48,AG48,BD48)&lt;70%,"C",IF(MIN(elm,epg,ek,AS36:AS40,G48,M48,Q48,W48,AB48,AG48,BD48)&lt;80%,"B","A")))</f>
        <v>n.b.</v>
      </c>
      <c r="M165" s="319" t="s">
        <v>195</v>
      </c>
      <c r="N165" s="319"/>
      <c r="O165" s="319"/>
      <c r="P165" s="319"/>
      <c r="Q165" s="319"/>
      <c r="R165" s="319"/>
      <c r="S165" s="319"/>
      <c r="T165" s="319"/>
      <c r="U165" s="260"/>
      <c r="V165" s="283"/>
      <c r="Y165" s="195"/>
      <c r="Z165" s="177"/>
      <c r="AA165" s="177"/>
      <c r="AB165" s="195"/>
    </row>
    <row r="166" spans="2:30">
      <c r="B166" s="16"/>
      <c r="C166" s="16"/>
      <c r="D166" s="16"/>
      <c r="E166" s="16"/>
      <c r="F166" s="16"/>
      <c r="G166" s="16"/>
      <c r="H166" s="260"/>
      <c r="I166" s="260"/>
      <c r="J166" s="283"/>
      <c r="K166" s="48"/>
      <c r="L166" s="270" t="str">
        <f>IF(COUNT((A29:A52)=0),"n.b.",+IF(+COUNTIF((A29:A52),"C")&gt;=1,"C",+IF(+COUNTIF((A29:A52),"B")&gt;=1,"B","A")))</f>
        <v>A</v>
      </c>
      <c r="M166" s="320" t="s">
        <v>179</v>
      </c>
      <c r="N166" s="319"/>
      <c r="O166" s="319"/>
      <c r="P166" s="319"/>
      <c r="Q166" s="319"/>
      <c r="R166" s="319"/>
      <c r="S166" s="319"/>
      <c r="T166" s="319"/>
      <c r="U166" s="260"/>
      <c r="V166" s="283"/>
      <c r="Y166" s="195"/>
      <c r="Z166" s="177"/>
      <c r="AA166" s="177"/>
      <c r="AB166" s="195"/>
    </row>
    <row r="167" spans="2:30" ht="15" thickBot="1">
      <c r="B167" s="16"/>
      <c r="C167" s="16"/>
      <c r="D167" s="16"/>
      <c r="E167" s="16"/>
      <c r="F167" s="16"/>
      <c r="G167" s="16"/>
      <c r="H167" s="260"/>
      <c r="I167" s="260"/>
      <c r="J167" s="283"/>
      <c r="K167" s="279"/>
      <c r="L167" s="270" t="str">
        <f>+IF(K164="n.b.","n.b.",+IF(COUNTIF((H104:H144),"C")&gt;=1,"C",+IF(+COUNTIF((H104:H144),"B")&gt;=1,"B","A")))</f>
        <v>n.b.</v>
      </c>
      <c r="M167" s="319" t="s">
        <v>178</v>
      </c>
      <c r="N167" s="319"/>
      <c r="O167" s="319"/>
      <c r="P167" s="319"/>
      <c r="Q167" s="319"/>
      <c r="R167" s="319"/>
      <c r="S167" s="319"/>
      <c r="T167" s="319"/>
      <c r="U167" s="260"/>
      <c r="V167" s="283"/>
      <c r="AB167" s="32">
        <f>+COUNTIF(AB157:AB166,"n.b.")</f>
        <v>0</v>
      </c>
      <c r="AD167" s="327" t="str">
        <f>+IF(AB167=3,"n.b.",+IF(MIN(AB157:AB159)&lt;70%,"C",+IF(MIN(AB157:AB159)&lt;80%,"B","A")))</f>
        <v>C</v>
      </c>
    </row>
    <row r="168" spans="2:30" ht="15" thickBot="1">
      <c r="B168" s="16"/>
      <c r="C168" s="16"/>
      <c r="D168" s="16"/>
      <c r="E168" s="16"/>
      <c r="F168" s="16"/>
      <c r="G168" s="16"/>
      <c r="H168" s="260"/>
      <c r="I168" s="260"/>
      <c r="J168" s="283"/>
      <c r="K168" s="280"/>
      <c r="L168" s="288" t="str">
        <f>++IF(K164="n.b.","n.b.",+IF(ISERROR(K164),"n.b.",+IF(COUNTIF(L164:L167,"C")&gt;=1,"C",+IF(COUNTIF(L164:L167,"B")&gt;=1,"B","A"))))</f>
        <v>n.b.</v>
      </c>
      <c r="M168" s="321" t="s">
        <v>186</v>
      </c>
      <c r="N168" s="322"/>
      <c r="O168" s="323"/>
      <c r="P168" s="323"/>
      <c r="Q168" s="323"/>
      <c r="R168" s="323"/>
      <c r="S168" s="323"/>
      <c r="T168" s="323"/>
      <c r="U168" s="328"/>
      <c r="V168" s="324"/>
    </row>
    <row r="169" spans="2:30">
      <c r="B169" s="16"/>
      <c r="C169" s="16"/>
      <c r="D169" s="16"/>
      <c r="E169" s="16"/>
      <c r="F169" s="16"/>
      <c r="G169" s="16"/>
      <c r="K169" s="192"/>
      <c r="L169" s="192"/>
      <c r="M169" s="192"/>
      <c r="N169" s="192"/>
      <c r="O169" s="192"/>
      <c r="P169" s="192"/>
      <c r="Q169" s="192"/>
      <c r="R169" s="192"/>
      <c r="S169" s="192"/>
      <c r="T169" s="192"/>
    </row>
    <row r="171" spans="2:30">
      <c r="K171" s="293" t="s">
        <v>176</v>
      </c>
      <c r="L171" s="294"/>
      <c r="M171" s="294"/>
      <c r="N171" s="294"/>
      <c r="O171" s="294"/>
      <c r="P171" s="295"/>
    </row>
    <row r="172" spans="2:30">
      <c r="K172" s="296" t="s">
        <v>175</v>
      </c>
      <c r="L172" s="297"/>
      <c r="M172" s="297"/>
      <c r="N172" s="297"/>
      <c r="O172" s="297"/>
      <c r="P172" s="298"/>
      <c r="R172" s="192"/>
      <c r="S172" s="177" t="s">
        <v>158</v>
      </c>
      <c r="T172" s="192"/>
    </row>
    <row r="173" spans="2:30">
      <c r="G173" s="38"/>
      <c r="H173" s="38"/>
      <c r="I173" s="38"/>
      <c r="J173" s="38"/>
      <c r="K173" s="299" t="s">
        <v>177</v>
      </c>
      <c r="L173" s="300"/>
      <c r="M173" s="300"/>
      <c r="N173" s="300"/>
      <c r="O173" s="300"/>
      <c r="P173" s="301"/>
      <c r="S173" s="32">
        <v>1</v>
      </c>
      <c r="T173" s="32">
        <v>2</v>
      </c>
      <c r="U173" s="32">
        <v>3</v>
      </c>
    </row>
    <row r="174" spans="2:30">
      <c r="G174" s="38"/>
      <c r="H174" s="38"/>
      <c r="I174" s="38"/>
      <c r="J174" s="38"/>
      <c r="K174" s="38"/>
      <c r="L174" s="38"/>
      <c r="M174" s="272"/>
      <c r="N174" s="38"/>
      <c r="O174" s="38"/>
      <c r="P174" s="177" t="s">
        <v>159</v>
      </c>
      <c r="S174" s="32" t="str">
        <f t="shared" ref="S174:U174" si="14">+J138</f>
        <v>A</v>
      </c>
      <c r="T174" s="32" t="str">
        <f t="shared" si="14"/>
        <v>A</v>
      </c>
      <c r="U174" s="32" t="str">
        <f t="shared" si="14"/>
        <v>C</v>
      </c>
    </row>
    <row r="175" spans="2:30">
      <c r="G175" s="38"/>
      <c r="H175" s="38"/>
      <c r="I175" s="38"/>
      <c r="J175" s="38"/>
      <c r="K175" s="38"/>
      <c r="L175" s="38"/>
      <c r="M175" s="38"/>
      <c r="N175" s="38"/>
      <c r="O175" s="38"/>
      <c r="P175" s="177"/>
      <c r="R175" s="177" t="s">
        <v>24</v>
      </c>
      <c r="S175" s="32" t="str">
        <f>+IF(ISERROR(AVERAGE(D36:H36)),"n.b.",(+IF(AVERAGE(D36:H36)&lt;70%,"C",+IF(AVERAGE(D36:H36)&lt;80%,"B","A"))))</f>
        <v>n.b.</v>
      </c>
      <c r="T175" s="32" t="str">
        <f>+IF(ISERROR(AVERAGE(D38:H38)),"n.b.",(+IF(AVERAGE(D38:H38)&lt;70%,"C",+IF(AVERAGE(D38:H38)&lt;80%,"B","A"))))</f>
        <v>n.b.</v>
      </c>
      <c r="U175" s="32" t="str">
        <f>+IF(ISERROR(AVERAGE(D40:H40)),"n.b.",(+IF(AVERAGE(D40:H40)&lt;70%,"C",+IF(AVERAGE(D40:H40)&lt;80%,"B","A"))))</f>
        <v>n.b.</v>
      </c>
    </row>
    <row r="176" spans="2:30">
      <c r="G176" s="38"/>
      <c r="H176" s="38"/>
      <c r="I176" s="38"/>
      <c r="J176" s="38"/>
      <c r="K176" s="38"/>
      <c r="L176" s="38"/>
      <c r="M176" s="38"/>
      <c r="N176" s="38"/>
      <c r="O176" s="38"/>
      <c r="P176" s="177"/>
      <c r="R176" s="177" t="s">
        <v>25</v>
      </c>
      <c r="S176" s="32" t="str">
        <f>+IF(ISERROR(AVERAGE(J36:O36)),"n.b.",(+IF(AVERAGE(J36:O36)&lt;70%,"C",+IF(AVERAGE(J36:O36)&lt;80%,"B","A"))))</f>
        <v>n.b.</v>
      </c>
      <c r="T176" s="32" t="str">
        <f>+IF(ISERROR(AVERAGE(J38:O38)),"n.b.",(+IF(AVERAGE(J38:O38)&lt;70%,"C",+IF(AVERAGE(J38:O38)&lt;80%,"B","A"))))</f>
        <v>n.b.</v>
      </c>
      <c r="U176" s="32" t="str">
        <f>+IF(ISERROR(AVERAGE(J40:O40)),"n.b.",(+IF(AVERAGE(J40:O40)&lt;70%,"C",+IF(AVERAGE(J40:O40)&lt;80%,"B","A"))))</f>
        <v>n.b.</v>
      </c>
    </row>
    <row r="177" spans="1:62">
      <c r="R177" s="177" t="s">
        <v>26</v>
      </c>
      <c r="S177" s="32" t="str">
        <f>+IF(ISERROR(AVERAGE(P36:R36)),"n.b.",(+IF(AVERAGE(P36:R36)&lt;70%,"C",+IF(AVERAGE(P36:R36)&lt;80%,"B","A"))))</f>
        <v>n.b.</v>
      </c>
      <c r="T177" s="32" t="str">
        <f>+IF(ISERROR(AVERAGE(P38:R38)),"n.b.",(+IF(AVERAGE(P38:R38)&lt;70%,"C",+IF(AVERAGE(P38:R38)&lt;80%,"B","A"))))</f>
        <v>n.b.</v>
      </c>
      <c r="U177" s="32" t="str">
        <f>+IF(ISERROR(AVERAGE(P40:R40)),"n.b.",(+IF(AVERAGE(P40:R40)&lt;70%,"C",+IF(AVERAGE(P40:R40)&lt;80%,"B","A"))))</f>
        <v>n.b.</v>
      </c>
    </row>
    <row r="178" spans="1:62">
      <c r="R178" s="177" t="s">
        <v>27</v>
      </c>
      <c r="S178" s="32" t="str">
        <f>+IF(ISERROR(AVERAGE($T36:$V36)),"n.b.",(+IF(AVERAGE($T36:$V36)&lt;70%,"C",+IF(AVERAGE($T36:$V36)&lt;80%,"B","A"))))</f>
        <v>n.b.</v>
      </c>
      <c r="T178" s="32" t="str">
        <f>+IF(ISERROR(AVERAGE($T38:$V38)),"n.b.",(+IF(AVERAGE($T38:$V38)&lt;70%,"C",+IF(AVERAGE($T38:$V38)&lt;80%,"B","A"))))</f>
        <v>n.b.</v>
      </c>
      <c r="U178" s="32" t="str">
        <f>+IF(ISERROR(AVERAGE($T40:$V40)),"n.b.",(+IF(AVERAGE($T40:$V40)&lt;70%,"C",+IF(AVERAGE($T40:$V40)&lt;80%,"B","A"))))</f>
        <v>n.b.</v>
      </c>
    </row>
    <row r="179" spans="1:62">
      <c r="R179" s="177" t="s">
        <v>102</v>
      </c>
      <c r="S179" s="32" t="str">
        <f>+IF(ISERROR(AVERAGE($Z36:$AC36)),"n.b.",(+IF(AVERAGE($Z36:$AC36)&lt;70%,"C",+IF(AVERAGE($Z36:$AC36)&lt;80%,"B","A"))))</f>
        <v>n.b.</v>
      </c>
      <c r="T179" s="32" t="str">
        <f>+IF(ISERROR(AVERAGE($Z38:$AC38)),"n.b.",(+IF(AVERAGE($Z38:$AC38)&lt;70%,"C",+IF(AVERAGE($Z38:$AC38)&lt;80%,"B","A"))))</f>
        <v>n.b.</v>
      </c>
      <c r="U179" s="32" t="str">
        <f>+IF(ISERROR(AVERAGE($Z40:$AC40)),"n.b.",(+IF(AVERAGE($Z40:$AC40)&lt;70%,"C",+IF(AVERAGE($Z40:$AC40)&lt;80%,"B","A"))))</f>
        <v>n.b.</v>
      </c>
    </row>
    <row r="180" spans="1:62">
      <c r="R180" s="177" t="s">
        <v>103</v>
      </c>
      <c r="S180" s="32" t="str">
        <f>+IF(ISERROR(AVERAGE($AE36:$AH36)),"n.b.",(+IF(AVERAGE($AE36:$AH36)&lt;70%,"C",+IF(AVERAGE($AE36:$AH36)&lt;80%,"B","A"))))</f>
        <v>n.b.</v>
      </c>
      <c r="T180" s="32" t="str">
        <f>+IF(ISERROR(AVERAGE($AE38:$AH38)),"n.b.",(+IF(AVERAGE($AE38:$AH38)&lt;70%,"C",+IF(AVERAGE($AE38:$AH38)&lt;80%,"B","A"))))</f>
        <v>n.b.</v>
      </c>
      <c r="U180" s="32" t="str">
        <f>+IF(ISERROR(AVERAGE($AE40:$AH40)),"n.b.",(+IF(AVERAGE($AE40:$AH40)&lt;70%,"C",+IF(AVERAGE($AE40:$AH40)&lt;80%,"B","A"))))</f>
        <v>n.b.</v>
      </c>
    </row>
    <row r="181" spans="1:62">
      <c r="R181" s="177" t="s">
        <v>143</v>
      </c>
      <c r="S181" s="32" t="str">
        <f>+IF(ISERROR(AVERAGE($AX36:$BE36)),"n.b.",(+IF(AVERAGE($AX36:$BE36)&lt;70%,"C",+IF(AVERAGE($AX36:$BE36)&lt;80%,"B","A"))))</f>
        <v>n.b.</v>
      </c>
      <c r="T181" s="32" t="str">
        <f>+IF(ISERROR(AVERAGE($AX38:$BE38)),"n.b.",(+IF(AVERAGE($AX38:$BE38)&lt;70%,"C",+IF(AVERAGE($AX38:$BE38)&lt;80%,"B","A"))))</f>
        <v>n.b.</v>
      </c>
      <c r="U181" s="32" t="str">
        <f>+IF(ISERROR(AVERAGE($AX40:$BE40)),"n.b.",(+IF(AVERAGE($AX40:$BE40)&lt;70%,"C",+IF(AVERAGE($AX40:$BE40)&lt;80%,"B","A"))))</f>
        <v>n.b.</v>
      </c>
    </row>
    <row r="182" spans="1:62">
      <c r="R182" s="177"/>
    </row>
    <row r="183" spans="1:62">
      <c r="K183" s="237"/>
      <c r="Q183" s="177"/>
      <c r="R183" s="177"/>
      <c r="S183" s="177"/>
      <c r="T183" s="177"/>
      <c r="U183" s="177"/>
      <c r="V183" s="177"/>
      <c r="W183" s="177"/>
      <c r="X183" s="177"/>
      <c r="Y183" s="177"/>
      <c r="Z183" s="177"/>
    </row>
    <row r="184" spans="1:62">
      <c r="K184" s="237"/>
      <c r="L184" s="192"/>
      <c r="M184" s="177"/>
    </row>
    <row r="185" spans="1:62">
      <c r="B185" s="48"/>
      <c r="C185" s="33"/>
      <c r="D185" s="31"/>
      <c r="E185" s="31"/>
      <c r="F185" s="31"/>
      <c r="G185" s="31"/>
      <c r="H185" s="31"/>
      <c r="I185" s="31"/>
      <c r="J185" s="31"/>
      <c r="K185" s="31"/>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16"/>
      <c r="BF185" s="16"/>
      <c r="BG185" s="16"/>
      <c r="BH185" s="16"/>
      <c r="BI185" s="49"/>
      <c r="BJ185" s="34"/>
    </row>
    <row r="186" spans="1:62">
      <c r="A186" s="254"/>
      <c r="B186" s="48"/>
      <c r="C186" s="262"/>
      <c r="D186" s="258"/>
      <c r="E186" s="258"/>
      <c r="F186" s="258"/>
      <c r="G186" s="258"/>
      <c r="H186" s="258"/>
      <c r="I186" s="258"/>
      <c r="J186" s="258"/>
      <c r="K186" s="258"/>
      <c r="L186" s="258"/>
      <c r="M186" s="258"/>
      <c r="N186" s="258"/>
      <c r="O186" s="258"/>
      <c r="P186" s="258"/>
      <c r="Q186" s="258"/>
      <c r="R186" s="258"/>
      <c r="S186" s="258"/>
      <c r="T186" s="258"/>
      <c r="U186" s="258"/>
      <c r="V186" s="258"/>
      <c r="W186" s="258"/>
      <c r="X186" s="258"/>
      <c r="Y186" s="258"/>
      <c r="Z186" s="258"/>
      <c r="AA186" s="258"/>
      <c r="AB186" s="258"/>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6"/>
      <c r="BF186" s="16"/>
      <c r="BG186" s="16"/>
      <c r="BH186" s="16"/>
      <c r="BI186" s="51"/>
      <c r="BJ186" s="16"/>
    </row>
    <row r="187" spans="1:62">
      <c r="B187" s="48"/>
      <c r="C187" s="258"/>
      <c r="D187" s="258"/>
      <c r="E187" s="258"/>
      <c r="F187" s="258"/>
      <c r="G187" s="258"/>
      <c r="H187" s="258"/>
      <c r="I187" s="258"/>
      <c r="J187" s="258"/>
      <c r="K187" s="258"/>
      <c r="L187" s="258"/>
      <c r="M187" s="258"/>
      <c r="N187" s="258"/>
      <c r="O187" s="258"/>
      <c r="P187" s="258"/>
      <c r="Q187" s="258"/>
      <c r="R187" s="258"/>
      <c r="S187" s="258"/>
      <c r="T187" s="258"/>
      <c r="U187" s="258"/>
      <c r="V187" s="258"/>
      <c r="W187" s="258"/>
      <c r="X187" s="258"/>
      <c r="Y187" s="258"/>
      <c r="Z187" s="258"/>
      <c r="AA187" s="258"/>
      <c r="AB187" s="258"/>
      <c r="AC187" s="15"/>
      <c r="AD187" s="15"/>
      <c r="AE187" s="15"/>
      <c r="AF187" s="15"/>
      <c r="AG187" s="15"/>
      <c r="AH187" s="15"/>
      <c r="AI187" s="15"/>
      <c r="AJ187" s="15"/>
      <c r="AK187" s="15"/>
      <c r="AL187" s="15"/>
      <c r="AM187" s="15"/>
      <c r="AN187" s="15"/>
      <c r="AO187" s="15"/>
      <c r="AP187" s="15"/>
      <c r="AQ187" s="15"/>
      <c r="AR187" s="15"/>
      <c r="AS187" s="15"/>
      <c r="AT187" s="15"/>
      <c r="AU187" s="15"/>
      <c r="AV187" s="15"/>
      <c r="BE187" s="16"/>
      <c r="BF187" s="16"/>
      <c r="BG187" s="16"/>
      <c r="BH187" s="16"/>
      <c r="BI187" s="51"/>
      <c r="BJ187" s="16"/>
    </row>
    <row r="188" spans="1:62" s="493" customFormat="1" ht="28.5">
      <c r="A188" s="242" t="s">
        <v>152</v>
      </c>
      <c r="B188" s="48"/>
      <c r="C188" s="263"/>
      <c r="D188" s="1517"/>
      <c r="E188" s="1517"/>
      <c r="F188" s="1517"/>
      <c r="G188" s="1517"/>
      <c r="H188" s="1517"/>
      <c r="I188" s="1473"/>
      <c r="J188" s="1473"/>
      <c r="K188" s="1473"/>
      <c r="L188" s="1473"/>
      <c r="M188" s="1473"/>
      <c r="N188" s="1473"/>
      <c r="O188" s="1473"/>
      <c r="P188" s="1473"/>
      <c r="Q188" s="1473"/>
      <c r="R188" s="1473"/>
      <c r="S188" s="1473"/>
      <c r="T188" s="1473"/>
      <c r="U188" s="1473"/>
      <c r="V188" s="1473"/>
      <c r="W188" s="1473"/>
      <c r="X188" s="1473"/>
      <c r="Y188" s="264"/>
      <c r="Z188" s="264"/>
      <c r="AA188" s="264"/>
      <c r="AB188" s="742"/>
      <c r="AC188" s="205"/>
      <c r="AD188" s="205"/>
      <c r="AE188" s="1524"/>
      <c r="AF188" s="1524"/>
      <c r="AG188" s="1524"/>
      <c r="AH188" s="1524"/>
      <c r="AI188" s="1524"/>
      <c r="AJ188" s="1524"/>
      <c r="AK188" s="1524"/>
      <c r="AL188" s="1524"/>
      <c r="AM188" s="1524"/>
      <c r="AN188" s="1524"/>
      <c r="AO188" s="1524"/>
      <c r="AP188" s="1524"/>
      <c r="AQ188" s="1524"/>
      <c r="AR188" s="1524"/>
      <c r="AS188" s="1524"/>
      <c r="AT188" s="1524"/>
      <c r="AU188" s="206"/>
      <c r="AV188" s="206"/>
      <c r="AW188" s="1580"/>
      <c r="AX188" s="1580"/>
      <c r="AY188" s="1580"/>
      <c r="AZ188" s="1580"/>
      <c r="BA188" s="1580"/>
      <c r="BB188" s="1580"/>
      <c r="BC188" s="1580"/>
      <c r="BD188" s="229"/>
      <c r="BE188" s="16"/>
      <c r="BF188" s="16"/>
      <c r="BG188" s="16"/>
      <c r="BH188" s="16"/>
      <c r="BI188" s="45"/>
      <c r="BJ188" s="44"/>
    </row>
    <row r="189" spans="1:62" ht="21" customHeight="1">
      <c r="A189" s="243" t="e">
        <f>IF(COUNTIF(G48,"n.b.")+COUNTIF(M48,"n.b.")+COUNTIF(M48,"n.b.")+COUNTIF(Q48,"n.b.")+COUNTIF(W48,"n.b.")+COUNTIF(AB48,"n.b.")+COUNTIF(AG48,"n.b.")+COUNTIF(BD48,"n.b.")=7,"n.b.",IF(MIN(G48,M48,Q48,W48,AB48,AG48,BD48)&lt;70%,"C",IF(MIN(G48,M48,Q48,W48,AB48,AG48,BD48)&lt;80%,"B","A")))</f>
        <v>#DIV/0!</v>
      </c>
      <c r="B189" s="48"/>
      <c r="C189" s="258"/>
      <c r="D189" s="1517"/>
      <c r="E189" s="1517"/>
      <c r="F189" s="1517"/>
      <c r="G189" s="1517"/>
      <c r="H189" s="1517"/>
      <c r="I189" s="1496"/>
      <c r="J189" s="1496"/>
      <c r="K189" s="1496"/>
      <c r="L189" s="1496"/>
      <c r="M189" s="1496"/>
      <c r="N189" s="1496"/>
      <c r="O189" s="1496"/>
      <c r="P189" s="1496"/>
      <c r="Q189" s="1496"/>
      <c r="R189" s="1496"/>
      <c r="S189" s="1496"/>
      <c r="T189" s="1496"/>
      <c r="U189" s="1496"/>
      <c r="V189" s="1496"/>
      <c r="W189" s="1496"/>
      <c r="X189" s="1496"/>
      <c r="Y189" s="265"/>
      <c r="Z189" s="265"/>
      <c r="AA189" s="265"/>
      <c r="AB189" s="743"/>
      <c r="AC189" s="207"/>
      <c r="AD189" s="207"/>
      <c r="AE189" s="1524"/>
      <c r="AF189" s="1524"/>
      <c r="AG189" s="1524"/>
      <c r="AH189" s="1524"/>
      <c r="AI189" s="1524"/>
      <c r="AJ189" s="1524"/>
      <c r="AK189" s="1524"/>
      <c r="AL189" s="1524"/>
      <c r="AM189" s="1524"/>
      <c r="AN189" s="1524"/>
      <c r="AO189" s="1524"/>
      <c r="AP189" s="1524"/>
      <c r="AQ189" s="1524"/>
      <c r="AR189" s="1524"/>
      <c r="AS189" s="1524"/>
      <c r="AT189" s="1524"/>
      <c r="AW189" s="1580"/>
      <c r="AX189" s="1580"/>
      <c r="AY189" s="1580"/>
      <c r="AZ189" s="1580"/>
      <c r="BA189" s="1580"/>
      <c r="BB189" s="1580"/>
      <c r="BC189" s="1580"/>
      <c r="BD189" s="229"/>
      <c r="BE189" s="16"/>
      <c r="BF189" s="16"/>
      <c r="BG189" s="16"/>
      <c r="BH189" s="16"/>
      <c r="BI189" s="51"/>
      <c r="BJ189" s="16"/>
    </row>
    <row r="190" spans="1:62" ht="5.0999999999999996" customHeight="1">
      <c r="B190" s="48"/>
      <c r="C190" s="258"/>
      <c r="D190" s="258"/>
      <c r="E190" s="258"/>
      <c r="F190" s="258"/>
      <c r="G190" s="258"/>
      <c r="H190" s="258"/>
      <c r="I190" s="258"/>
      <c r="J190" s="258"/>
      <c r="K190" s="258"/>
      <c r="L190" s="258"/>
      <c r="M190" s="258"/>
      <c r="N190" s="258"/>
      <c r="O190" s="258"/>
      <c r="P190" s="258"/>
      <c r="Q190" s="258"/>
      <c r="R190" s="258"/>
      <c r="S190" s="258"/>
      <c r="T190" s="258"/>
      <c r="U190" s="258"/>
      <c r="V190" s="258"/>
      <c r="W190" s="258"/>
      <c r="X190" s="258"/>
      <c r="Y190" s="258"/>
      <c r="Z190" s="258"/>
      <c r="AA190" s="258"/>
      <c r="AB190" s="258"/>
      <c r="AC190" s="15"/>
      <c r="AD190" s="15"/>
      <c r="AE190" s="1524"/>
      <c r="AF190" s="1524"/>
      <c r="AG190" s="1524"/>
      <c r="AH190" s="1524"/>
      <c r="AI190" s="1524"/>
      <c r="AJ190" s="1524"/>
      <c r="AK190" s="1524"/>
      <c r="AL190" s="1524"/>
      <c r="AM190" s="1524"/>
      <c r="AN190" s="1524"/>
      <c r="AO190" s="1524"/>
      <c r="AP190" s="1524"/>
      <c r="AQ190" s="1524"/>
      <c r="AR190" s="1524"/>
      <c r="AS190" s="1524"/>
      <c r="AT190" s="1524"/>
      <c r="AU190" s="199"/>
      <c r="AV190" s="199"/>
      <c r="AW190" s="1580"/>
      <c r="AX190" s="1580"/>
      <c r="AY190" s="1580"/>
      <c r="AZ190" s="1580"/>
      <c r="BA190" s="1580"/>
      <c r="BB190" s="1580"/>
      <c r="BC190" s="1580"/>
      <c r="BD190" s="229"/>
      <c r="BE190" s="16"/>
      <c r="BF190" s="16"/>
      <c r="BG190" s="16"/>
      <c r="BH190" s="16"/>
      <c r="BI190" s="51"/>
      <c r="BJ190" s="16"/>
    </row>
    <row r="191" spans="1:62" ht="13.5" customHeight="1">
      <c r="B191" s="48"/>
      <c r="C191" s="258"/>
      <c r="D191" s="266"/>
      <c r="E191" s="258"/>
      <c r="F191" s="258"/>
      <c r="G191" s="258"/>
      <c r="H191" s="258"/>
      <c r="I191" s="258"/>
      <c r="J191" s="1478"/>
      <c r="K191" s="1478"/>
      <c r="L191" s="258"/>
      <c r="M191" s="258"/>
      <c r="N191" s="1478"/>
      <c r="O191" s="1478"/>
      <c r="P191" s="258"/>
      <c r="Q191" s="258"/>
      <c r="R191" s="1478"/>
      <c r="S191" s="1478"/>
      <c r="T191" s="258"/>
      <c r="U191" s="258"/>
      <c r="V191" s="1478"/>
      <c r="W191" s="1478"/>
      <c r="X191" s="257"/>
      <c r="Y191" s="1478"/>
      <c r="Z191" s="1478"/>
      <c r="AA191" s="257"/>
      <c r="AB191" s="257"/>
      <c r="AC191" s="209"/>
      <c r="AD191" s="209"/>
      <c r="AE191" s="257"/>
      <c r="AF191" s="258"/>
      <c r="AG191" s="259"/>
      <c r="AH191" s="260"/>
      <c r="AI191" s="260"/>
      <c r="AJ191" s="260"/>
      <c r="AK191" s="260"/>
      <c r="AL191" s="260"/>
      <c r="AM191" s="259"/>
      <c r="AN191" s="259"/>
      <c r="AO191" s="259"/>
      <c r="AP191" s="259"/>
      <c r="AQ191" s="259"/>
      <c r="AR191" s="261"/>
      <c r="AS191" s="261"/>
      <c r="AT191" s="259"/>
      <c r="AU191" s="199"/>
      <c r="AV191" s="199"/>
      <c r="AW191" s="199"/>
      <c r="AX191" s="199"/>
      <c r="AY191" s="199"/>
      <c r="AZ191" s="199"/>
      <c r="BA191" s="199"/>
      <c r="BB191" s="199"/>
      <c r="BC191" s="199"/>
      <c r="BD191" s="199"/>
      <c r="BE191" s="256"/>
      <c r="BF191" s="199"/>
      <c r="BG191" s="199"/>
      <c r="BH191" s="199"/>
      <c r="BI191" s="51"/>
      <c r="BJ191" s="16"/>
    </row>
    <row r="192" spans="1:62" ht="21" customHeight="1">
      <c r="A192" s="242" t="s">
        <v>146</v>
      </c>
      <c r="B192" s="48"/>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78"/>
      <c r="AF192" s="1579"/>
      <c r="AG192" s="1579"/>
      <c r="AH192" s="1579"/>
      <c r="AI192" s="1578"/>
      <c r="AJ192" s="1578"/>
      <c r="AK192" s="1578"/>
      <c r="AL192" s="1578"/>
      <c r="AM192" s="1578"/>
      <c r="AN192" s="1578"/>
      <c r="AO192" s="1578"/>
      <c r="AP192" s="1578"/>
      <c r="AQ192" s="1578"/>
      <c r="AR192" s="16"/>
      <c r="AS192" s="16"/>
      <c r="AT192" s="16"/>
      <c r="AU192" s="16"/>
      <c r="AV192" s="16"/>
      <c r="AW192" s="16"/>
      <c r="AX192" s="16"/>
      <c r="AY192" s="16"/>
      <c r="AZ192" s="16"/>
      <c r="BA192" s="16"/>
      <c r="BB192" s="16"/>
      <c r="BC192" s="16"/>
      <c r="BD192" s="16"/>
      <c r="BE192" s="16"/>
      <c r="BF192" s="16"/>
      <c r="BG192" s="16"/>
      <c r="BH192" s="16"/>
      <c r="BI192" s="16"/>
      <c r="BJ192" s="16"/>
    </row>
    <row r="193" spans="1:62" ht="15.2" customHeight="1" thickBot="1">
      <c r="A193" s="243" t="str">
        <f>IF(MIN(AT36:AT40)&lt;70%,"C",IF(MIN(AT36:AT40)&lt;80%,"B","A"))</f>
        <v>C</v>
      </c>
      <c r="B193" s="48"/>
      <c r="D193" s="15"/>
      <c r="E193" s="15"/>
      <c r="F193" s="15"/>
      <c r="G193" s="15"/>
      <c r="H193" s="15"/>
      <c r="I193" s="15"/>
      <c r="J193" s="15"/>
      <c r="K193" s="15"/>
      <c r="L193" s="15"/>
      <c r="M193" s="15"/>
      <c r="N193" s="15"/>
      <c r="O193" s="15"/>
      <c r="P193" s="15"/>
      <c r="Q193" s="15"/>
      <c r="R193" s="15"/>
      <c r="S193" s="15"/>
      <c r="T193" s="15"/>
      <c r="U193" s="15"/>
      <c r="V193" s="498"/>
      <c r="W193" s="15"/>
      <c r="X193" s="15"/>
      <c r="Y193" s="498" t="s">
        <v>49</v>
      </c>
      <c r="Z193" s="15"/>
      <c r="AB193" s="222" t="s">
        <v>65</v>
      </c>
      <c r="AC193" s="15"/>
      <c r="AD193" s="15"/>
      <c r="AE193" s="1579"/>
      <c r="AF193" s="1579"/>
      <c r="AG193" s="1579"/>
      <c r="AH193" s="1579"/>
      <c r="AI193" s="1579"/>
      <c r="AJ193" s="1579"/>
      <c r="AK193" s="1579"/>
      <c r="AL193" s="1579"/>
      <c r="AM193" s="1579"/>
      <c r="AN193" s="1579"/>
      <c r="AO193" s="1579"/>
      <c r="AP193" s="1579"/>
      <c r="AQ193" s="1579"/>
      <c r="AR193" s="16"/>
      <c r="AS193" s="16"/>
      <c r="AT193" s="16"/>
      <c r="AU193" s="16"/>
      <c r="AV193" s="16"/>
      <c r="AW193" s="16"/>
      <c r="AX193" s="16"/>
      <c r="AY193" s="16"/>
      <c r="AZ193" s="16"/>
      <c r="BA193" s="16"/>
      <c r="BB193" s="16"/>
      <c r="BC193" s="16"/>
      <c r="BD193" s="16"/>
      <c r="BE193" s="16"/>
      <c r="BF193" s="16"/>
      <c r="BG193" s="16"/>
      <c r="BH193" s="16"/>
      <c r="BI193" s="16"/>
      <c r="BJ193" s="16"/>
    </row>
    <row r="194" spans="1:62" ht="15" customHeight="1">
      <c r="B194" s="48"/>
      <c r="C194" s="15"/>
      <c r="D194" s="15"/>
      <c r="E194" s="15"/>
      <c r="F194" s="15"/>
      <c r="G194" s="15"/>
      <c r="H194" s="15"/>
      <c r="I194" s="15"/>
      <c r="J194" s="15"/>
      <c r="K194" s="15"/>
      <c r="L194" s="15"/>
      <c r="M194" s="15"/>
      <c r="N194" s="15"/>
      <c r="O194" s="15"/>
      <c r="P194" s="15"/>
      <c r="Q194" s="15"/>
      <c r="R194" s="15"/>
      <c r="S194" s="15"/>
      <c r="T194" s="15"/>
      <c r="U194" s="15"/>
      <c r="V194" s="1483" t="s">
        <v>72</v>
      </c>
      <c r="W194" s="1484"/>
      <c r="X194" s="1485"/>
      <c r="Y194" s="1489" t="str">
        <f>IF(ISERROR(AVERAGE(epm,epp,epr)),"n.b.",ROUND(AVERAGE(D8:J8,D14:H14,O14:S14,D22:K22,Q22:X22)/10,2))</f>
        <v>n.b.</v>
      </c>
      <c r="Z194" s="1490"/>
      <c r="AA194" s="1491"/>
      <c r="AB194" s="1581" t="str">
        <f>+L162</f>
        <v>n.b.</v>
      </c>
      <c r="AC194" s="1582"/>
      <c r="AD194" s="15"/>
      <c r="AE194" s="1576"/>
      <c r="AF194" s="1577"/>
      <c r="AG194" s="1577"/>
      <c r="AH194" s="1577"/>
      <c r="AI194" s="1474"/>
      <c r="AJ194" s="1474"/>
      <c r="AK194" s="1474"/>
      <c r="AL194" s="1474"/>
      <c r="AM194" s="1474"/>
      <c r="AN194" s="1474"/>
      <c r="AO194" s="1474"/>
      <c r="AP194" s="1474"/>
      <c r="AQ194" s="1475"/>
      <c r="AR194" s="16"/>
      <c r="AS194" s="16"/>
      <c r="AT194" s="16"/>
      <c r="AU194" s="16"/>
      <c r="AV194" s="16"/>
      <c r="AW194" s="16"/>
      <c r="AX194" s="16"/>
      <c r="AY194" s="16"/>
      <c r="AZ194" s="16"/>
      <c r="BA194" s="16"/>
      <c r="BB194" s="16"/>
      <c r="BC194" s="16"/>
      <c r="BD194" s="16"/>
      <c r="BE194" s="16"/>
      <c r="BF194" s="16"/>
      <c r="BG194" s="16"/>
      <c r="BH194" s="16"/>
      <c r="BI194" s="16"/>
      <c r="BJ194" s="16"/>
    </row>
    <row r="195" spans="1:62" ht="19.5" customHeight="1" thickBot="1">
      <c r="B195" s="48"/>
      <c r="C195" s="15"/>
      <c r="D195" s="15"/>
      <c r="E195" s="15"/>
      <c r="F195" s="73"/>
      <c r="G195" s="15"/>
      <c r="I195" s="15"/>
      <c r="J195" s="230"/>
      <c r="K195" s="204"/>
      <c r="L195" s="15"/>
      <c r="M195" s="15"/>
      <c r="N195" s="15"/>
      <c r="O195" s="15"/>
      <c r="P195" s="15"/>
      <c r="Q195" s="15"/>
      <c r="R195" s="15"/>
      <c r="S195" s="15"/>
      <c r="T195" s="15"/>
      <c r="U195" s="15"/>
      <c r="V195" s="1486"/>
      <c r="W195" s="1487"/>
      <c r="X195" s="1488"/>
      <c r="Y195" s="1492"/>
      <c r="Z195" s="1493"/>
      <c r="AA195" s="1494"/>
      <c r="AB195" s="1583"/>
      <c r="AC195" s="1584"/>
      <c r="AD195" s="15"/>
      <c r="AE195" s="1576"/>
      <c r="AF195" s="1577"/>
      <c r="AG195" s="1577"/>
      <c r="AH195" s="1577"/>
      <c r="AI195" s="1474"/>
      <c r="AJ195" s="1474"/>
      <c r="AK195" s="1474"/>
      <c r="AL195" s="1474"/>
      <c r="AM195" s="1474"/>
      <c r="AN195" s="1474"/>
      <c r="AO195" s="1474"/>
      <c r="AP195" s="1474"/>
      <c r="AQ195" s="1475"/>
      <c r="AR195" s="16"/>
      <c r="AS195" s="16"/>
      <c r="AT195" s="16"/>
      <c r="AU195" s="16"/>
      <c r="AV195" s="16"/>
      <c r="AW195" s="16"/>
      <c r="AX195" s="16"/>
      <c r="AY195" s="16"/>
      <c r="AZ195" s="16"/>
      <c r="BA195" s="16"/>
      <c r="BB195" s="16"/>
      <c r="BC195" s="16"/>
      <c r="BD195" s="16"/>
      <c r="BE195" s="16"/>
      <c r="BF195" s="16"/>
      <c r="BG195" s="16"/>
      <c r="BH195" s="16"/>
      <c r="BI195" s="16"/>
      <c r="BJ195" s="16"/>
    </row>
    <row r="196" spans="1:62" ht="15" customHeight="1" thickBot="1">
      <c r="B196" s="48"/>
      <c r="C196" s="15"/>
      <c r="D196" s="15"/>
      <c r="E196" s="15"/>
      <c r="F196" s="15"/>
      <c r="G196" s="15"/>
      <c r="H196" s="15"/>
      <c r="I196" s="15"/>
      <c r="J196" s="15"/>
      <c r="K196" s="204"/>
      <c r="L196" s="15"/>
      <c r="M196" s="15"/>
      <c r="N196" s="15"/>
      <c r="O196" s="15"/>
      <c r="P196" s="15"/>
      <c r="Q196" s="15"/>
      <c r="R196" s="15"/>
      <c r="S196" s="15"/>
      <c r="T196" s="15"/>
      <c r="U196" s="15"/>
      <c r="V196" s="15"/>
      <c r="W196" s="15"/>
      <c r="X196" s="15"/>
      <c r="Y196" s="256"/>
      <c r="Z196" s="15"/>
      <c r="AA196" s="15"/>
      <c r="AB196" s="15"/>
      <c r="AC196" s="15"/>
      <c r="AD196" s="15"/>
      <c r="AE196" s="1576"/>
      <c r="AF196" s="1577"/>
      <c r="AG196" s="1577"/>
      <c r="AH196" s="1577"/>
      <c r="AI196" s="1474"/>
      <c r="AJ196" s="1474"/>
      <c r="AK196" s="1474"/>
      <c r="AL196" s="1474"/>
      <c r="AM196" s="1474"/>
      <c r="AN196" s="1474"/>
      <c r="AO196" s="1474"/>
      <c r="AP196" s="1474"/>
      <c r="AQ196" s="1475"/>
      <c r="AR196" s="16"/>
      <c r="AS196" s="16"/>
      <c r="AT196" s="16"/>
      <c r="AU196" s="16"/>
      <c r="AV196" s="16"/>
      <c r="AW196" s="16"/>
      <c r="AX196" s="16"/>
      <c r="AY196" s="16"/>
      <c r="AZ196" s="16"/>
      <c r="BA196" s="16"/>
      <c r="BB196" s="16"/>
      <c r="BC196" s="16"/>
      <c r="BD196" s="16"/>
      <c r="BE196" s="16"/>
      <c r="BF196" s="16"/>
      <c r="BG196" s="16"/>
      <c r="BH196" s="16"/>
      <c r="BI196" s="16"/>
      <c r="BJ196" s="16"/>
    </row>
    <row r="197" spans="1:62" ht="19.5" customHeight="1">
      <c r="B197" s="48"/>
      <c r="C197" s="15"/>
      <c r="D197" s="15"/>
      <c r="E197" s="15"/>
      <c r="F197" s="73"/>
      <c r="G197" s="15"/>
      <c r="H197" s="15"/>
      <c r="I197" s="15"/>
      <c r="J197" s="230"/>
      <c r="K197" s="204"/>
      <c r="L197" s="15"/>
      <c r="M197" s="15"/>
      <c r="N197" s="15"/>
      <c r="O197" s="15"/>
      <c r="P197" s="15"/>
      <c r="Q197" s="15"/>
      <c r="R197" s="15"/>
      <c r="S197" s="15"/>
      <c r="T197" s="15"/>
      <c r="U197" s="15"/>
      <c r="V197" s="1483" t="s">
        <v>73</v>
      </c>
      <c r="W197" s="1484"/>
      <c r="X197" s="1485"/>
      <c r="Y197" s="1489" t="str">
        <f>IF(ISERROR(AVERAGE(ez,epg,ek)),"n.b.",ROUND(AVERAGE(L29:R29,D36:AH40,U52:Y52)/10,2))</f>
        <v>n.b.</v>
      </c>
      <c r="Z197" s="1490"/>
      <c r="AA197" s="1491"/>
      <c r="AB197" s="1581" t="str">
        <f>+L168</f>
        <v>n.b.</v>
      </c>
      <c r="AC197" s="1582"/>
      <c r="AD197" s="15"/>
      <c r="AE197" s="1576"/>
      <c r="AF197" s="1577"/>
      <c r="AG197" s="1577"/>
      <c r="AH197" s="1577"/>
      <c r="AI197" s="1474"/>
      <c r="AJ197" s="1474"/>
      <c r="AK197" s="1474"/>
      <c r="AL197" s="1474"/>
      <c r="AM197" s="1474"/>
      <c r="AN197" s="1474"/>
      <c r="AO197" s="1474"/>
      <c r="AP197" s="1474"/>
      <c r="AQ197" s="1475"/>
      <c r="AR197" s="16"/>
      <c r="AS197" s="16"/>
      <c r="AT197" s="16"/>
      <c r="AU197" s="16"/>
      <c r="AV197" s="16"/>
      <c r="AW197" s="16"/>
      <c r="AX197" s="16"/>
      <c r="AY197" s="16"/>
      <c r="AZ197" s="16"/>
      <c r="BA197" s="16"/>
      <c r="BB197" s="16"/>
      <c r="BC197" s="16"/>
      <c r="BD197" s="16"/>
      <c r="BE197" s="16"/>
      <c r="BF197" s="16"/>
      <c r="BG197" s="16"/>
      <c r="BH197" s="16"/>
      <c r="BI197" s="16"/>
      <c r="BJ197" s="16"/>
    </row>
    <row r="198" spans="1:62" ht="15" customHeight="1" thickBot="1">
      <c r="B198" s="48"/>
      <c r="C198" s="33"/>
      <c r="D198" s="31"/>
      <c r="E198" s="31"/>
      <c r="F198" s="31"/>
      <c r="G198" s="31"/>
      <c r="H198" s="31"/>
      <c r="I198" s="31"/>
      <c r="J198" s="31"/>
      <c r="K198" s="31"/>
      <c r="L198" s="31"/>
      <c r="M198" s="31"/>
      <c r="N198" s="31"/>
      <c r="O198" s="36"/>
      <c r="P198" s="31"/>
      <c r="Q198" s="31"/>
      <c r="R198" s="31"/>
      <c r="S198" s="31"/>
      <c r="T198" s="31"/>
      <c r="U198" s="31"/>
      <c r="V198" s="1486"/>
      <c r="W198" s="1487"/>
      <c r="X198" s="1488"/>
      <c r="Y198" s="1492"/>
      <c r="Z198" s="1493"/>
      <c r="AA198" s="1494"/>
      <c r="AB198" s="1583"/>
      <c r="AC198" s="1584"/>
      <c r="AD198" s="31"/>
      <c r="AE198" s="1495"/>
      <c r="AF198" s="1475"/>
      <c r="AG198" s="1475"/>
      <c r="AH198" s="1475"/>
      <c r="AI198" s="1474"/>
      <c r="AJ198" s="1474"/>
      <c r="AK198" s="1474"/>
      <c r="AL198" s="1474"/>
      <c r="AM198" s="1474"/>
      <c r="AN198" s="1474"/>
      <c r="AO198" s="1474"/>
      <c r="AP198" s="1474"/>
      <c r="AQ198" s="1475"/>
      <c r="AR198" s="16"/>
      <c r="AS198" s="16"/>
      <c r="AT198" s="16"/>
      <c r="AU198" s="16"/>
      <c r="AV198" s="16"/>
      <c r="AW198" s="16"/>
      <c r="AX198" s="16"/>
      <c r="AY198" s="16"/>
      <c r="AZ198" s="16"/>
      <c r="BA198" s="16"/>
      <c r="BB198" s="16"/>
      <c r="BC198" s="16"/>
      <c r="BD198" s="16"/>
      <c r="BE198" s="16"/>
      <c r="BF198" s="16"/>
      <c r="BG198" s="16"/>
      <c r="BH198" s="16"/>
      <c r="BI198" s="16"/>
      <c r="BJ198" s="34"/>
    </row>
    <row r="199" spans="1:62" ht="7.5" customHeight="1">
      <c r="B199" s="48"/>
      <c r="C199" s="33"/>
      <c r="D199" s="31"/>
      <c r="E199" s="31"/>
      <c r="F199" s="31"/>
      <c r="G199" s="31"/>
      <c r="H199" s="31"/>
      <c r="I199" s="31"/>
      <c r="J199" s="31"/>
      <c r="K199" s="31"/>
      <c r="L199" s="31"/>
      <c r="M199" s="31"/>
      <c r="N199" s="31"/>
      <c r="O199" s="36"/>
      <c r="P199" s="31"/>
      <c r="Q199" s="31"/>
      <c r="R199" s="31"/>
      <c r="S199" s="31"/>
      <c r="T199" s="31"/>
      <c r="U199" s="31"/>
      <c r="V199" s="968"/>
      <c r="W199" s="968"/>
      <c r="X199" s="968"/>
      <c r="Y199" s="256"/>
      <c r="Z199" s="212"/>
      <c r="AA199" s="212"/>
      <c r="AB199" s="31"/>
      <c r="AC199" s="31"/>
      <c r="AD199" s="31"/>
      <c r="AE199" s="208"/>
      <c r="AF199" s="969"/>
      <c r="AG199" s="969"/>
      <c r="AH199" s="969"/>
      <c r="AI199" s="213"/>
      <c r="AJ199" s="213"/>
      <c r="AK199" s="213"/>
      <c r="AL199" s="213"/>
      <c r="AM199" s="213"/>
      <c r="AN199" s="213"/>
      <c r="AO199" s="213"/>
      <c r="AP199" s="213"/>
      <c r="AQ199" s="969"/>
      <c r="AR199" s="212"/>
      <c r="AS199" s="212"/>
      <c r="AT199" s="968"/>
      <c r="AX199" s="210"/>
      <c r="AY199" s="210"/>
      <c r="BF199" s="210"/>
      <c r="BG199" s="210"/>
      <c r="BH199" s="210"/>
      <c r="BI199" s="211"/>
      <c r="BJ199" s="34"/>
    </row>
    <row r="200" spans="1:62" ht="15" customHeight="1">
      <c r="B200" s="48"/>
      <c r="C200" s="644" t="s">
        <v>262</v>
      </c>
      <c r="D200" s="15"/>
      <c r="E200" s="15"/>
      <c r="F200" s="15"/>
      <c r="G200" s="15"/>
      <c r="H200" s="15"/>
      <c r="I200" s="31"/>
      <c r="J200" s="15"/>
      <c r="K200" s="15"/>
      <c r="L200" s="15"/>
      <c r="M200" s="15"/>
      <c r="N200" s="258"/>
      <c r="O200" s="330"/>
      <c r="P200" s="329"/>
      <c r="Q200" s="258"/>
      <c r="R200" s="258"/>
      <c r="S200" s="267"/>
      <c r="T200" s="267"/>
      <c r="U200" s="258"/>
      <c r="V200" s="258"/>
      <c r="W200" s="258"/>
      <c r="X200" s="258"/>
      <c r="Y200" s="258"/>
      <c r="Z200" s="258"/>
      <c r="AA200" s="15"/>
      <c r="AB200" s="15"/>
      <c r="AC200" s="15"/>
      <c r="AD200" s="15"/>
      <c r="AH200" s="177" t="s">
        <v>196</v>
      </c>
      <c r="AX200" s="210"/>
      <c r="AY200" s="210"/>
      <c r="AZ200" s="210"/>
      <c r="BA200" s="210"/>
      <c r="BB200" s="210"/>
      <c r="BC200" s="210"/>
      <c r="BD200" s="210"/>
      <c r="BE200" s="210"/>
      <c r="BF200" s="210"/>
      <c r="BG200" s="210"/>
      <c r="BH200" s="210"/>
      <c r="BI200" s="51"/>
      <c r="BJ200" s="16"/>
    </row>
    <row r="201" spans="1:62" ht="7.15" customHeight="1" thickBot="1">
      <c r="B201" s="101"/>
      <c r="C201" s="102"/>
      <c r="D201" s="103"/>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4"/>
      <c r="BJ201" s="16"/>
    </row>
    <row r="202" spans="1:62">
      <c r="K202" s="237"/>
      <c r="L202" s="192"/>
      <c r="M202" s="177"/>
    </row>
    <row r="203" spans="1:62">
      <c r="M203" s="177"/>
    </row>
    <row r="204" spans="1:62">
      <c r="M204" s="177"/>
    </row>
    <row r="207" spans="1:62">
      <c r="AA207" s="177"/>
    </row>
    <row r="208" spans="1:62">
      <c r="AA208" s="177"/>
    </row>
    <row r="209" spans="11:27">
      <c r="AA209" s="177"/>
    </row>
    <row r="210" spans="11:27">
      <c r="AA210" s="177"/>
    </row>
    <row r="211" spans="11:27">
      <c r="AA211" s="177"/>
    </row>
    <row r="212" spans="11:27">
      <c r="K212" s="237"/>
      <c r="L212" s="192"/>
      <c r="M212" s="177"/>
      <c r="Q212" s="177"/>
      <c r="R212" s="177"/>
      <c r="S212" s="177"/>
      <c r="T212" s="177"/>
      <c r="U212" s="177"/>
      <c r="V212" s="177"/>
      <c r="W212" s="177"/>
      <c r="X212" s="177"/>
      <c r="Y212" s="177"/>
      <c r="Z212" s="177"/>
      <c r="AA212" s="177"/>
    </row>
    <row r="213" spans="11:27">
      <c r="L213" s="192"/>
      <c r="M213" s="177"/>
      <c r="AA213" s="177"/>
    </row>
    <row r="214" spans="11:27">
      <c r="M214" s="177"/>
      <c r="AA214" s="177"/>
    </row>
    <row r="215" spans="11:27">
      <c r="AA215" s="177"/>
    </row>
    <row r="216" spans="11:27">
      <c r="AA216" s="177"/>
    </row>
    <row r="224" spans="11:27">
      <c r="K224" s="237"/>
      <c r="L224" s="192"/>
      <c r="M224" s="177"/>
      <c r="Q224" s="177"/>
      <c r="R224" s="177"/>
      <c r="S224" s="177"/>
      <c r="T224" s="177"/>
      <c r="U224" s="177"/>
      <c r="V224" s="177"/>
      <c r="W224" s="177"/>
      <c r="X224" s="177"/>
      <c r="Y224" s="177"/>
      <c r="Z224" s="177"/>
    </row>
    <row r="225" spans="11:26">
      <c r="L225" s="192"/>
      <c r="M225" s="177"/>
    </row>
    <row r="226" spans="11:26">
      <c r="M226" s="177"/>
    </row>
    <row r="227" spans="11:26">
      <c r="M227" s="177"/>
    </row>
    <row r="236" spans="11:26">
      <c r="K236" s="237"/>
      <c r="L236" s="192"/>
      <c r="M236" s="177"/>
      <c r="Q236" s="177"/>
      <c r="R236" s="177"/>
      <c r="S236" s="177"/>
      <c r="T236" s="177"/>
      <c r="U236" s="177"/>
      <c r="V236" s="177"/>
      <c r="W236" s="177"/>
      <c r="X236" s="177"/>
      <c r="Y236" s="177"/>
      <c r="Z236" s="177"/>
    </row>
    <row r="237" spans="11:26">
      <c r="L237" s="192"/>
      <c r="M237" s="177"/>
    </row>
    <row r="238" spans="11:26">
      <c r="M238" s="177"/>
    </row>
  </sheetData>
  <sheetProtection formatColumns="0" formatRows="0" selectLockedCells="1" selectUnlockedCells="1"/>
  <mergeCells count="105">
    <mergeCell ref="L16:M16"/>
    <mergeCell ref="W16:X16"/>
    <mergeCell ref="AQ22:AR22"/>
    <mergeCell ref="AS22:AT22"/>
    <mergeCell ref="O24:P24"/>
    <mergeCell ref="AB24:AC24"/>
    <mergeCell ref="B1:H2"/>
    <mergeCell ref="I1:BC2"/>
    <mergeCell ref="BF1:BI1"/>
    <mergeCell ref="AQ8:AR8"/>
    <mergeCell ref="AS8:AT8"/>
    <mergeCell ref="AQ14:AR14"/>
    <mergeCell ref="AS14:AT14"/>
    <mergeCell ref="AS36:AT36"/>
    <mergeCell ref="AS38:AT38"/>
    <mergeCell ref="AS40:AT40"/>
    <mergeCell ref="AQ29:AR29"/>
    <mergeCell ref="AS29:AT29"/>
    <mergeCell ref="J33:O33"/>
    <mergeCell ref="P33:R33"/>
    <mergeCell ref="T33:X33"/>
    <mergeCell ref="Z33:AC33"/>
    <mergeCell ref="AE33:AH33"/>
    <mergeCell ref="AQ33:AT33"/>
    <mergeCell ref="AS45:AT45"/>
    <mergeCell ref="G48:H48"/>
    <mergeCell ref="M48:N48"/>
    <mergeCell ref="Q48:R48"/>
    <mergeCell ref="W48:X48"/>
    <mergeCell ref="AB48:AC48"/>
    <mergeCell ref="AG48:AH48"/>
    <mergeCell ref="BD48:BE48"/>
    <mergeCell ref="AS52:AT52"/>
    <mergeCell ref="M57:P57"/>
    <mergeCell ref="D58:H58"/>
    <mergeCell ref="I58:L58"/>
    <mergeCell ref="M58:P58"/>
    <mergeCell ref="BB61:BD61"/>
    <mergeCell ref="BE61:BF61"/>
    <mergeCell ref="BB62:BD64"/>
    <mergeCell ref="BE62:BF64"/>
    <mergeCell ref="AL61:AX62"/>
    <mergeCell ref="AY61:AZ62"/>
    <mergeCell ref="AL64:AX65"/>
    <mergeCell ref="AY64:AZ65"/>
    <mergeCell ref="AN57:AT57"/>
    <mergeCell ref="W80:AV81"/>
    <mergeCell ref="AW80:BI81"/>
    <mergeCell ref="W82:AV82"/>
    <mergeCell ref="AW82:BI82"/>
    <mergeCell ref="W83:AV84"/>
    <mergeCell ref="AW83:BI84"/>
    <mergeCell ref="AI67:AQ67"/>
    <mergeCell ref="AW72:BI73"/>
    <mergeCell ref="AW74:BI75"/>
    <mergeCell ref="AW76:BI77"/>
    <mergeCell ref="W78:AV79"/>
    <mergeCell ref="AW78:BI79"/>
    <mergeCell ref="U91:AV92"/>
    <mergeCell ref="AW91:BI92"/>
    <mergeCell ref="U93:AV94"/>
    <mergeCell ref="AW93:BI94"/>
    <mergeCell ref="U96:AV96"/>
    <mergeCell ref="AW96:BI96"/>
    <mergeCell ref="W85:AV86"/>
    <mergeCell ref="AW85:BI86"/>
    <mergeCell ref="U87:AV88"/>
    <mergeCell ref="AW87:BI88"/>
    <mergeCell ref="U89:AV90"/>
    <mergeCell ref="AW89:BI90"/>
    <mergeCell ref="AW188:BC190"/>
    <mergeCell ref="D189:H189"/>
    <mergeCell ref="I189:L189"/>
    <mergeCell ref="M189:P189"/>
    <mergeCell ref="Q189:T189"/>
    <mergeCell ref="U189:X189"/>
    <mergeCell ref="D188:H188"/>
    <mergeCell ref="I188:L188"/>
    <mergeCell ref="M188:P188"/>
    <mergeCell ref="Q188:T188"/>
    <mergeCell ref="U188:X188"/>
    <mergeCell ref="AE188:AT190"/>
    <mergeCell ref="AI192:AQ193"/>
    <mergeCell ref="V194:X195"/>
    <mergeCell ref="Y194:AA195"/>
    <mergeCell ref="AB194:AC195"/>
    <mergeCell ref="AE194:AH194"/>
    <mergeCell ref="AI194:AQ194"/>
    <mergeCell ref="AE195:AH195"/>
    <mergeCell ref="AI195:AQ195"/>
    <mergeCell ref="J191:K191"/>
    <mergeCell ref="N191:O191"/>
    <mergeCell ref="R191:S191"/>
    <mergeCell ref="V191:W191"/>
    <mergeCell ref="Y191:Z191"/>
    <mergeCell ref="AE192:AH193"/>
    <mergeCell ref="AE196:AH196"/>
    <mergeCell ref="AI196:AQ196"/>
    <mergeCell ref="V197:X198"/>
    <mergeCell ref="Y197:AA198"/>
    <mergeCell ref="AB197:AC198"/>
    <mergeCell ref="AE197:AH197"/>
    <mergeCell ref="AI197:AQ197"/>
    <mergeCell ref="AE198:AH198"/>
    <mergeCell ref="AI198:AQ198"/>
  </mergeCells>
  <conditionalFormatting sqref="L164:L168 L158:L162 L149:L155">
    <cfRule type="cellIs" dxfId="20" priority="4" stopIfTrue="1" operator="equal">
      <formula>"A"</formula>
    </cfRule>
    <cfRule type="cellIs" dxfId="19" priority="5" stopIfTrue="1" operator="equal">
      <formula>"B"</formula>
    </cfRule>
    <cfRule type="cellIs" dxfId="18" priority="6" stopIfTrue="1" operator="equal">
      <formula>"C"</formula>
    </cfRule>
  </conditionalFormatting>
  <conditionalFormatting sqref="D59:D65">
    <cfRule type="cellIs" dxfId="17" priority="1" stopIfTrue="1" operator="equal">
      <formula>"A"</formula>
    </cfRule>
    <cfRule type="cellIs" dxfId="16" priority="2" stopIfTrue="1" operator="equal">
      <formula>"B"</formula>
    </cfRule>
    <cfRule type="cellIs" dxfId="15"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Header>&amp;L&amp;"Arial,Fett"&amp;12Produkt-/Prozess-Audit&amp;R&amp;G</oddHeader>
    <oddFooter>&amp;RSeite &amp;P von &amp;N</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
    <tabColor indexed="12"/>
    <pageSetUpPr fitToPage="1"/>
  </sheetPr>
  <dimension ref="A1:BH254"/>
  <sheetViews>
    <sheetView showGridLines="0" tabSelected="1" topLeftCell="B1" zoomScale="70" zoomScaleNormal="70" zoomScaleSheetLayoutView="75" workbookViewId="0">
      <selection activeCell="S19" sqref="S19:AC22"/>
    </sheetView>
  </sheetViews>
  <sheetFormatPr defaultColWidth="11.42578125" defaultRowHeight="14.25"/>
  <cols>
    <col min="1" max="1" width="11.28515625" style="10" hidden="1" customWidth="1"/>
    <col min="2" max="2" width="1" style="10" customWidth="1"/>
    <col min="3" max="3" width="12.7109375" style="10" customWidth="1"/>
    <col min="4" max="4" width="0.7109375" style="10" customWidth="1"/>
    <col min="5" max="5" width="8.42578125" style="10" customWidth="1"/>
    <col min="6" max="6" width="5" style="12" customWidth="1"/>
    <col min="7" max="7" width="0.7109375" style="12" customWidth="1"/>
    <col min="8" max="8" width="16.42578125" style="12" customWidth="1"/>
    <col min="9" max="9" width="0.7109375" style="12" customWidth="1"/>
    <col min="10" max="10" width="18.28515625" style="12" customWidth="1"/>
    <col min="11" max="11" width="0.7109375" style="12" customWidth="1"/>
    <col min="12" max="12" width="16.140625" style="12" customWidth="1"/>
    <col min="13" max="13" width="0.7109375" style="12" customWidth="1"/>
    <col min="14" max="14" width="13.42578125" style="12" bestFit="1" customWidth="1"/>
    <col min="15" max="15" width="1.5703125" style="12" customWidth="1"/>
    <col min="16" max="16" width="0.7109375" style="12" customWidth="1"/>
    <col min="17" max="17" width="1" style="12" customWidth="1"/>
    <col min="18" max="18" width="1.5703125" style="12" customWidth="1"/>
    <col min="19" max="19" width="18.7109375" style="12" customWidth="1"/>
    <col min="20" max="20" width="2.140625" style="12" customWidth="1"/>
    <col min="21" max="21" width="7.140625" style="12" customWidth="1"/>
    <col min="22" max="22" width="0.7109375" style="12" customWidth="1"/>
    <col min="23" max="23" width="17.7109375" style="12" customWidth="1"/>
    <col min="24" max="24" width="15" style="12" customWidth="1"/>
    <col min="25" max="25" width="15.140625" style="12" customWidth="1"/>
    <col min="26" max="26" width="16" style="12" customWidth="1"/>
    <col min="27" max="27" width="13.42578125" style="12" customWidth="1"/>
    <col min="28" max="28" width="14.28515625" style="12" customWidth="1"/>
    <col min="29" max="29" width="16" style="12" customWidth="1"/>
    <col min="30" max="30" width="2.140625" style="12" customWidth="1"/>
    <col min="31" max="31" width="1" style="12" customWidth="1"/>
    <col min="32" max="32" width="5.140625" style="12" customWidth="1"/>
    <col min="33" max="33" width="2.28515625" style="12" customWidth="1"/>
    <col min="34" max="34" width="1.5703125" style="12" customWidth="1"/>
    <col min="35" max="35" width="2.28515625" style="12" customWidth="1"/>
    <col min="36" max="16384" width="11.42578125" style="10"/>
  </cols>
  <sheetData>
    <row r="1" spans="1:60" ht="7.5" customHeight="1">
      <c r="B1" s="79"/>
      <c r="C1" s="79"/>
      <c r="D1" s="79"/>
      <c r="E1" s="79"/>
      <c r="F1" s="80"/>
      <c r="G1" s="80"/>
      <c r="H1" s="80"/>
      <c r="I1" s="80"/>
      <c r="J1" s="81"/>
      <c r="K1" s="81"/>
      <c r="L1" s="81"/>
      <c r="M1" s="81"/>
      <c r="N1" s="81"/>
      <c r="O1" s="81"/>
      <c r="P1" s="81"/>
      <c r="Q1" s="81"/>
      <c r="R1" s="81"/>
      <c r="S1" s="555"/>
      <c r="T1" s="555"/>
      <c r="U1" s="556"/>
      <c r="V1" s="556"/>
      <c r="W1" s="556"/>
      <c r="X1" s="556"/>
      <c r="Y1" s="556"/>
      <c r="Z1" s="556"/>
      <c r="AA1" s="556"/>
      <c r="AB1" s="556"/>
      <c r="AC1" s="556"/>
      <c r="AD1" s="556"/>
      <c r="AE1" s="556"/>
      <c r="AF1" s="8"/>
      <c r="AG1" s="8"/>
      <c r="AH1" s="9"/>
      <c r="AI1" s="9"/>
    </row>
    <row r="2" spans="1:60" ht="29.25" customHeight="1">
      <c r="C2" s="1664" t="str">
        <f>VLOOKUP(pos(C2),'Language-Sprachen'!$A$160:$G$179,'Language-Sprachen'!$A$3,0)</f>
        <v>Audit report Evaluation of quality capability</v>
      </c>
      <c r="D2" s="1664" t="e">
        <f>VLOOKUP(pos(D2),'Language-Sprachen'!$A$160:$G$179,'Language-Sprachen'!$A$3,0)</f>
        <v>#N/A</v>
      </c>
      <c r="E2" s="1664" t="e">
        <f>VLOOKUP(pos(E2),'Language-Sprachen'!$A$160:$G$179,'Language-Sprachen'!$A$3,0)</f>
        <v>#N/A</v>
      </c>
      <c r="F2" s="1664" t="e">
        <f>VLOOKUP(pos(F2),'Language-Sprachen'!$A$160:$G$179,'Language-Sprachen'!$A$3,0)</f>
        <v>#N/A</v>
      </c>
      <c r="G2" s="1664" t="e">
        <f>VLOOKUP(pos(G2),'Language-Sprachen'!$A$160:$G$179,'Language-Sprachen'!$A$3,0)</f>
        <v>#N/A</v>
      </c>
      <c r="H2" s="1664" t="e">
        <f>VLOOKUP(pos(H2),'Language-Sprachen'!$A$160:$G$179,'Language-Sprachen'!$A$3,0)</f>
        <v>#N/A</v>
      </c>
      <c r="I2" s="1664" t="e">
        <f>VLOOKUP(pos(I2),'Language-Sprachen'!$A$160:$G$179,'Language-Sprachen'!$A$3,0)</f>
        <v>#N/A</v>
      </c>
      <c r="J2" s="1664" t="e">
        <f>VLOOKUP(pos(J2),'Language-Sprachen'!$A$160:$G$179,'Language-Sprachen'!$A$3,0)</f>
        <v>#N/A</v>
      </c>
      <c r="K2" s="1664" t="e">
        <f>VLOOKUP(pos(K2),'Language-Sprachen'!$A$160:$G$179,'Language-Sprachen'!$A$3,0)</f>
        <v>#N/A</v>
      </c>
      <c r="L2" s="1664" t="e">
        <f>VLOOKUP(pos(L2),'Language-Sprachen'!$A$160:$G$179,'Language-Sprachen'!$A$3,0)</f>
        <v>#N/A</v>
      </c>
      <c r="M2" s="1664" t="e">
        <f>VLOOKUP(pos(M2),'Language-Sprachen'!$A$160:$G$179,'Language-Sprachen'!$A$3,0)</f>
        <v>#N/A</v>
      </c>
      <c r="N2" s="1664" t="e">
        <f>VLOOKUP(pos(N2),'Language-Sprachen'!$A$160:$G$179,'Language-Sprachen'!$A$3,0)</f>
        <v>#N/A</v>
      </c>
      <c r="O2" s="1664" t="e">
        <f>VLOOKUP(pos(O2),'Language-Sprachen'!$A$160:$G$179,'Language-Sprachen'!$A$3,0)</f>
        <v>#N/A</v>
      </c>
      <c r="P2" s="1664" t="e">
        <f>VLOOKUP(pos(P2),'Language-Sprachen'!$A$160:$G$179,'Language-Sprachen'!$A$3,0)</f>
        <v>#N/A</v>
      </c>
      <c r="Q2" s="1664" t="e">
        <f>VLOOKUP(pos(Q2),'Language-Sprachen'!$A$160:$G$179,'Language-Sprachen'!$A$3,0)</f>
        <v>#N/A</v>
      </c>
      <c r="R2" s="1664" t="e">
        <f>VLOOKUP(pos(R2),'Language-Sprachen'!$A$160:$G$179,'Language-Sprachen'!$A$3,0)</f>
        <v>#N/A</v>
      </c>
      <c r="S2" s="1664" t="e">
        <f>VLOOKUP(pos(S2),'Language-Sprachen'!$A$160:$G$179,'Language-Sprachen'!$A$3,0)</f>
        <v>#N/A</v>
      </c>
      <c r="T2" s="1664" t="e">
        <f>VLOOKUP(pos(T2),'Language-Sprachen'!$A$160:$G$179,'Language-Sprachen'!$A$3,0)</f>
        <v>#N/A</v>
      </c>
      <c r="U2" s="1664" t="e">
        <f>VLOOKUP(pos(U2),'Language-Sprachen'!$A$160:$G$179,'Language-Sprachen'!$A$3,0)</f>
        <v>#N/A</v>
      </c>
      <c r="V2" s="1664" t="e">
        <f>VLOOKUP(pos(V2),'Language-Sprachen'!$A$160:$G$179,'Language-Sprachen'!$A$3,0)</f>
        <v>#N/A</v>
      </c>
      <c r="W2" s="1664" t="e">
        <f>VLOOKUP(pos(W2),'Language-Sprachen'!$A$160:$G$179,'Language-Sprachen'!$A$3,0)</f>
        <v>#N/A</v>
      </c>
      <c r="X2" s="1664" t="e">
        <f>VLOOKUP(pos(X2),'Language-Sprachen'!$A$160:$G$179,'Language-Sprachen'!$A$3,0)</f>
        <v>#N/A</v>
      </c>
      <c r="Y2" s="1664" t="e">
        <f>VLOOKUP(pos(Y2),'Language-Sprachen'!$A$160:$G$179,'Language-Sprachen'!$A$3,0)</f>
        <v>#N/A</v>
      </c>
      <c r="Z2" s="1664" t="e">
        <f>VLOOKUP(pos(Z2),'Language-Sprachen'!$A$160:$G$179,'Language-Sprachen'!$A$3,0)</f>
        <v>#N/A</v>
      </c>
      <c r="AA2" s="1664" t="e">
        <f>VLOOKUP(pos(AA2),'Language-Sprachen'!$A$160:$G$179,'Language-Sprachen'!$A$3,0)</f>
        <v>#N/A</v>
      </c>
      <c r="AB2" s="1664" t="e">
        <f>VLOOKUP(pos(AB2),'Language-Sprachen'!$A$160:$G$179,'Language-Sprachen'!$A$3,0)</f>
        <v>#N/A</v>
      </c>
      <c r="AC2" s="367" t="s">
        <v>1002</v>
      </c>
      <c r="AD2" s="367"/>
      <c r="AE2" s="972"/>
      <c r="AF2" s="8"/>
      <c r="AG2" s="8"/>
      <c r="AH2" s="11"/>
      <c r="AI2" s="11"/>
    </row>
    <row r="3" spans="1:60" ht="8.25" customHeight="1">
      <c r="B3" s="78"/>
      <c r="C3" s="77"/>
      <c r="D3" s="77"/>
      <c r="E3" s="77"/>
      <c r="F3" s="69"/>
      <c r="G3" s="69"/>
      <c r="H3" s="69"/>
      <c r="I3" s="69"/>
      <c r="J3" s="69"/>
      <c r="K3" s="69"/>
      <c r="L3" s="69"/>
      <c r="M3" s="69"/>
      <c r="N3" s="69"/>
      <c r="O3" s="69"/>
      <c r="P3" s="69"/>
      <c r="Q3" s="69"/>
      <c r="R3" s="69"/>
      <c r="S3" s="69"/>
      <c r="T3" s="69"/>
      <c r="U3" s="69"/>
      <c r="V3" s="69"/>
      <c r="W3" s="69"/>
      <c r="X3" s="69"/>
      <c r="Y3" s="69"/>
      <c r="Z3" s="69"/>
      <c r="AA3" s="69"/>
      <c r="AB3" s="69"/>
      <c r="AC3" s="69"/>
      <c r="AD3" s="69"/>
      <c r="AE3" s="69"/>
      <c r="AF3" s="8"/>
      <c r="AG3" s="8"/>
      <c r="AH3" s="8"/>
      <c r="AI3" s="8"/>
    </row>
    <row r="4" spans="1:60" ht="16.5" customHeight="1">
      <c r="C4" s="557" t="str">
        <f>'Input Form - EingabeMaske'!B19</f>
        <v>Supplier:</v>
      </c>
      <c r="D4" s="557"/>
      <c r="E4" s="557"/>
      <c r="F4" s="77"/>
      <c r="G4" s="77"/>
      <c r="H4" s="77"/>
      <c r="I4" s="77"/>
      <c r="J4" s="77"/>
      <c r="K4" s="77"/>
      <c r="L4" s="77"/>
      <c r="M4" s="77"/>
      <c r="N4" s="77"/>
      <c r="O4" s="77"/>
      <c r="P4" s="77"/>
      <c r="Q4" s="77"/>
      <c r="R4" s="77"/>
      <c r="S4" s="77"/>
      <c r="T4" s="77"/>
      <c r="U4" s="77"/>
      <c r="V4" s="77"/>
      <c r="W4" s="77"/>
      <c r="X4" s="77"/>
      <c r="Y4" s="77"/>
      <c r="Z4" s="77"/>
      <c r="AA4" s="77"/>
      <c r="AB4" s="77"/>
      <c r="AC4" s="77"/>
      <c r="AD4" s="77"/>
      <c r="AE4" s="69"/>
      <c r="AF4" s="69"/>
      <c r="AG4" s="8"/>
      <c r="AH4" s="8"/>
      <c r="AI4" s="8"/>
    </row>
    <row r="5" spans="1:60" ht="33" customHeight="1">
      <c r="B5" s="485"/>
      <c r="C5" s="1666" t="str">
        <f>IF('Input Form - EingabeMaske'!C19="","",'Input Form - EingabeMaske'!C19)</f>
        <v/>
      </c>
      <c r="D5" s="1666"/>
      <c r="E5" s="1666"/>
      <c r="F5" s="1666"/>
      <c r="G5" s="1666"/>
      <c r="H5" s="1666"/>
      <c r="I5" s="1666"/>
      <c r="J5" s="1666"/>
      <c r="K5" s="1666"/>
      <c r="L5" s="1666"/>
      <c r="M5" s="1666"/>
      <c r="N5" s="1666"/>
      <c r="O5" s="558"/>
      <c r="P5" s="558"/>
      <c r="Q5" s="558"/>
      <c r="R5" s="559"/>
      <c r="S5" s="1608" t="str">
        <f>'Input Form - EingabeMaske'!B17</f>
        <v>Suppl.-No.:</v>
      </c>
      <c r="T5" s="1608"/>
      <c r="U5" s="1638" t="str">
        <f>IF('Input Form - EingabeMaske'!C17=0,"",'Input Form - EingabeMaske'!C17)</f>
        <v/>
      </c>
      <c r="V5" s="1638"/>
      <c r="W5" s="1638"/>
      <c r="X5" s="748" t="str">
        <f>'Input Form - EingabeMaske'!B18</f>
        <v xml:space="preserve"> D-U-N-S No.:</v>
      </c>
      <c r="Y5" s="1638" t="str">
        <f>IF('Input Form - EingabeMaske'!C18=0,"",'Input Form - EingabeMaske'!C18)</f>
        <v/>
      </c>
      <c r="Z5" s="1638"/>
      <c r="AB5" s="731" t="str">
        <f>'Input Form - EingabeMaske'!B10</f>
        <v>Date:</v>
      </c>
      <c r="AC5" s="560">
        <f>IF('Input Form - EingabeMaske'!C10="","",'Input Form - EingabeMaske'!C10)</f>
        <v>45713</v>
      </c>
      <c r="AE5" s="561"/>
      <c r="AF5" s="561"/>
      <c r="AG5" s="561"/>
      <c r="AH5" s="8"/>
      <c r="AI5" s="8"/>
    </row>
    <row r="6" spans="1:60" ht="18.75" customHeight="1">
      <c r="B6" s="562"/>
      <c r="C6" s="562"/>
      <c r="D6" s="562"/>
      <c r="E6" s="562"/>
      <c r="F6" s="562"/>
      <c r="G6" s="562"/>
      <c r="H6" s="559"/>
      <c r="I6" s="559"/>
      <c r="J6" s="746"/>
      <c r="K6" s="559"/>
      <c r="L6" s="485"/>
      <c r="M6" s="558"/>
      <c r="N6" s="558"/>
      <c r="O6" s="558"/>
      <c r="P6" s="558"/>
      <c r="Q6" s="558"/>
      <c r="R6" s="559"/>
      <c r="S6" s="1608" t="str">
        <f>'Input Form - EingabeMaske'!B13</f>
        <v>Audit request:</v>
      </c>
      <c r="T6" s="1608"/>
      <c r="U6" s="1638" t="str">
        <f>IF('Input Form - EingabeMaske'!C13="","",'Input Form - EingabeMaske'!C13)</f>
        <v>Q-management</v>
      </c>
      <c r="V6" s="1638"/>
      <c r="W6" s="1638"/>
      <c r="X6" s="1665" t="str">
        <f>'Input Form - EingabeMaske'!D13</f>
        <v>Department:</v>
      </c>
      <c r="Y6" s="1638" t="str">
        <f>IF('Input Form - EingabeMaske'!E13=0,"",'Input Form - EingabeMaske'!E13)</f>
        <v>Quality Dep.</v>
      </c>
      <c r="Z6" s="1638"/>
      <c r="AB6" s="1608" t="str">
        <f>'Input Form - EingabeMaske'!D10</f>
        <v>Layer:</v>
      </c>
      <c r="AC6" s="1638" t="str">
        <f>IF('Input Form - EingabeMaske'!E10="","",'Input Form - EingabeMaske'!E10)</f>
        <v/>
      </c>
      <c r="AE6" s="563"/>
      <c r="AF6" s="563"/>
      <c r="AG6" s="561"/>
      <c r="AH6" s="8"/>
      <c r="AI6" s="8"/>
    </row>
    <row r="7" spans="1:60" ht="18.75" customHeight="1">
      <c r="C7" s="514" t="str">
        <f>'Input Form - EingabeMaske'!B21</f>
        <v>Location:</v>
      </c>
      <c r="D7" s="559"/>
      <c r="E7" s="559"/>
      <c r="F7" s="559"/>
      <c r="G7" s="749"/>
      <c r="H7" s="749"/>
      <c r="I7" s="749"/>
      <c r="J7" s="749"/>
      <c r="K7" s="749"/>
      <c r="L7" s="558"/>
      <c r="M7" s="558"/>
      <c r="N7" s="558"/>
      <c r="O7" s="558"/>
      <c r="P7" s="558"/>
      <c r="Q7" s="558"/>
      <c r="R7" s="559"/>
      <c r="S7" s="1608"/>
      <c r="T7" s="1608"/>
      <c r="U7" s="1638"/>
      <c r="V7" s="1638"/>
      <c r="W7" s="1638"/>
      <c r="X7" s="1665"/>
      <c r="Y7" s="1638"/>
      <c r="Z7" s="1638"/>
      <c r="AB7" s="1608"/>
      <c r="AC7" s="1638"/>
      <c r="AE7" s="563"/>
      <c r="AF7" s="563"/>
      <c r="AG7" s="564"/>
      <c r="AH7" s="8"/>
      <c r="AI7" s="8"/>
    </row>
    <row r="8" spans="1:60" ht="15" customHeight="1">
      <c r="C8" s="1642" t="str">
        <f>IF(Lief_Str="","",Lief_Str)</f>
        <v/>
      </c>
      <c r="D8" s="1642"/>
      <c r="E8" s="1642"/>
      <c r="F8" s="1642"/>
      <c r="G8" s="1642"/>
      <c r="H8" s="1642"/>
      <c r="I8" s="559"/>
      <c r="J8" s="558"/>
      <c r="K8" s="559"/>
      <c r="L8" s="1647"/>
      <c r="M8" s="1647"/>
      <c r="N8" s="1647"/>
      <c r="O8" s="1647"/>
      <c r="P8" s="559"/>
      <c r="Q8" s="559"/>
      <c r="R8" s="559"/>
      <c r="S8" s="1608" t="str">
        <f>'Input Form - EingabeMaske'!B12</f>
        <v>Audit Reason:</v>
      </c>
      <c r="T8" s="1608"/>
      <c r="U8" s="1609" t="str">
        <f>IF('Input Form - EingabeMaske'!C12="","",'Input Form - EingabeMaske'!C12)</f>
        <v>New Process Moldshop to follow up after IATF Audit Nov. 2024</v>
      </c>
      <c r="V8" s="1609"/>
      <c r="W8" s="1609"/>
      <c r="X8" s="1609"/>
      <c r="Y8" s="1609"/>
      <c r="Z8" s="1609"/>
      <c r="AA8" s="1609"/>
      <c r="AB8" s="1608" t="str">
        <f>'Input Form - EingabeMaske'!B9</f>
        <v>Order No.:</v>
      </c>
      <c r="AC8" s="1610" t="str">
        <f>IF('Input Form - EingabeMaske'!C9="","",'Input Form - EingabeMaske'!C9)</f>
        <v/>
      </c>
      <c r="AD8" s="366"/>
      <c r="AF8" s="8"/>
      <c r="AG8" s="8"/>
      <c r="AH8" s="8"/>
      <c r="AI8" s="8"/>
    </row>
    <row r="9" spans="1:60" ht="16.5" customHeight="1">
      <c r="C9" s="1642" t="str">
        <f>IF(Lief_PLZ="","",Lief_PLZ &amp; " ") &amp; Lief_Ort</f>
        <v/>
      </c>
      <c r="D9" s="1642"/>
      <c r="E9" s="1642"/>
      <c r="F9" s="1642"/>
      <c r="G9" s="1642"/>
      <c r="H9" s="1642"/>
      <c r="I9" s="559"/>
      <c r="J9" s="558"/>
      <c r="K9" s="559"/>
      <c r="L9" s="1647"/>
      <c r="M9" s="1647"/>
      <c r="N9" s="1647"/>
      <c r="O9" s="1647"/>
      <c r="P9" s="559"/>
      <c r="Q9" s="559"/>
      <c r="R9" s="559"/>
      <c r="S9" s="1608"/>
      <c r="T9" s="1608"/>
      <c r="U9" s="1609"/>
      <c r="V9" s="1609"/>
      <c r="W9" s="1609"/>
      <c r="X9" s="1609"/>
      <c r="Y9" s="1609"/>
      <c r="Z9" s="1609"/>
      <c r="AA9" s="1609"/>
      <c r="AB9" s="1608"/>
      <c r="AC9" s="1610"/>
      <c r="AD9" s="366"/>
      <c r="AE9" s="565"/>
      <c r="AF9" s="8"/>
      <c r="AG9" s="8"/>
      <c r="AH9" s="8"/>
      <c r="AI9" s="8"/>
    </row>
    <row r="10" spans="1:60" ht="21" customHeight="1">
      <c r="B10" s="749"/>
      <c r="C10" s="1657" t="str">
        <f>IF('Input Form - EingabeMaske'!C22=0,"",'Input Form - EingabeMaske'!C22)</f>
        <v/>
      </c>
      <c r="D10" s="1657"/>
      <c r="E10" s="1657"/>
      <c r="F10" s="1657"/>
      <c r="G10" s="1657"/>
      <c r="H10" s="1657"/>
      <c r="I10" s="566"/>
      <c r="J10" s="566"/>
      <c r="K10" s="566"/>
      <c r="L10" s="566"/>
      <c r="M10" s="566"/>
      <c r="N10" s="566"/>
      <c r="O10" s="566"/>
      <c r="P10" s="566"/>
      <c r="Q10" s="566"/>
      <c r="R10" s="566"/>
      <c r="S10" s="566"/>
      <c r="T10" s="566"/>
      <c r="U10" s="559"/>
      <c r="V10" s="559"/>
      <c r="W10" s="559"/>
      <c r="X10" s="559"/>
      <c r="Y10" s="559"/>
      <c r="Z10" s="566"/>
      <c r="AA10" s="566"/>
      <c r="AB10" s="566"/>
      <c r="AC10" s="566"/>
      <c r="AD10" s="566"/>
      <c r="AE10" s="565"/>
      <c r="AF10" s="8"/>
      <c r="AG10" s="8"/>
      <c r="AH10" s="8"/>
      <c r="AI10" s="8"/>
    </row>
    <row r="11" spans="1:60" ht="17.25" customHeight="1">
      <c r="A11" s="1183"/>
      <c r="B11" s="1077"/>
      <c r="C11" s="1078" t="str">
        <f>VLOOKUP(pos(C11),'Language-Sprachen'!$A$160:$G$179,'Language-Sprachen'!$A$3,0)</f>
        <v>Audit result</v>
      </c>
      <c r="D11" s="1078"/>
      <c r="E11" s="1079"/>
      <c r="F11" s="1079"/>
      <c r="G11" s="1079"/>
      <c r="H11" s="1079"/>
      <c r="I11" s="1079"/>
      <c r="J11" s="1080"/>
      <c r="K11" s="1079"/>
      <c r="L11" s="1078"/>
      <c r="M11" s="1079"/>
      <c r="N11" s="1078"/>
      <c r="O11" s="1065"/>
      <c r="P11" s="566"/>
      <c r="Q11" s="566"/>
      <c r="R11" s="1062"/>
      <c r="S11" s="1063" t="str">
        <f>VLOOKUP(pos(S11),'Language-Sprachen'!$A$160:$G$179,'Language-Sprachen'!$A$3,0)</f>
        <v>Statements / Requirements</v>
      </c>
      <c r="T11" s="1064"/>
      <c r="U11" s="1064"/>
      <c r="V11" s="1064"/>
      <c r="W11" s="1064"/>
      <c r="X11" s="1064"/>
      <c r="Y11" s="1064"/>
      <c r="Z11" s="1064"/>
      <c r="AA11" s="1064"/>
      <c r="AB11" s="1064"/>
      <c r="AC11" s="1064"/>
      <c r="AD11" s="1065"/>
      <c r="AE11" s="565"/>
      <c r="AF11" s="8"/>
      <c r="AG11" s="8"/>
      <c r="AH11" s="8"/>
      <c r="AI11" s="8"/>
    </row>
    <row r="12" spans="1:60" ht="33.75" customHeight="1">
      <c r="A12" s="1183"/>
      <c r="B12" s="1095"/>
      <c r="C12" s="515" t="str">
        <f>VLOOKUP(pos(C12),'Language-Sprachen'!$A$160:$G$179,'Language-Sprachen'!$A$3,0)</f>
        <v>Evaluated process element</v>
      </c>
      <c r="D12" s="516"/>
      <c r="E12" s="517"/>
      <c r="F12" s="517"/>
      <c r="G12" s="517"/>
      <c r="H12" s="518"/>
      <c r="I12" s="1089"/>
      <c r="J12" s="519" t="str">
        <f>VLOOKUP(pos(J12),'Language-Sprachen'!$A$160:$G$179,'Language-Sprachen'!$A$3,0)</f>
        <v>Evaluation Index</v>
      </c>
      <c r="K12" s="1086"/>
      <c r="L12" s="519" t="str">
        <f>'Evaluation-Bewertung'!BB75</f>
        <v>EG [%]</v>
      </c>
      <c r="M12" s="1086"/>
      <c r="N12" s="520" t="str">
        <f>'Evaluation-Bewertung'!BE75</f>
        <v>Rating</v>
      </c>
      <c r="O12" s="1074"/>
      <c r="P12" s="566"/>
      <c r="Q12" s="566"/>
      <c r="R12" s="1066"/>
      <c r="S12" s="1618" t="str">
        <f>VLOOKUP(pos(S12),'Language-Sprachen'!$A$160:$G$179,'Language-Sprachen'!$A$3,0)</f>
        <v>Summary of the audit carried out</v>
      </c>
      <c r="T12" s="1618" t="e">
        <f>VLOOKUP(pos(T12),'Language-Sprachen'!$A$160:$G$179,'Language-Sprachen'!$A$3,0)</f>
        <v>#N/A</v>
      </c>
      <c r="U12" s="1618" t="e">
        <f>VLOOKUP(pos(U12),'Language-Sprachen'!$A$160:$G$179,'Language-Sprachen'!$A$3,0)</f>
        <v>#N/A</v>
      </c>
      <c r="V12" s="1618" t="e">
        <f>VLOOKUP(pos(V12),'Language-Sprachen'!$A$160:$G$179,'Language-Sprachen'!$A$3,0)</f>
        <v>#N/A</v>
      </c>
      <c r="W12" s="1618" t="e">
        <f>VLOOKUP(pos(W12),'Language-Sprachen'!$A$160:$G$179,'Language-Sprachen'!$A$3,0)</f>
        <v>#N/A</v>
      </c>
      <c r="X12" s="1618" t="e">
        <f>VLOOKUP(pos(X12),'Language-Sprachen'!$A$160:$G$179,'Language-Sprachen'!$A$3,0)</f>
        <v>#N/A</v>
      </c>
      <c r="Y12" s="1618" t="e">
        <f>VLOOKUP(pos(Y12),'Language-Sprachen'!$A$160:$G$179,'Language-Sprachen'!$A$3,0)</f>
        <v>#N/A</v>
      </c>
      <c r="Z12" s="1618" t="e">
        <f>VLOOKUP(pos(Z12),'Language-Sprachen'!$A$160:$G$179,'Language-Sprachen'!$A$3,0)</f>
        <v>#N/A</v>
      </c>
      <c r="AA12" s="1618" t="e">
        <f>VLOOKUP(pos(AA12),'Language-Sprachen'!$A$160:$G$179,'Language-Sprachen'!$A$3,0)</f>
        <v>#N/A</v>
      </c>
      <c r="AB12" s="1618" t="e">
        <f>VLOOKUP(pos(AB12),'Language-Sprachen'!$A$160:$G$179,'Language-Sprachen'!$A$3,0)</f>
        <v>#N/A</v>
      </c>
      <c r="AC12" s="1618" t="e">
        <f>VLOOKUP(pos(AC12),'Language-Sprachen'!$A$160:$G$179,'Language-Sprachen'!$A$3,0)</f>
        <v>#N/A</v>
      </c>
      <c r="AD12" s="1074"/>
      <c r="AE12" s="565"/>
      <c r="AF12" s="8"/>
      <c r="AG12" s="8"/>
      <c r="AH12" s="8"/>
      <c r="AI12" s="8"/>
    </row>
    <row r="13" spans="1:60" ht="20.25">
      <c r="A13" s="1183" t="str">
        <f>IF(ISNUMBER(A14),", P2","")&amp;IF(ISNUMBER(A15),", P3","")&amp;IF(ISNUMBER(A16),", P4","")&amp;IF(ISNUMBER(A17),", P5","")&amp;IF(ISNUMBER(A18),", P6","")&amp;IF(ISNUMBER(A19),", P7","")</f>
        <v>, P6</v>
      </c>
      <c r="B13" s="1095"/>
      <c r="C13" s="1658" t="str">
        <f>IF(A13="","",RIGHT(A13,LEN(A13)-2))</f>
        <v>P6</v>
      </c>
      <c r="D13" s="1659"/>
      <c r="E13" s="1659"/>
      <c r="F13" s="1659"/>
      <c r="G13" s="1659"/>
      <c r="H13" s="1660"/>
      <c r="I13" s="1091"/>
      <c r="J13" s="739" t="str">
        <f>"("&amp;IF(ISNUMBER(A14),"P2","")&amp;IF(ISNUMBER(A15),"P3","")&amp;IF(ISNUMBER(A16),"P4","")&amp;IF(ISNUMBER(A17),"P5","")&amp;IF(ISNUMBER(A18),"P6","")&amp;IF(ISNUMBER(A19),"P7","")&amp;")"</f>
        <v>(P6)</v>
      </c>
      <c r="K13" s="1089"/>
      <c r="L13" s="521">
        <f>IF(A13="","",'Evaluation-Bewertung'!BB76)</f>
        <v>0.97</v>
      </c>
      <c r="M13" s="1087"/>
      <c r="N13" s="522" t="str">
        <f>IF(A13="","",'Evaluation-Bewertung'!BE76)</f>
        <v>A</v>
      </c>
      <c r="O13" s="1074"/>
      <c r="P13" s="566"/>
      <c r="Q13" s="566"/>
      <c r="R13" s="1066"/>
      <c r="S13" s="1681" t="s">
        <v>1027</v>
      </c>
      <c r="T13" s="1682"/>
      <c r="U13" s="1682"/>
      <c r="V13" s="1682"/>
      <c r="W13" s="1682"/>
      <c r="X13" s="1682"/>
      <c r="Y13" s="1682"/>
      <c r="Z13" s="1682"/>
      <c r="AA13" s="1682"/>
      <c r="AB13" s="1682"/>
      <c r="AC13" s="1682"/>
      <c r="AD13" s="1075"/>
      <c r="AF13" s="8"/>
      <c r="AG13" s="8"/>
      <c r="AH13" s="8"/>
      <c r="AI13" s="8"/>
      <c r="AQ13" s="1347"/>
      <c r="AR13" s="1348"/>
      <c r="AS13" s="1349"/>
      <c r="AT13" s="1350"/>
      <c r="AU13" s="1349"/>
      <c r="AV13" s="1350"/>
      <c r="AW13" s="1351"/>
      <c r="AX13" s="1349"/>
      <c r="AY13" s="1352"/>
      <c r="AZ13" s="1349"/>
      <c r="BA13" s="1349"/>
      <c r="BB13" s="1349"/>
      <c r="BC13" s="1353"/>
      <c r="BD13" s="1349"/>
      <c r="BE13" s="1353"/>
      <c r="BF13" s="1349"/>
      <c r="BG13" s="1353"/>
      <c r="BH13" s="1349"/>
    </row>
    <row r="14" spans="1:60" ht="19.5" customHeight="1">
      <c r="A14" s="1183" t="str">
        <f>epm</f>
        <v>n.e.</v>
      </c>
      <c r="B14" s="1095"/>
      <c r="C14" s="729" t="str">
        <f>VLOOKUP(pos(C14),'Language-Sprachen'!$A$160:$G$179,'Language-Sprachen'!$A$3,0)</f>
        <v>Evaluated product group</v>
      </c>
      <c r="D14" s="517"/>
      <c r="E14" s="516"/>
      <c r="F14" s="516"/>
      <c r="G14" s="516"/>
      <c r="H14" s="523"/>
      <c r="I14" s="1092"/>
      <c r="J14" s="1058" t="str">
        <f>VLOOKUP(pos(J14),'Language-Sprachen'!$A$160:$G$179,'Language-Sprachen'!$A$3,0)</f>
        <v>Missing!</v>
      </c>
      <c r="K14" s="1090"/>
      <c r="L14" s="524"/>
      <c r="M14" s="1088"/>
      <c r="N14" s="525"/>
      <c r="O14" s="1074"/>
      <c r="P14" s="566"/>
      <c r="Q14" s="566"/>
      <c r="R14" s="1066"/>
      <c r="S14" s="1682"/>
      <c r="T14" s="1682"/>
      <c r="U14" s="1682"/>
      <c r="V14" s="1682"/>
      <c r="W14" s="1682"/>
      <c r="X14" s="1682"/>
      <c r="Y14" s="1682"/>
      <c r="Z14" s="1682"/>
      <c r="AA14" s="1682"/>
      <c r="AB14" s="1682"/>
      <c r="AC14" s="1682"/>
      <c r="AD14" s="1075"/>
      <c r="AF14" s="8"/>
      <c r="AG14" s="8"/>
      <c r="AH14" s="8"/>
      <c r="AI14" s="8"/>
      <c r="AQ14" s="380"/>
      <c r="AR14" s="1216"/>
      <c r="AS14" s="1354"/>
      <c r="AT14" s="1355"/>
      <c r="AU14" s="1346"/>
      <c r="AV14" s="220"/>
      <c r="AW14" s="1356"/>
      <c r="AX14" s="1178"/>
      <c r="AY14" s="220"/>
      <c r="AZ14" s="1357"/>
      <c r="BA14" s="1357"/>
      <c r="BB14" s="1357"/>
      <c r="BC14" s="220"/>
      <c r="BD14" s="1358"/>
      <c r="BE14" s="220"/>
      <c r="BF14" s="1357"/>
      <c r="BG14" s="220"/>
      <c r="BH14" s="1357"/>
    </row>
    <row r="15" spans="1:60" ht="21">
      <c r="A15" s="1183" t="str">
        <f>'Evaluation-Bewertung'!ede</f>
        <v>n.e.</v>
      </c>
      <c r="B15" s="1095"/>
      <c r="C15" s="1661" t="str">
        <f>IF('Input Form - EingabeMaske'!C34=0,"--",'Input Form - EingabeMaske'!C34)</f>
        <v>Billets</v>
      </c>
      <c r="D15" s="1662"/>
      <c r="E15" s="1662"/>
      <c r="F15" s="1662"/>
      <c r="G15" s="1662"/>
      <c r="H15" s="1663"/>
      <c r="I15" s="1093"/>
      <c r="J15" s="526" t="s">
        <v>144</v>
      </c>
      <c r="K15" s="1089"/>
      <c r="L15" s="527">
        <f>IF(C15="--","--",PrGr1!BB76)</f>
        <v>0.97</v>
      </c>
      <c r="M15" s="1089"/>
      <c r="N15" s="528" t="str">
        <f>IF(C15="--","--",PrGr1!BE76)</f>
        <v>A</v>
      </c>
      <c r="O15" s="1074"/>
      <c r="P15" s="566"/>
      <c r="Q15" s="566"/>
      <c r="R15" s="1066"/>
      <c r="S15" s="1682"/>
      <c r="T15" s="1682"/>
      <c r="U15" s="1682"/>
      <c r="V15" s="1682"/>
      <c r="W15" s="1682"/>
      <c r="X15" s="1682"/>
      <c r="Y15" s="1682"/>
      <c r="Z15" s="1682"/>
      <c r="AA15" s="1682"/>
      <c r="AB15" s="1682"/>
      <c r="AC15" s="1682"/>
      <c r="AD15" s="1075"/>
      <c r="AF15" s="8"/>
      <c r="AG15" s="8"/>
      <c r="AH15" s="8"/>
      <c r="AI15" s="8"/>
      <c r="AQ15" s="380"/>
      <c r="AR15" s="1216"/>
      <c r="AS15" s="1354"/>
      <c r="AT15" s="1355"/>
      <c r="AU15" s="1346"/>
      <c r="AV15" s="220"/>
      <c r="AW15" s="1356"/>
      <c r="AX15" s="1178"/>
      <c r="AY15" s="220"/>
      <c r="AZ15" s="1357"/>
      <c r="BA15" s="1357"/>
      <c r="BB15" s="1357"/>
      <c r="BC15" s="220"/>
      <c r="BD15" s="1358"/>
      <c r="BE15" s="220"/>
      <c r="BF15" s="1357"/>
      <c r="BG15" s="220"/>
      <c r="BH15" s="1357"/>
    </row>
    <row r="16" spans="1:60" ht="21">
      <c r="A16" s="1183" t="str">
        <f>'Evaluation-Bewertung'!epe</f>
        <v>n.e.</v>
      </c>
      <c r="B16" s="1095"/>
      <c r="C16" s="1648" t="str">
        <f>IF('Input Form - EingabeMaske'!D34=0,"--",'Input Form - EingabeMaske'!D34)</f>
        <v>--</v>
      </c>
      <c r="D16" s="1649"/>
      <c r="E16" s="1649"/>
      <c r="F16" s="1649"/>
      <c r="G16" s="1649"/>
      <c r="H16" s="1650"/>
      <c r="I16" s="1093"/>
      <c r="J16" s="529" t="s">
        <v>144</v>
      </c>
      <c r="K16" s="1089"/>
      <c r="L16" s="530" t="str">
        <f>IF(C16="--","--",PrGr2!BB62)</f>
        <v>--</v>
      </c>
      <c r="M16" s="1089"/>
      <c r="N16" s="531" t="str">
        <f>IF(C16="--","--",PrGr2!BE62)</f>
        <v>--</v>
      </c>
      <c r="O16" s="1074"/>
      <c r="P16" s="566"/>
      <c r="Q16" s="566"/>
      <c r="R16" s="1066"/>
      <c r="S16" s="1682"/>
      <c r="T16" s="1682"/>
      <c r="U16" s="1682"/>
      <c r="V16" s="1682"/>
      <c r="W16" s="1682"/>
      <c r="X16" s="1682"/>
      <c r="Y16" s="1682"/>
      <c r="Z16" s="1682"/>
      <c r="AA16" s="1682"/>
      <c r="AB16" s="1682"/>
      <c r="AC16" s="1682"/>
      <c r="AD16" s="1075"/>
      <c r="AF16" s="8"/>
      <c r="AG16" s="8"/>
      <c r="AH16" s="8"/>
      <c r="AI16" s="8"/>
      <c r="AQ16" s="380"/>
      <c r="AR16" s="1216"/>
      <c r="AS16" s="1354"/>
      <c r="AT16" s="1355"/>
      <c r="AU16" s="1346"/>
      <c r="AV16" s="220"/>
      <c r="AW16" s="1356"/>
      <c r="AX16" s="1178"/>
      <c r="AY16" s="220"/>
      <c r="AZ16" s="1357"/>
      <c r="BA16" s="1357"/>
      <c r="BB16" s="1357"/>
      <c r="BC16" s="220"/>
      <c r="BD16" s="1358"/>
      <c r="BE16" s="220"/>
      <c r="BF16" s="1357"/>
      <c r="BG16" s="220"/>
      <c r="BH16" s="1357"/>
    </row>
    <row r="17" spans="1:60" ht="21">
      <c r="A17" s="1183" t="str">
        <f>elm</f>
        <v>n.e.</v>
      </c>
      <c r="B17" s="1095"/>
      <c r="C17" s="1648" t="str">
        <f>IF('Input Form - EingabeMaske'!E34=0,"--",'Input Form - EingabeMaske'!E34)</f>
        <v>--</v>
      </c>
      <c r="D17" s="1649"/>
      <c r="E17" s="1649"/>
      <c r="F17" s="1649"/>
      <c r="G17" s="1649"/>
      <c r="H17" s="1650"/>
      <c r="I17" s="1093"/>
      <c r="J17" s="529" t="s">
        <v>144</v>
      </c>
      <c r="K17" s="1089"/>
      <c r="L17" s="530" t="str">
        <f>IF(C17="--","--",PrGr3!BB62)</f>
        <v>--</v>
      </c>
      <c r="M17" s="1089"/>
      <c r="N17" s="531" t="str">
        <f>IF(C17="--","--",PrGr3!BE62)</f>
        <v>--</v>
      </c>
      <c r="O17" s="1074"/>
      <c r="P17" s="566"/>
      <c r="Q17" s="566"/>
      <c r="R17" s="1066"/>
      <c r="S17" s="1683"/>
      <c r="T17" s="1683"/>
      <c r="U17" s="1683"/>
      <c r="V17" s="1683"/>
      <c r="W17" s="1683"/>
      <c r="X17" s="1683"/>
      <c r="Y17" s="1683"/>
      <c r="Z17" s="1683"/>
      <c r="AA17" s="1683"/>
      <c r="AB17" s="1683"/>
      <c r="AC17" s="1683"/>
      <c r="AD17" s="1075"/>
      <c r="AF17" s="8"/>
      <c r="AG17" s="8"/>
      <c r="AH17" s="8"/>
      <c r="AI17" s="8"/>
      <c r="AQ17" s="380"/>
      <c r="AR17" s="1216"/>
      <c r="AS17" s="1354"/>
      <c r="AT17" s="1355"/>
      <c r="AU17" s="1346"/>
      <c r="AV17" s="220"/>
      <c r="AW17" s="1356"/>
      <c r="AX17" s="1178"/>
      <c r="AY17" s="220"/>
      <c r="AZ17" s="1357"/>
      <c r="BA17" s="1357"/>
      <c r="BB17" s="1357"/>
      <c r="BC17" s="220"/>
      <c r="BD17" s="1358"/>
      <c r="BE17" s="220"/>
      <c r="BF17" s="1357"/>
      <c r="BG17" s="220"/>
      <c r="BH17" s="1357"/>
    </row>
    <row r="18" spans="1:60" ht="21">
      <c r="A18" s="1183">
        <f>epg</f>
        <v>0.97</v>
      </c>
      <c r="B18" s="1095"/>
      <c r="C18" s="1651" t="str">
        <f>IF('Input Form - EingabeMaske'!F34=0,"--",'Input Form - EingabeMaske'!F34)</f>
        <v>--</v>
      </c>
      <c r="D18" s="1652"/>
      <c r="E18" s="1652"/>
      <c r="F18" s="1652"/>
      <c r="G18" s="1652"/>
      <c r="H18" s="1653"/>
      <c r="I18" s="1093"/>
      <c r="J18" s="532" t="s">
        <v>144</v>
      </c>
      <c r="K18" s="1089"/>
      <c r="L18" s="533" t="str">
        <f>IF(C18="--","--",PrGr4!BE62)</f>
        <v>--</v>
      </c>
      <c r="M18" s="1089"/>
      <c r="N18" s="534" t="str">
        <f>IF(C18="--","--",PrGr4!BE62)</f>
        <v>--</v>
      </c>
      <c r="O18" s="1074"/>
      <c r="P18" s="566"/>
      <c r="Q18" s="566"/>
      <c r="R18" s="1066"/>
      <c r="S18" s="1618" t="str">
        <f>VLOOKUP(pos(S18),'Language-Sprachen'!$A$160:$G$179,'Language-Sprachen'!$A$3,0)</f>
        <v>During the audit the following significant findings were identified:</v>
      </c>
      <c r="T18" s="1618" t="e">
        <f>VLOOKUP(pos(T18),'Language-Sprachen'!$A$160:$G$179,'Language-Sprachen'!$A$3,0)</f>
        <v>#N/A</v>
      </c>
      <c r="U18" s="1618" t="e">
        <f>VLOOKUP(pos(U18),'Language-Sprachen'!$A$160:$G$179,'Language-Sprachen'!$A$3,0)</f>
        <v>#N/A</v>
      </c>
      <c r="V18" s="1618" t="e">
        <f>VLOOKUP(pos(V18),'Language-Sprachen'!$A$160:$G$179,'Language-Sprachen'!$A$3,0)</f>
        <v>#N/A</v>
      </c>
      <c r="W18" s="1618" t="e">
        <f>VLOOKUP(pos(W18),'Language-Sprachen'!$A$160:$G$179,'Language-Sprachen'!$A$3,0)</f>
        <v>#N/A</v>
      </c>
      <c r="X18" s="1618" t="e">
        <f>VLOOKUP(pos(X18),'Language-Sprachen'!$A$160:$G$179,'Language-Sprachen'!$A$3,0)</f>
        <v>#N/A</v>
      </c>
      <c r="Y18" s="1618" t="e">
        <f>VLOOKUP(pos(Y18),'Language-Sprachen'!$A$160:$G$179,'Language-Sprachen'!$A$3,0)</f>
        <v>#N/A</v>
      </c>
      <c r="Z18" s="1618" t="e">
        <f>VLOOKUP(pos(Z18),'Language-Sprachen'!$A$160:$G$179,'Language-Sprachen'!$A$3,0)</f>
        <v>#N/A</v>
      </c>
      <c r="AA18" s="1618" t="e">
        <f>VLOOKUP(pos(AA18),'Language-Sprachen'!$A$160:$G$179,'Language-Sprachen'!$A$3,0)</f>
        <v>#N/A</v>
      </c>
      <c r="AB18" s="1618" t="e">
        <f>VLOOKUP(pos(AB18),'Language-Sprachen'!$A$160:$G$179,'Language-Sprachen'!$A$3,0)</f>
        <v>#N/A</v>
      </c>
      <c r="AC18" s="1618" t="e">
        <f>VLOOKUP(pos(AC18),'Language-Sprachen'!$A$160:$G$179,'Language-Sprachen'!$A$3,0)</f>
        <v>#N/A</v>
      </c>
      <c r="AD18" s="1075"/>
      <c r="AF18" s="8"/>
      <c r="AG18" s="8"/>
      <c r="AH18" s="8"/>
      <c r="AI18" s="8"/>
      <c r="AQ18" s="380"/>
      <c r="AR18" s="1216"/>
      <c r="AS18" s="1354"/>
      <c r="AT18" s="1355"/>
      <c r="AU18" s="1346"/>
      <c r="AV18" s="220"/>
      <c r="AW18" s="1356"/>
      <c r="AX18" s="1178"/>
      <c r="AY18" s="220"/>
      <c r="AZ18" s="1357"/>
      <c r="BA18" s="1357"/>
      <c r="BB18" s="1357"/>
      <c r="BC18" s="220"/>
      <c r="BD18" s="1358"/>
      <c r="BE18" s="220"/>
      <c r="BF18" s="1357"/>
      <c r="BG18" s="220"/>
      <c r="BH18" s="1357"/>
    </row>
    <row r="19" spans="1:60" ht="6.75" customHeight="1">
      <c r="A19" s="1183" t="str">
        <f>'Evaluation-Bewertung'!ek</f>
        <v>n.e.</v>
      </c>
      <c r="B19" s="1081"/>
      <c r="C19" s="1082"/>
      <c r="D19" s="1082"/>
      <c r="E19" s="1083"/>
      <c r="F19" s="1083"/>
      <c r="G19" s="1083"/>
      <c r="H19" s="1083"/>
      <c r="I19" s="1083"/>
      <c r="J19" s="1083"/>
      <c r="K19" s="1084"/>
      <c r="L19" s="1085"/>
      <c r="M19" s="1085"/>
      <c r="N19" s="1085"/>
      <c r="O19" s="1073"/>
      <c r="P19" s="565"/>
      <c r="Q19" s="565"/>
      <c r="R19" s="1067"/>
      <c r="S19" s="1684" t="s">
        <v>993</v>
      </c>
      <c r="T19" s="1685"/>
      <c r="U19" s="1685"/>
      <c r="V19" s="1685"/>
      <c r="W19" s="1685"/>
      <c r="X19" s="1685"/>
      <c r="Y19" s="1685"/>
      <c r="Z19" s="1685"/>
      <c r="AA19" s="1685"/>
      <c r="AB19" s="1685"/>
      <c r="AC19" s="1685"/>
      <c r="AD19" s="1071"/>
      <c r="AE19" s="565"/>
      <c r="AF19" s="8"/>
      <c r="AG19" s="8"/>
      <c r="AH19" s="8"/>
      <c r="AI19" s="8"/>
      <c r="AQ19" s="380"/>
      <c r="AR19" s="1216"/>
      <c r="AS19" s="1354"/>
      <c r="AT19" s="1355"/>
      <c r="AU19" s="1346"/>
      <c r="AV19" s="220"/>
      <c r="AW19" s="1356"/>
      <c r="AX19" s="1178"/>
      <c r="AY19" s="220"/>
      <c r="AZ19" s="1357"/>
      <c r="BA19" s="1357"/>
      <c r="BB19" s="1357"/>
      <c r="BC19" s="220"/>
      <c r="BD19" s="1358"/>
      <c r="BE19" s="220"/>
      <c r="BF19" s="1357"/>
      <c r="BG19" s="220"/>
      <c r="BH19" s="1357"/>
    </row>
    <row r="20" spans="1:60" s="82" customFormat="1" ht="31.5" customHeight="1">
      <c r="B20" s="1644" t="str">
        <f>VLOOKUP(pos(B20),'Language-Sprachen'!$A$160:$G$179,'Language-Sprachen'!$A$3,0)</f>
        <v>Classification scale: A = 90 - 100% quality capable; B&gt;=80 - &lt;90% conditionally quality capable; C = 0 - &lt; 80% not quality capable</v>
      </c>
      <c r="C20" s="1644" t="e">
        <f>VLOOKUP(pos(C20),'Language-Sprachen'!$A$160:$G$179,'Language-Sprachen'!$A$3,0)</f>
        <v>#N/A</v>
      </c>
      <c r="D20" s="1644" t="e">
        <f>VLOOKUP(pos(D20),'Language-Sprachen'!$A$160:$G$179,'Language-Sprachen'!$A$3,0)</f>
        <v>#N/A</v>
      </c>
      <c r="E20" s="1644" t="e">
        <f>VLOOKUP(pos(E20),'Language-Sprachen'!$A$160:$G$179,'Language-Sprachen'!$A$3,0)</f>
        <v>#N/A</v>
      </c>
      <c r="F20" s="1644" t="e">
        <f>VLOOKUP(pos(F20),'Language-Sprachen'!$A$160:$G$179,'Language-Sprachen'!$A$3,0)</f>
        <v>#N/A</v>
      </c>
      <c r="G20" s="1644" t="e">
        <f>VLOOKUP(pos(G20),'Language-Sprachen'!$A$160:$G$179,'Language-Sprachen'!$A$3,0)</f>
        <v>#N/A</v>
      </c>
      <c r="H20" s="1644" t="e">
        <f>VLOOKUP(pos(H20),'Language-Sprachen'!$A$160:$G$179,'Language-Sprachen'!$A$3,0)</f>
        <v>#N/A</v>
      </c>
      <c r="I20" s="1644" t="e">
        <f>VLOOKUP(pos(I20),'Language-Sprachen'!$A$160:$G$179,'Language-Sprachen'!$A$3,0)</f>
        <v>#N/A</v>
      </c>
      <c r="J20" s="1644" t="e">
        <f>VLOOKUP(pos(J20),'Language-Sprachen'!$A$160:$G$179,'Language-Sprachen'!$A$3,0)</f>
        <v>#N/A</v>
      </c>
      <c r="K20" s="1644" t="e">
        <f>VLOOKUP(pos(K20),'Language-Sprachen'!$A$160:$G$179,'Language-Sprachen'!$A$3,0)</f>
        <v>#N/A</v>
      </c>
      <c r="L20" s="1644" t="e">
        <f>VLOOKUP(pos(L20),'Language-Sprachen'!$A$160:$G$179,'Language-Sprachen'!$A$3,0)</f>
        <v>#N/A</v>
      </c>
      <c r="M20" s="1644" t="e">
        <f>VLOOKUP(pos(M20),'Language-Sprachen'!$A$160:$G$179,'Language-Sprachen'!$A$3,0)</f>
        <v>#N/A</v>
      </c>
      <c r="N20" s="1644" t="e">
        <f>VLOOKUP(pos(N20),'Language-Sprachen'!$A$160:$G$179,'Language-Sprachen'!$A$3,0)</f>
        <v>#N/A</v>
      </c>
      <c r="O20" s="1644" t="e">
        <f>VLOOKUP(pos(O20),'Language-Sprachen'!$A$160:$G$179,'Language-Sprachen'!$A$3,0)</f>
        <v>#N/A</v>
      </c>
      <c r="P20" s="160"/>
      <c r="Q20" s="160"/>
      <c r="R20" s="1068"/>
      <c r="S20" s="1685"/>
      <c r="T20" s="1685"/>
      <c r="U20" s="1685"/>
      <c r="V20" s="1685"/>
      <c r="W20" s="1685"/>
      <c r="X20" s="1685"/>
      <c r="Y20" s="1685"/>
      <c r="Z20" s="1685"/>
      <c r="AA20" s="1685"/>
      <c r="AB20" s="1685"/>
      <c r="AC20" s="1685"/>
      <c r="AD20" s="1076"/>
      <c r="AE20" s="160"/>
      <c r="AF20" s="13"/>
      <c r="AG20" s="13"/>
      <c r="AH20" s="13"/>
      <c r="AI20" s="13"/>
      <c r="AQ20" s="380"/>
      <c r="AR20" s="1216"/>
      <c r="AS20" s="1354"/>
      <c r="AT20" s="1355"/>
      <c r="AU20" s="1346"/>
      <c r="AV20" s="220"/>
      <c r="AW20" s="1356"/>
      <c r="AX20" s="1178"/>
      <c r="AY20" s="220"/>
      <c r="AZ20" s="1357"/>
      <c r="BA20" s="1357"/>
      <c r="BB20" s="1357"/>
      <c r="BC20" s="220"/>
      <c r="BD20" s="1358"/>
      <c r="BE20" s="220"/>
      <c r="BF20" s="1357"/>
      <c r="BG20" s="220"/>
      <c r="BH20" s="1357"/>
    </row>
    <row r="21" spans="1:60" s="82" customFormat="1" ht="93.75" customHeight="1">
      <c r="C21" s="1643"/>
      <c r="D21" s="1643"/>
      <c r="E21" s="1643"/>
      <c r="F21" s="1643"/>
      <c r="G21" s="1643"/>
      <c r="H21" s="1643"/>
      <c r="I21" s="1643"/>
      <c r="J21" s="1643"/>
      <c r="L21" s="1624"/>
      <c r="M21" s="1625"/>
      <c r="N21" s="1625"/>
      <c r="P21" s="231"/>
      <c r="Q21" s="231"/>
      <c r="R21" s="1067"/>
      <c r="S21" s="1685"/>
      <c r="T21" s="1685"/>
      <c r="U21" s="1685"/>
      <c r="V21" s="1685"/>
      <c r="W21" s="1685"/>
      <c r="X21" s="1685"/>
      <c r="Y21" s="1685"/>
      <c r="Z21" s="1685"/>
      <c r="AA21" s="1685"/>
      <c r="AB21" s="1685"/>
      <c r="AC21" s="1685"/>
      <c r="AD21" s="1071"/>
      <c r="AE21" s="231"/>
      <c r="AF21" s="13"/>
      <c r="AG21" s="13"/>
      <c r="AH21" s="13"/>
      <c r="AI21" s="13"/>
      <c r="AQ21" s="380"/>
      <c r="AR21" s="1216"/>
      <c r="AS21" s="1354"/>
      <c r="AT21" s="1355"/>
      <c r="AU21" s="1346"/>
      <c r="AV21" s="220"/>
      <c r="AW21" s="1356"/>
      <c r="AX21" s="1178"/>
      <c r="AY21" s="220"/>
      <c r="AZ21" s="1357"/>
      <c r="BA21" s="1357"/>
      <c r="BB21" s="1357"/>
      <c r="BC21" s="220"/>
      <c r="BD21" s="1358"/>
      <c r="BE21" s="220"/>
      <c r="BF21" s="1357"/>
      <c r="BG21" s="220"/>
      <c r="BH21" s="1357"/>
    </row>
    <row r="22" spans="1:60" s="82" customFormat="1" ht="15.75" customHeight="1">
      <c r="B22" s="1096"/>
      <c r="C22" s="1097" t="str">
        <f>'Input Form - EingabeMaske'!B27</f>
        <v>Last Audit Results  / Certificate</v>
      </c>
      <c r="D22" s="1098"/>
      <c r="E22" s="1099"/>
      <c r="F22" s="1099"/>
      <c r="G22" s="1099"/>
      <c r="H22" s="1099"/>
      <c r="I22" s="1099"/>
      <c r="J22" s="1099"/>
      <c r="K22" s="1100"/>
      <c r="L22" s="1101"/>
      <c r="M22" s="1101"/>
      <c r="N22" s="1101"/>
      <c r="O22" s="1102"/>
      <c r="P22" s="231"/>
      <c r="Q22" s="231"/>
      <c r="R22" s="1067"/>
      <c r="S22" s="1686"/>
      <c r="T22" s="1686"/>
      <c r="U22" s="1686"/>
      <c r="V22" s="1686"/>
      <c r="W22" s="1686"/>
      <c r="X22" s="1686"/>
      <c r="Y22" s="1686"/>
      <c r="Z22" s="1686"/>
      <c r="AA22" s="1686"/>
      <c r="AB22" s="1686"/>
      <c r="AC22" s="1686"/>
      <c r="AD22" s="1071"/>
      <c r="AE22" s="231"/>
      <c r="AF22" s="13"/>
      <c r="AG22" s="13"/>
      <c r="AH22" s="13"/>
      <c r="AI22" s="13"/>
      <c r="AQ22" s="380"/>
      <c r="AR22" s="1216"/>
      <c r="AS22" s="1354"/>
      <c r="AT22" s="1355"/>
      <c r="AU22" s="1346"/>
      <c r="AV22" s="220"/>
      <c r="AW22" s="1356"/>
      <c r="AX22" s="1178"/>
      <c r="AY22" s="220"/>
      <c r="AZ22" s="1357"/>
      <c r="BA22" s="1357"/>
      <c r="BB22" s="1357"/>
      <c r="BC22" s="220"/>
      <c r="BD22" s="1358"/>
      <c r="BE22" s="220"/>
      <c r="BF22" s="1357"/>
      <c r="BG22" s="220"/>
      <c r="BH22" s="1357"/>
    </row>
    <row r="23" spans="1:60" s="82" customFormat="1" ht="31.5" customHeight="1">
      <c r="B23" s="1107"/>
      <c r="C23" s="1654" t="str">
        <f>'Input Form - EingabeMaske'!B28</f>
        <v>Certificate / Audit No:</v>
      </c>
      <c r="D23" s="1655"/>
      <c r="E23" s="1655"/>
      <c r="F23" s="1656"/>
      <c r="G23" s="1105"/>
      <c r="H23" s="535" t="str">
        <f>'Input Form - EingabeMaske'!B29</f>
        <v>Issue Date</v>
      </c>
      <c r="I23" s="1103"/>
      <c r="J23" s="536" t="str">
        <f>'Input Form - EingabeMaske'!B30</f>
        <v>Conducted by</v>
      </c>
      <c r="K23" s="1105"/>
      <c r="L23" s="1626" t="str">
        <f>'Input Form - EingabeMaske'!B31</f>
        <v>Result / Certificate No.</v>
      </c>
      <c r="M23" s="1627"/>
      <c r="N23" s="1628"/>
      <c r="O23" s="1071"/>
      <c r="P23" s="231"/>
      <c r="Q23" s="231"/>
      <c r="R23" s="1067"/>
      <c r="S23" s="1618" t="str">
        <f>VLOOKUP(pos(S23),'Language-Sprachen'!$A$160:$G$179,'Language-Sprachen'!$A$3,0)</f>
        <v>Conclusion</v>
      </c>
      <c r="T23" s="1618" t="e">
        <f>VLOOKUP(pos(T23),'Language-Sprachen'!$A$160:$G$179,'Language-Sprachen'!$A$3,0)</f>
        <v>#N/A</v>
      </c>
      <c r="U23" s="1618" t="e">
        <f>VLOOKUP(pos(U23),'Language-Sprachen'!$A$160:$G$179,'Language-Sprachen'!$A$3,0)</f>
        <v>#N/A</v>
      </c>
      <c r="V23" s="1618" t="e">
        <f>VLOOKUP(pos(V23),'Language-Sprachen'!$A$160:$G$179,'Language-Sprachen'!$A$3,0)</f>
        <v>#N/A</v>
      </c>
      <c r="W23" s="1618" t="e">
        <f>VLOOKUP(pos(W23),'Language-Sprachen'!$A$160:$G$179,'Language-Sprachen'!$A$3,0)</f>
        <v>#N/A</v>
      </c>
      <c r="X23" s="1618" t="e">
        <f>VLOOKUP(pos(X23),'Language-Sprachen'!$A$160:$G$179,'Language-Sprachen'!$A$3,0)</f>
        <v>#N/A</v>
      </c>
      <c r="Y23" s="1618" t="e">
        <f>VLOOKUP(pos(Y23),'Language-Sprachen'!$A$160:$G$179,'Language-Sprachen'!$A$3,0)</f>
        <v>#N/A</v>
      </c>
      <c r="Z23" s="1618" t="e">
        <f>VLOOKUP(pos(Z23),'Language-Sprachen'!$A$160:$G$179,'Language-Sprachen'!$A$3,0)</f>
        <v>#N/A</v>
      </c>
      <c r="AA23" s="1618" t="e">
        <f>VLOOKUP(pos(AA23),'Language-Sprachen'!$A$160:$G$179,'Language-Sprachen'!$A$3,0)</f>
        <v>#N/A</v>
      </c>
      <c r="AB23" s="1618" t="e">
        <f>VLOOKUP(pos(AB23),'Language-Sprachen'!$A$160:$G$179,'Language-Sprachen'!$A$3,0)</f>
        <v>#N/A</v>
      </c>
      <c r="AC23" s="1618" t="e">
        <f>VLOOKUP(pos(AC23),'Language-Sprachen'!$A$160:$G$179,'Language-Sprachen'!$A$3,0)</f>
        <v>#N/A</v>
      </c>
      <c r="AD23" s="1071"/>
      <c r="AE23" s="231"/>
      <c r="AF23" s="13"/>
      <c r="AG23" s="13"/>
      <c r="AH23" s="13"/>
      <c r="AI23" s="13"/>
      <c r="AQ23" s="380"/>
      <c r="AR23" s="1216"/>
      <c r="AS23" s="1354"/>
      <c r="AT23" s="1355"/>
      <c r="AU23" s="1346"/>
      <c r="AV23" s="220"/>
      <c r="AW23" s="1356"/>
      <c r="AX23" s="1178"/>
      <c r="AY23" s="220"/>
      <c r="AZ23" s="1357"/>
      <c r="BA23" s="1357"/>
      <c r="BB23" s="1357"/>
      <c r="BC23" s="220"/>
      <c r="BD23" s="1358"/>
      <c r="BE23" s="220"/>
      <c r="BF23" s="1357"/>
      <c r="BG23" s="220"/>
      <c r="BH23" s="1357"/>
    </row>
    <row r="24" spans="1:60" s="82" customFormat="1" ht="15.75" customHeight="1">
      <c r="B24" s="1108"/>
      <c r="C24" s="1612" t="str">
        <f>IF('Input Form - EingabeMaske'!C28=""," ",'Input Form - EingabeMaske'!C28)</f>
        <v xml:space="preserve"> </v>
      </c>
      <c r="D24" s="1613"/>
      <c r="E24" s="1613"/>
      <c r="F24" s="1614"/>
      <c r="G24" s="1247"/>
      <c r="H24" s="1248" t="str">
        <f>IF('Input Form - EingabeMaske'!C29=""," ",'Input Form - EingabeMaske'!C29)</f>
        <v xml:space="preserve"> </v>
      </c>
      <c r="I24" s="1113"/>
      <c r="J24" s="1249" t="str">
        <f>IF('Input Form - EingabeMaske'!C30=""," ",'Input Form - EingabeMaske'!C30)</f>
        <v xml:space="preserve"> </v>
      </c>
      <c r="K24" s="1247"/>
      <c r="L24" s="1612" t="str">
        <f>IF('Input Form - EingabeMaske'!C31=""," ",'Input Form - EingabeMaske'!C31)</f>
        <v xml:space="preserve"> </v>
      </c>
      <c r="M24" s="1613"/>
      <c r="N24" s="1614"/>
      <c r="O24" s="1071"/>
      <c r="P24" s="231"/>
      <c r="Q24" s="231"/>
      <c r="R24" s="1067"/>
      <c r="S24" s="1681" t="s">
        <v>1028</v>
      </c>
      <c r="T24" s="1682"/>
      <c r="U24" s="1682"/>
      <c r="V24" s="1682"/>
      <c r="W24" s="1682"/>
      <c r="X24" s="1682"/>
      <c r="Y24" s="1682"/>
      <c r="Z24" s="1682"/>
      <c r="AA24" s="1682"/>
      <c r="AB24" s="1682"/>
      <c r="AC24" s="1682"/>
      <c r="AD24" s="1071"/>
      <c r="AE24" s="231"/>
      <c r="AF24" s="13"/>
      <c r="AG24" s="13"/>
      <c r="AH24" s="13"/>
      <c r="AI24" s="13"/>
      <c r="AQ24" s="380"/>
      <c r="AR24" s="1216"/>
      <c r="AS24" s="1354"/>
      <c r="AT24" s="1355"/>
      <c r="AU24" s="1346"/>
      <c r="AV24" s="220"/>
      <c r="AW24" s="1356"/>
      <c r="AX24" s="1178"/>
      <c r="AY24" s="220"/>
      <c r="AZ24" s="1357"/>
      <c r="BA24" s="1357"/>
      <c r="BB24" s="1357"/>
      <c r="BC24" s="220"/>
      <c r="BD24" s="1358"/>
      <c r="BE24" s="220"/>
      <c r="BF24" s="1357"/>
      <c r="BG24" s="220"/>
      <c r="BH24" s="1357"/>
    </row>
    <row r="25" spans="1:60" s="82" customFormat="1" ht="17.25" customHeight="1">
      <c r="B25" s="1108"/>
      <c r="C25" s="1615" t="str">
        <f>IF('Input Form - EingabeMaske'!D28=""," ",'Input Form - EingabeMaske'!D28)</f>
        <v xml:space="preserve"> </v>
      </c>
      <c r="D25" s="1616"/>
      <c r="E25" s="1616"/>
      <c r="F25" s="1617"/>
      <c r="G25" s="1247"/>
      <c r="H25" s="1250" t="str">
        <f>IF('Input Form - EingabeMaske'!D29=""," ",'Input Form - EingabeMaske'!D29)</f>
        <v xml:space="preserve"> </v>
      </c>
      <c r="I25" s="1113"/>
      <c r="J25" s="1251" t="str">
        <f>IF('Input Form - EingabeMaske'!D30=""," ",'Input Form - EingabeMaske'!D30)</f>
        <v xml:space="preserve"> </v>
      </c>
      <c r="K25" s="1247"/>
      <c r="L25" s="1615" t="str">
        <f>IF('Input Form - EingabeMaske'!D31=""," ",'Input Form - EingabeMaske'!D31)</f>
        <v xml:space="preserve"> </v>
      </c>
      <c r="M25" s="1616"/>
      <c r="N25" s="1617"/>
      <c r="O25" s="1071"/>
      <c r="P25" s="231"/>
      <c r="Q25" s="231"/>
      <c r="R25" s="1067"/>
      <c r="S25" s="1682"/>
      <c r="T25" s="1682"/>
      <c r="U25" s="1682"/>
      <c r="V25" s="1682"/>
      <c r="W25" s="1682"/>
      <c r="X25" s="1682"/>
      <c r="Y25" s="1682"/>
      <c r="Z25" s="1682"/>
      <c r="AA25" s="1682"/>
      <c r="AB25" s="1682"/>
      <c r="AC25" s="1682"/>
      <c r="AD25" s="1071"/>
      <c r="AE25" s="231"/>
      <c r="AF25" s="13"/>
      <c r="AG25" s="13"/>
      <c r="AH25" s="13"/>
      <c r="AI25" s="13"/>
      <c r="AQ25" s="380"/>
      <c r="AR25" s="1216"/>
      <c r="AS25" s="1354"/>
      <c r="AT25" s="1355"/>
      <c r="AU25" s="1346"/>
      <c r="AV25" s="220"/>
      <c r="AW25" s="1356"/>
      <c r="AX25" s="1178"/>
      <c r="AY25" s="220"/>
      <c r="AZ25" s="1357"/>
      <c r="BA25" s="1357"/>
      <c r="BB25" s="1357"/>
      <c r="BC25" s="220"/>
      <c r="BD25" s="1358"/>
      <c r="BE25" s="220"/>
      <c r="BF25" s="1357"/>
      <c r="BG25" s="220"/>
      <c r="BH25" s="1357"/>
    </row>
    <row r="26" spans="1:60" s="82" customFormat="1" ht="15.75">
      <c r="B26" s="1108"/>
      <c r="C26" s="1615" t="str">
        <f>IF('Input Form - EingabeMaske'!E28=""," ",'Input Form - EingabeMaske'!E28)</f>
        <v xml:space="preserve"> </v>
      </c>
      <c r="D26" s="1616"/>
      <c r="E26" s="1616"/>
      <c r="F26" s="1617"/>
      <c r="G26" s="1247"/>
      <c r="H26" s="1250" t="str">
        <f>IF('Input Form - EingabeMaske'!E29=""," ",'Input Form - EingabeMaske'!E29)</f>
        <v xml:space="preserve"> </v>
      </c>
      <c r="I26" s="1113"/>
      <c r="J26" s="1251" t="str">
        <f>IF('Input Form - EingabeMaske'!E30=""," ",'Input Form - EingabeMaske'!E30)</f>
        <v xml:space="preserve"> </v>
      </c>
      <c r="K26" s="1247"/>
      <c r="L26" s="1615" t="str">
        <f>IF('Input Form - EingabeMaske'!E31=""," ",'Input Form - EingabeMaske'!E31)</f>
        <v xml:space="preserve"> </v>
      </c>
      <c r="M26" s="1616"/>
      <c r="N26" s="1617"/>
      <c r="O26" s="1071"/>
      <c r="P26" s="231"/>
      <c r="Q26" s="231"/>
      <c r="R26" s="1067"/>
      <c r="S26" s="1682"/>
      <c r="T26" s="1682"/>
      <c r="U26" s="1682"/>
      <c r="V26" s="1682"/>
      <c r="W26" s="1682"/>
      <c r="X26" s="1682"/>
      <c r="Y26" s="1682"/>
      <c r="Z26" s="1682"/>
      <c r="AA26" s="1682"/>
      <c r="AB26" s="1682"/>
      <c r="AC26" s="1682"/>
      <c r="AD26" s="1071"/>
      <c r="AE26" s="231"/>
      <c r="AF26" s="13"/>
      <c r="AG26" s="13"/>
      <c r="AH26" s="13"/>
      <c r="AI26" s="13"/>
      <c r="AQ26" s="380"/>
      <c r="AR26" s="1216"/>
      <c r="AS26" s="1354"/>
      <c r="AT26" s="1355"/>
      <c r="AU26" s="1346"/>
      <c r="AV26" s="220"/>
      <c r="AW26" s="1356"/>
      <c r="AX26" s="1178"/>
      <c r="AY26" s="220"/>
      <c r="AZ26" s="1357"/>
      <c r="BA26" s="1357"/>
      <c r="BB26" s="1357"/>
      <c r="BC26" s="220"/>
      <c r="BD26" s="1358"/>
      <c r="BE26" s="220"/>
      <c r="BF26" s="1357"/>
      <c r="BG26" s="220"/>
      <c r="BH26" s="1357"/>
    </row>
    <row r="27" spans="1:60" s="82" customFormat="1" ht="15.75">
      <c r="B27" s="1108"/>
      <c r="C27" s="1629" t="str">
        <f>IF('Input Form - EingabeMaske'!F28=""," ",'Input Form - EingabeMaske'!F28)</f>
        <v xml:space="preserve"> </v>
      </c>
      <c r="D27" s="1630"/>
      <c r="E27" s="1630"/>
      <c r="F27" s="1631"/>
      <c r="G27" s="1106"/>
      <c r="H27" s="537" t="str">
        <f>IF('Input Form - EingabeMaske'!F29=""," ",'Input Form - EingabeMaske'!F29)</f>
        <v xml:space="preserve"> </v>
      </c>
      <c r="I27" s="1104"/>
      <c r="J27" s="538" t="str">
        <f>IF('Input Form - EingabeMaske'!F30=""," ",'Input Form - EingabeMaske'!F30)</f>
        <v xml:space="preserve"> </v>
      </c>
      <c r="K27" s="1106"/>
      <c r="L27" s="1629" t="str">
        <f>IF('Input Form - EingabeMaske'!F31=""," ",'Input Form - EingabeMaske'!F31)</f>
        <v xml:space="preserve"> </v>
      </c>
      <c r="M27" s="1630"/>
      <c r="N27" s="1631"/>
      <c r="O27" s="1071"/>
      <c r="P27" s="231"/>
      <c r="Q27" s="231"/>
      <c r="R27" s="1067"/>
      <c r="S27" s="1683"/>
      <c r="T27" s="1683"/>
      <c r="U27" s="1683"/>
      <c r="V27" s="1683"/>
      <c r="W27" s="1683"/>
      <c r="X27" s="1683"/>
      <c r="Y27" s="1683"/>
      <c r="Z27" s="1683"/>
      <c r="AA27" s="1683"/>
      <c r="AB27" s="1683"/>
      <c r="AC27" s="1683"/>
      <c r="AD27" s="1071"/>
      <c r="AE27" s="231"/>
      <c r="AF27" s="13"/>
      <c r="AG27" s="13"/>
      <c r="AH27" s="13"/>
      <c r="AI27" s="13"/>
      <c r="AQ27" s="380"/>
      <c r="AR27" s="1216"/>
      <c r="AS27" s="1354"/>
      <c r="AT27" s="1355"/>
      <c r="AU27" s="1346"/>
      <c r="AV27" s="220"/>
      <c r="AW27" s="1356"/>
      <c r="AX27" s="1178"/>
      <c r="AY27" s="220"/>
      <c r="AZ27" s="1357"/>
      <c r="BA27" s="1357"/>
      <c r="BB27" s="1357"/>
      <c r="BC27" s="220"/>
      <c r="BD27" s="1358"/>
      <c r="BE27" s="220"/>
      <c r="BF27" s="1357"/>
      <c r="BG27" s="220"/>
      <c r="BH27" s="1357"/>
    </row>
    <row r="28" spans="1:60" s="82" customFormat="1" ht="18">
      <c r="B28" s="1081"/>
      <c r="C28" s="1082"/>
      <c r="D28" s="1082"/>
      <c r="E28" s="1083"/>
      <c r="F28" s="1083"/>
      <c r="G28" s="1083"/>
      <c r="H28" s="1083"/>
      <c r="I28" s="1083"/>
      <c r="J28" s="1083"/>
      <c r="K28" s="1084"/>
      <c r="L28" s="1085"/>
      <c r="M28" s="1085"/>
      <c r="N28" s="1085"/>
      <c r="O28" s="1073"/>
      <c r="P28" s="231"/>
      <c r="Q28" s="231"/>
      <c r="R28" s="1067"/>
      <c r="S28" s="1618" t="str">
        <f>VLOOKUP(pos(S28),'Language-Sprachen'!$A$160:$G$179,'Language-Sprachen'!$A$3,0)</f>
        <v>Further action</v>
      </c>
      <c r="T28" s="1618" t="e">
        <f>VLOOKUP(pos(T28),'Language-Sprachen'!$A$160:$G$179,'Language-Sprachen'!$A$3,0)</f>
        <v>#N/A</v>
      </c>
      <c r="U28" s="1618" t="e">
        <f>VLOOKUP(pos(U28),'Language-Sprachen'!$A$160:$G$179,'Language-Sprachen'!$A$3,0)</f>
        <v>#N/A</v>
      </c>
      <c r="V28" s="1618" t="e">
        <f>VLOOKUP(pos(V28),'Language-Sprachen'!$A$160:$G$179,'Language-Sprachen'!$A$3,0)</f>
        <v>#N/A</v>
      </c>
      <c r="W28" s="1618" t="e">
        <f>VLOOKUP(pos(W28),'Language-Sprachen'!$A$160:$G$179,'Language-Sprachen'!$A$3,0)</f>
        <v>#N/A</v>
      </c>
      <c r="X28" s="1618" t="e">
        <f>VLOOKUP(pos(X28),'Language-Sprachen'!$A$160:$G$179,'Language-Sprachen'!$A$3,0)</f>
        <v>#N/A</v>
      </c>
      <c r="Y28" s="1618" t="e">
        <f>VLOOKUP(pos(Y28),'Language-Sprachen'!$A$160:$G$179,'Language-Sprachen'!$A$3,0)</f>
        <v>#N/A</v>
      </c>
      <c r="Z28" s="1618" t="e">
        <f>VLOOKUP(pos(Z28),'Language-Sprachen'!$A$160:$G$179,'Language-Sprachen'!$A$3,0)</f>
        <v>#N/A</v>
      </c>
      <c r="AA28" s="1618" t="e">
        <f>VLOOKUP(pos(AA28),'Language-Sprachen'!$A$160:$G$179,'Language-Sprachen'!$A$3,0)</f>
        <v>#N/A</v>
      </c>
      <c r="AB28" s="1618" t="e">
        <f>VLOOKUP(pos(AB28),'Language-Sprachen'!$A$160:$G$179,'Language-Sprachen'!$A$3,0)</f>
        <v>#N/A</v>
      </c>
      <c r="AC28" s="1618" t="e">
        <f>VLOOKUP(pos(AC28),'Language-Sprachen'!$A$160:$G$179,'Language-Sprachen'!$A$3,0)</f>
        <v>#N/A</v>
      </c>
      <c r="AD28" s="1071"/>
      <c r="AE28" s="231"/>
      <c r="AF28" s="13"/>
      <c r="AG28" s="13"/>
      <c r="AH28" s="13"/>
      <c r="AI28" s="13"/>
      <c r="AQ28" s="380"/>
      <c r="AR28" s="1216"/>
      <c r="AS28" s="1354"/>
      <c r="AT28" s="1355"/>
      <c r="AU28" s="1346"/>
      <c r="AV28" s="220"/>
      <c r="AW28" s="1356"/>
      <c r="AX28" s="1178"/>
      <c r="AY28" s="220"/>
      <c r="AZ28" s="1357"/>
      <c r="BA28" s="1357"/>
      <c r="BB28" s="1357"/>
      <c r="BC28" s="220"/>
      <c r="BD28" s="1358"/>
      <c r="BE28" s="220"/>
      <c r="BF28" s="1357"/>
      <c r="BG28" s="220"/>
      <c r="BH28" s="1357"/>
    </row>
    <row r="29" spans="1:60" s="82" customFormat="1" ht="10.5" customHeight="1">
      <c r="P29" s="231"/>
      <c r="Q29" s="231"/>
      <c r="R29" s="1067"/>
      <c r="S29" s="1684"/>
      <c r="T29" s="1685"/>
      <c r="U29" s="1685"/>
      <c r="V29" s="1685"/>
      <c r="W29" s="1685"/>
      <c r="X29" s="1685"/>
      <c r="Y29" s="1685"/>
      <c r="Z29" s="1685"/>
      <c r="AA29" s="1685"/>
      <c r="AB29" s="1685"/>
      <c r="AC29" s="1685"/>
      <c r="AD29" s="1071"/>
      <c r="AE29" s="231"/>
      <c r="AF29" s="13"/>
      <c r="AG29" s="13"/>
      <c r="AH29" s="13"/>
      <c r="AI29" s="13"/>
      <c r="AQ29" s="380"/>
      <c r="AR29" s="1216"/>
      <c r="AS29" s="1354"/>
      <c r="AT29" s="1355"/>
      <c r="AU29" s="1346"/>
      <c r="AV29" s="220"/>
      <c r="AW29" s="1356"/>
      <c r="AX29" s="1178"/>
      <c r="AY29" s="220"/>
      <c r="AZ29" s="1357"/>
      <c r="BA29" s="1357"/>
      <c r="BB29" s="1357"/>
      <c r="BC29" s="220"/>
      <c r="BD29" s="1358"/>
      <c r="BE29" s="220"/>
      <c r="BF29" s="1357"/>
      <c r="BG29" s="220"/>
      <c r="BH29" s="1357"/>
    </row>
    <row r="30" spans="1:60" s="82" customFormat="1" ht="15.75" customHeight="1">
      <c r="B30" s="1094"/>
      <c r="C30" s="1109" t="str">
        <f>'Input Form - EingabeMaske'!E66</f>
        <v>Participants:</v>
      </c>
      <c r="D30" s="1109"/>
      <c r="E30" s="1110"/>
      <c r="F30" s="1110"/>
      <c r="G30" s="1110"/>
      <c r="H30" s="1110"/>
      <c r="I30" s="1110"/>
      <c r="J30" s="1110"/>
      <c r="K30" s="1110"/>
      <c r="L30" s="1111" t="str">
        <f>VLOOKUP(pos(L30),'Language-Sprachen'!$A$160:$G$179,'Language-Sprachen'!$A$3,0)</f>
        <v>Management:</v>
      </c>
      <c r="M30" s="1110"/>
      <c r="N30" s="1110"/>
      <c r="O30" s="1094"/>
      <c r="P30" s="231"/>
      <c r="Q30" s="231"/>
      <c r="R30" s="1067"/>
      <c r="S30" s="1685"/>
      <c r="T30" s="1685"/>
      <c r="U30" s="1685"/>
      <c r="V30" s="1685"/>
      <c r="W30" s="1685"/>
      <c r="X30" s="1685"/>
      <c r="Y30" s="1685"/>
      <c r="Z30" s="1685"/>
      <c r="AA30" s="1685"/>
      <c r="AB30" s="1685"/>
      <c r="AC30" s="1685"/>
      <c r="AD30" s="1071"/>
      <c r="AE30" s="231"/>
      <c r="AF30" s="13"/>
      <c r="AG30" s="13"/>
      <c r="AH30" s="13"/>
      <c r="AI30" s="13"/>
      <c r="AQ30" s="380"/>
      <c r="AR30" s="1216"/>
      <c r="AS30" s="1354"/>
      <c r="AT30" s="1355"/>
      <c r="AU30" s="1346"/>
      <c r="AV30" s="220"/>
      <c r="AW30" s="1356"/>
      <c r="AX30" s="1178"/>
      <c r="AY30" s="220"/>
      <c r="AZ30" s="1357"/>
      <c r="BA30" s="1357"/>
      <c r="BB30" s="1357"/>
      <c r="BC30" s="220"/>
      <c r="BD30" s="1358"/>
      <c r="BE30" s="220"/>
      <c r="BF30" s="1357"/>
      <c r="BG30" s="220"/>
      <c r="BH30" s="1357"/>
    </row>
    <row r="31" spans="1:60" s="82" customFormat="1" ht="17.25" customHeight="1">
      <c r="B31" s="1120"/>
      <c r="C31" s="539" t="str">
        <f>'Input Form - EingabeMaske'!E74</f>
        <v>Audit team:</v>
      </c>
      <c r="D31" s="540"/>
      <c r="E31" s="973"/>
      <c r="F31" s="974"/>
      <c r="G31" s="1112"/>
      <c r="H31" s="539" t="str">
        <f>'First Sheet - Deckblatt'!A5</f>
        <v>Audit Organization:</v>
      </c>
      <c r="I31" s="973"/>
      <c r="J31" s="974"/>
      <c r="K31" s="1114"/>
      <c r="L31" s="539"/>
      <c r="M31" s="975"/>
      <c r="N31" s="976"/>
      <c r="O31" s="1067"/>
      <c r="P31" s="231"/>
      <c r="Q31" s="231"/>
      <c r="R31" s="1067"/>
      <c r="S31" s="1685"/>
      <c r="T31" s="1685"/>
      <c r="U31" s="1685"/>
      <c r="V31" s="1685"/>
      <c r="W31" s="1685"/>
      <c r="X31" s="1685"/>
      <c r="Y31" s="1685"/>
      <c r="Z31" s="1685"/>
      <c r="AA31" s="1685"/>
      <c r="AB31" s="1685"/>
      <c r="AC31" s="1685"/>
      <c r="AD31" s="1071"/>
      <c r="AE31" s="231"/>
      <c r="AF31" s="13"/>
      <c r="AG31" s="13"/>
      <c r="AH31" s="13"/>
      <c r="AI31" s="13"/>
      <c r="AQ31" s="380"/>
      <c r="AR31" s="1216"/>
      <c r="AS31" s="1354"/>
      <c r="AT31" s="1355"/>
      <c r="AU31" s="1346"/>
      <c r="AV31" s="220"/>
      <c r="AW31" s="1356"/>
      <c r="AX31" s="1178"/>
      <c r="AY31" s="220"/>
      <c r="AZ31" s="1357"/>
      <c r="BA31" s="1357"/>
      <c r="BB31" s="1357"/>
      <c r="BC31" s="220"/>
      <c r="BD31" s="1358"/>
      <c r="BE31" s="220"/>
      <c r="BF31" s="1357"/>
      <c r="BG31" s="220"/>
      <c r="BH31" s="1357"/>
    </row>
    <row r="32" spans="1:60" s="82" customFormat="1" ht="19.5" customHeight="1">
      <c r="B32" s="1120"/>
      <c r="C32" s="541" t="str">
        <f>IF('Input Form - EingabeMaske'!F74=0,"",'Input Form - EingabeMaske'!F74)</f>
        <v/>
      </c>
      <c r="D32" s="470"/>
      <c r="E32" s="1645" t="str">
        <f>IF('Input Form - EingabeMaske'!G74=0,"",'Input Form - EingabeMaske'!G74)</f>
        <v/>
      </c>
      <c r="F32" s="1646"/>
      <c r="G32" s="1113"/>
      <c r="H32" s="542" t="str">
        <f>IF('Input Form - EingabeMaske'!F66=0,"",'Input Form - EingabeMaske'!F66)</f>
        <v/>
      </c>
      <c r="I32" s="404"/>
      <c r="J32" s="543" t="str">
        <f>IF('Input Form - EingabeMaske'!G66=0,"",'Input Form - EingabeMaske'!G66)</f>
        <v/>
      </c>
      <c r="K32" s="1115"/>
      <c r="L32" s="1023" t="str">
        <f>'Input Form - EingabeMaske'!D18</f>
        <v>Senior Management:</v>
      </c>
      <c r="M32" s="249"/>
      <c r="N32" s="747" t="str">
        <f>IF('Input Form - EingabeMaske'!E18=0,"",'Input Form - EingabeMaske'!E18)</f>
        <v/>
      </c>
      <c r="O32" s="1119"/>
      <c r="P32" s="231"/>
      <c r="Q32" s="231"/>
      <c r="R32" s="1067"/>
      <c r="S32" s="1686"/>
      <c r="T32" s="1686"/>
      <c r="U32" s="1686"/>
      <c r="V32" s="1686"/>
      <c r="W32" s="1686"/>
      <c r="X32" s="1686"/>
      <c r="Y32" s="1686"/>
      <c r="Z32" s="1686"/>
      <c r="AA32" s="1686"/>
      <c r="AB32" s="1686"/>
      <c r="AC32" s="1686"/>
      <c r="AD32" s="1071"/>
      <c r="AE32" s="231"/>
      <c r="AF32" s="13"/>
      <c r="AG32" s="13"/>
      <c r="AH32" s="13"/>
      <c r="AI32" s="13"/>
      <c r="AQ32" s="380"/>
      <c r="AR32" s="1216"/>
      <c r="AS32" s="1354"/>
      <c r="AT32" s="1355"/>
      <c r="AU32" s="1346"/>
      <c r="AV32" s="220"/>
      <c r="AW32" s="1356"/>
      <c r="AX32" s="1178"/>
      <c r="AY32" s="220"/>
      <c r="AZ32" s="1357"/>
      <c r="BA32" s="1357"/>
      <c r="BB32" s="1357"/>
      <c r="BC32" s="220"/>
      <c r="BD32" s="1358"/>
      <c r="BE32" s="220"/>
      <c r="BF32" s="1357"/>
      <c r="BG32" s="220"/>
      <c r="BH32" s="1357"/>
    </row>
    <row r="33" spans="2:60" s="82" customFormat="1" ht="20.25" customHeight="1">
      <c r="B33" s="1120"/>
      <c r="C33" s="544" t="str">
        <f>IF('Input Form - EingabeMaske'!F75=0,"",'Input Form - EingabeMaske'!F75)</f>
        <v/>
      </c>
      <c r="D33" s="250"/>
      <c r="E33" s="1640" t="str">
        <f>IF('Input Form - EingabeMaske'!G75=0,"",'Input Form - EingabeMaske'!G75)</f>
        <v/>
      </c>
      <c r="F33" s="1641"/>
      <c r="G33" s="1113"/>
      <c r="H33" s="545" t="str">
        <f>IF('Input Form - EingabeMaske'!F68=0,"",'Input Form - EingabeMaske'!F68)</f>
        <v/>
      </c>
      <c r="I33" s="403"/>
      <c r="J33" s="546" t="str">
        <f>IF('Input Form - EingabeMaske'!G68=0,"",'Input Form - EingabeMaske'!G68)</f>
        <v/>
      </c>
      <c r="K33" s="1115"/>
      <c r="L33" s="1245" t="str">
        <f>'Input Form - EingabeMaske'!D19</f>
        <v>Plant Management:</v>
      </c>
      <c r="M33" s="250"/>
      <c r="N33" s="547" t="str">
        <f>IF('Input Form - EingabeMaske'!E19=0,"",'Input Form - EingabeMaske'!E19)</f>
        <v>Mats Andersson</v>
      </c>
      <c r="O33" s="1119"/>
      <c r="P33" s="231"/>
      <c r="Q33" s="231"/>
      <c r="R33" s="1067"/>
      <c r="S33" s="1063" t="str">
        <f>VLOOKUP(pos(S33),'Language-Sprachen'!$A$160:$G$179,'Language-Sprachen'!$A$3,0)</f>
        <v>Schedule of action plan</v>
      </c>
      <c r="T33" s="1064"/>
      <c r="U33" s="1064"/>
      <c r="V33" s="1064"/>
      <c r="W33" s="1064"/>
      <c r="X33" s="1070"/>
      <c r="Y33" s="1070"/>
      <c r="Z33" s="1070"/>
      <c r="AA33" s="1070"/>
      <c r="AB33" s="1064"/>
      <c r="AC33" s="1064"/>
      <c r="AD33" s="1071"/>
      <c r="AE33" s="231"/>
      <c r="AF33" s="13"/>
      <c r="AG33" s="13"/>
      <c r="AH33" s="13"/>
      <c r="AI33" s="13"/>
      <c r="AQ33" s="380"/>
      <c r="AR33" s="1216"/>
      <c r="AS33" s="1354"/>
      <c r="AT33" s="1355"/>
      <c r="AU33" s="1346"/>
      <c r="AV33" s="220"/>
      <c r="AW33" s="1356"/>
      <c r="AX33" s="1178"/>
      <c r="AY33" s="220"/>
      <c r="AZ33" s="1357"/>
      <c r="BA33" s="1357"/>
      <c r="BB33" s="1357"/>
      <c r="BC33" s="220"/>
      <c r="BD33" s="1358"/>
      <c r="BE33" s="220"/>
      <c r="BF33" s="1357"/>
      <c r="BG33" s="220"/>
      <c r="BH33" s="1357"/>
    </row>
    <row r="34" spans="2:60" s="82" customFormat="1" ht="22.5" customHeight="1">
      <c r="B34" s="1120"/>
      <c r="C34" s="548" t="str">
        <f>IF('Input Form - EingabeMaske'!F76=0,"",'Input Form - EingabeMaske'!F76)</f>
        <v/>
      </c>
      <c r="D34" s="549"/>
      <c r="E34" s="1632" t="str">
        <f>IF('Input Form - EingabeMaske'!G76=0,"",'Input Form - EingabeMaske'!G76)</f>
        <v/>
      </c>
      <c r="F34" s="1633"/>
      <c r="G34" s="1113"/>
      <c r="H34" s="550" t="str">
        <f>IF('Input Form - EingabeMaske'!F67=0,"",'Input Form - EingabeMaske'!F67)</f>
        <v/>
      </c>
      <c r="I34" s="551"/>
      <c r="J34" s="552" t="str">
        <f>IF('Input Form - EingabeMaske'!G67=0,"",'Input Form - EingabeMaske'!G67)</f>
        <v/>
      </c>
      <c r="K34" s="1115"/>
      <c r="L34" s="1246" t="str">
        <f>'Input Form - EingabeMaske'!D20</f>
        <v>Q-Management:</v>
      </c>
      <c r="M34" s="549"/>
      <c r="N34" s="553" t="str">
        <f>IF('Input Form - EingabeMaske'!E20=0,"",'Input Form - EingabeMaske'!E20)</f>
        <v>Regina de Paula</v>
      </c>
      <c r="O34" s="1119"/>
      <c r="P34" s="231"/>
      <c r="Q34" s="231"/>
      <c r="R34" s="1067"/>
      <c r="S34" s="1619" t="str">
        <f>VLOOKUP(pos(S34),'Language-Sprachen'!$A$160:$G$179,'Language-Sprachen'!$A$3,0)</f>
        <v>Confirmation of measures</v>
      </c>
      <c r="T34" s="1620" t="e">
        <f>VLOOKUP(pos(T34),'Language-Sprachen'!$A$160:$G$179,'Language-Sprachen'!$A$3,0)</f>
        <v>#N/A</v>
      </c>
      <c r="U34" s="1620" t="e">
        <f>VLOOKUP(pos(U34),'Language-Sprachen'!$A$160:$G$179,'Language-Sprachen'!$A$3,0)</f>
        <v>#N/A</v>
      </c>
      <c r="V34" s="1620" t="e">
        <f>VLOOKUP(pos(V34),'Language-Sprachen'!$A$160:$G$179,'Language-Sprachen'!$A$3,0)</f>
        <v>#N/A</v>
      </c>
      <c r="W34" s="1621" t="e">
        <f>VLOOKUP(pos(W34),'Language-Sprachen'!$A$160:$G$179,'Language-Sprachen'!$A$3,0)</f>
        <v>#N/A</v>
      </c>
      <c r="X34" s="1622"/>
      <c r="Y34" s="1623"/>
      <c r="Z34" s="1619" t="str">
        <f>VLOOKUP(pos(Z34),'Language-Sprachen'!$A$160:$G$179,'Language-Sprachen'!$A$3,0)</f>
        <v>Effectiveness check</v>
      </c>
      <c r="AA34" s="1621" t="e">
        <f>VLOOKUP(pos(AA34),'Language-Sprachen'!$A$160:$G$179,'Language-Sprachen'!$A$3,0)</f>
        <v>#N/A</v>
      </c>
      <c r="AB34" s="1622" t="str">
        <f>IF(SUM(COUNTIF(N13:N18,"B"),COUNTIF(N13:N18,"C"))&gt;0,AC5+90,"---")</f>
        <v>---</v>
      </c>
      <c r="AC34" s="1623"/>
      <c r="AD34" s="1071"/>
      <c r="AE34" s="231"/>
      <c r="AF34" s="13"/>
      <c r="AG34" s="13"/>
      <c r="AH34" s="13"/>
      <c r="AI34" s="13"/>
      <c r="AQ34" s="380"/>
      <c r="AR34" s="1216"/>
      <c r="AS34" s="1354"/>
      <c r="AT34" s="1355"/>
      <c r="AU34" s="1346"/>
      <c r="AV34" s="220"/>
      <c r="AW34" s="1356"/>
      <c r="AX34" s="1178"/>
      <c r="AY34" s="220"/>
      <c r="AZ34" s="1357"/>
      <c r="BA34" s="1357"/>
      <c r="BB34" s="1357"/>
      <c r="BC34" s="220"/>
      <c r="BD34" s="1358"/>
      <c r="BE34" s="220"/>
      <c r="BF34" s="1357"/>
      <c r="BG34" s="220"/>
      <c r="BH34" s="1357"/>
    </row>
    <row r="35" spans="2:60" s="82" customFormat="1" ht="12" customHeight="1">
      <c r="B35" s="1120"/>
      <c r="C35" s="1116"/>
      <c r="D35" s="1116"/>
      <c r="E35" s="1112"/>
      <c r="F35" s="1112"/>
      <c r="G35" s="1112"/>
      <c r="H35" s="1112"/>
      <c r="I35" s="1112"/>
      <c r="J35" s="1112"/>
      <c r="K35" s="1114"/>
      <c r="L35" s="1117"/>
      <c r="M35" s="1117"/>
      <c r="N35" s="1094"/>
      <c r="O35" s="1118"/>
      <c r="P35" s="231"/>
      <c r="Q35" s="231"/>
      <c r="R35" s="1069"/>
      <c r="S35" s="1072"/>
      <c r="T35" s="1072"/>
      <c r="U35" s="1072"/>
      <c r="V35" s="1072"/>
      <c r="W35" s="1072"/>
      <c r="X35" s="1072"/>
      <c r="Y35" s="1072"/>
      <c r="Z35" s="1072"/>
      <c r="AA35" s="1072"/>
      <c r="AB35" s="1072"/>
      <c r="AC35" s="1072"/>
      <c r="AD35" s="1073"/>
      <c r="AE35" s="231"/>
      <c r="AF35" s="13"/>
      <c r="AG35" s="13"/>
      <c r="AH35" s="13"/>
      <c r="AI35" s="13"/>
      <c r="AQ35" s="380"/>
      <c r="AR35" s="1216"/>
      <c r="AS35" s="1354"/>
      <c r="AT35" s="1355"/>
      <c r="AU35" s="1346"/>
      <c r="AV35" s="220"/>
      <c r="AW35" s="1356"/>
      <c r="AX35" s="1178"/>
      <c r="AY35" s="220"/>
      <c r="AZ35" s="1357"/>
      <c r="BA35" s="1357"/>
      <c r="BB35" s="1357"/>
      <c r="BC35" s="220"/>
      <c r="BD35" s="1358"/>
      <c r="BE35" s="220"/>
      <c r="BF35" s="1357"/>
      <c r="BG35" s="220"/>
      <c r="BH35" s="1357"/>
    </row>
    <row r="36" spans="2:60" s="82" customFormat="1" ht="17.25" customHeight="1">
      <c r="C36" s="554"/>
      <c r="D36" s="83"/>
      <c r="E36" s="977"/>
      <c r="F36" s="977"/>
      <c r="G36" s="977"/>
      <c r="H36" s="977"/>
      <c r="I36" s="977"/>
      <c r="J36" s="977"/>
      <c r="K36" s="84"/>
      <c r="L36" s="978"/>
      <c r="M36" s="978"/>
      <c r="N36" s="978"/>
      <c r="O36" s="161"/>
      <c r="P36" s="161"/>
      <c r="Q36" s="161"/>
      <c r="R36" s="161"/>
      <c r="S36" s="570" t="str">
        <f>VLOOKUP(pos(S36),'Language-Sprachen'!$A$160:$G$179,'Language-Sprachen'!$A$3,0)</f>
        <v>Corrective Actions see 'Individual Results' in 'Immediate Actions'</v>
      </c>
      <c r="T36" s="161"/>
      <c r="U36" s="161"/>
      <c r="V36" s="111"/>
      <c r="X36" s="162"/>
      <c r="Y36" s="162"/>
      <c r="AB36" s="231"/>
      <c r="AC36" s="231"/>
      <c r="AD36" s="231"/>
      <c r="AE36" s="231"/>
      <c r="AF36" s="13"/>
      <c r="AG36" s="13"/>
      <c r="AH36" s="13"/>
      <c r="AI36" s="13"/>
      <c r="AQ36" s="380"/>
      <c r="AR36" s="1216"/>
      <c r="AS36" s="1354"/>
      <c r="AT36" s="1355"/>
      <c r="AU36" s="1346"/>
      <c r="AV36" s="220"/>
      <c r="AW36" s="1356"/>
      <c r="AX36" s="1178"/>
      <c r="AY36" s="220"/>
      <c r="AZ36" s="1357"/>
      <c r="BA36" s="1357"/>
      <c r="BB36" s="1357"/>
      <c r="BC36" s="220"/>
      <c r="BD36" s="1358"/>
      <c r="BE36" s="220"/>
      <c r="BF36" s="1357"/>
      <c r="BG36" s="220"/>
      <c r="BH36" s="1357"/>
    </row>
    <row r="37" spans="2:60" s="82" customFormat="1" ht="20.25" customHeight="1">
      <c r="B37" s="567"/>
      <c r="C37" s="83"/>
      <c r="D37" s="83"/>
      <c r="E37" s="977"/>
      <c r="F37" s="1639"/>
      <c r="G37" s="1639"/>
      <c r="H37" s="1639"/>
      <c r="I37" s="745"/>
      <c r="J37" s="161"/>
      <c r="K37" s="568"/>
      <c r="L37" s="249"/>
      <c r="M37" s="249"/>
      <c r="N37" s="161"/>
      <c r="O37" s="161"/>
      <c r="P37" s="231"/>
      <c r="Q37" s="231"/>
      <c r="R37" s="231"/>
      <c r="T37" s="163"/>
      <c r="U37" s="163"/>
      <c r="V37" s="163"/>
      <c r="W37" s="163"/>
      <c r="X37" s="163"/>
      <c r="Y37" s="163"/>
      <c r="Z37" s="163"/>
      <c r="AA37" s="163"/>
      <c r="AB37" s="231"/>
      <c r="AC37" s="231"/>
      <c r="AD37" s="231"/>
      <c r="AE37" s="231"/>
      <c r="AF37" s="13"/>
      <c r="AG37" s="13"/>
      <c r="AH37" s="13"/>
      <c r="AI37" s="13"/>
      <c r="AQ37" s="380"/>
      <c r="AR37" s="1216"/>
      <c r="AS37" s="1354"/>
      <c r="AT37" s="1355"/>
      <c r="AU37" s="1346"/>
      <c r="AV37" s="220"/>
      <c r="AW37" s="1356"/>
      <c r="AX37" s="1178"/>
      <c r="AY37" s="220"/>
      <c r="AZ37" s="1357"/>
      <c r="BA37" s="1357"/>
      <c r="BB37" s="1357"/>
      <c r="BC37" s="220"/>
      <c r="BD37" s="1358"/>
      <c r="BE37" s="220"/>
      <c r="BF37" s="1357"/>
      <c r="BG37" s="220"/>
      <c r="BH37" s="1357"/>
    </row>
    <row r="38" spans="2:60" s="82" customFormat="1" ht="3" customHeight="1">
      <c r="B38" s="567"/>
      <c r="C38" s="83"/>
      <c r="D38" s="83"/>
      <c r="E38" s="977"/>
      <c r="F38" s="977"/>
      <c r="G38" s="977"/>
      <c r="H38" s="977"/>
      <c r="I38" s="977"/>
      <c r="J38" s="977"/>
      <c r="K38" s="84"/>
      <c r="L38" s="978"/>
      <c r="M38" s="978"/>
      <c r="N38" s="978"/>
      <c r="O38" s="231"/>
      <c r="P38" s="231"/>
      <c r="Q38" s="231"/>
      <c r="R38" s="231"/>
      <c r="S38" s="231"/>
      <c r="T38" s="231"/>
      <c r="U38" s="231"/>
      <c r="V38" s="231"/>
      <c r="W38" s="231"/>
      <c r="X38" s="231"/>
      <c r="Y38" s="231"/>
      <c r="Z38" s="231"/>
      <c r="AA38" s="231"/>
      <c r="AB38" s="231"/>
      <c r="AC38" s="231"/>
      <c r="AD38" s="231"/>
      <c r="AE38" s="231"/>
      <c r="AF38" s="13"/>
      <c r="AG38" s="13"/>
      <c r="AH38" s="13"/>
      <c r="AI38" s="13"/>
      <c r="AQ38" s="380"/>
      <c r="AR38" s="1216"/>
      <c r="AS38" s="1354"/>
      <c r="AT38" s="1355"/>
      <c r="AU38" s="1346"/>
      <c r="AV38" s="220"/>
      <c r="AW38" s="1356"/>
      <c r="AX38" s="1178"/>
      <c r="AY38" s="220"/>
      <c r="AZ38" s="1357"/>
      <c r="BA38" s="1357"/>
      <c r="BB38" s="1357"/>
      <c r="BC38" s="220"/>
      <c r="BD38" s="1358"/>
      <c r="BE38" s="220"/>
      <c r="BF38" s="1357"/>
      <c r="BG38" s="220"/>
      <c r="BH38" s="1357"/>
    </row>
    <row r="39" spans="2:60" s="82" customFormat="1" ht="52.5" customHeight="1">
      <c r="B39" s="567"/>
      <c r="C39" s="231"/>
      <c r="D39" s="83"/>
      <c r="E39" s="977"/>
      <c r="F39" s="977"/>
      <c r="G39" s="977"/>
      <c r="H39" s="977"/>
      <c r="I39" s="977"/>
      <c r="J39" s="979"/>
      <c r="K39" s="84"/>
      <c r="L39" s="978"/>
      <c r="M39" s="978"/>
      <c r="N39" s="978"/>
      <c r="O39" s="231"/>
      <c r="P39" s="231"/>
      <c r="Q39" s="231"/>
      <c r="R39" s="231"/>
      <c r="S39" s="1611"/>
      <c r="T39" s="1611"/>
      <c r="U39" s="1611"/>
      <c r="V39" s="1611"/>
      <c r="W39" s="1611"/>
      <c r="X39" s="1611"/>
      <c r="Y39" s="231"/>
      <c r="Z39" s="231"/>
      <c r="AA39" s="231"/>
      <c r="AB39" s="231"/>
      <c r="AC39" s="231"/>
      <c r="AD39" s="231"/>
      <c r="AE39" s="231"/>
      <c r="AF39" s="13"/>
      <c r="AG39" s="13"/>
      <c r="AH39" s="13"/>
      <c r="AI39" s="13"/>
      <c r="AQ39" s="380"/>
      <c r="AR39" s="1216"/>
      <c r="AS39" s="1354"/>
      <c r="AT39" s="1355"/>
      <c r="AU39" s="1346"/>
      <c r="AV39" s="220"/>
      <c r="AW39" s="1356"/>
      <c r="AX39" s="1178"/>
      <c r="AY39" s="220"/>
      <c r="AZ39" s="1357"/>
      <c r="BA39" s="1357"/>
      <c r="BB39" s="1357"/>
      <c r="BC39" s="220"/>
      <c r="BD39" s="1358"/>
      <c r="BE39" s="220"/>
      <c r="BF39" s="1357"/>
      <c r="BG39" s="220"/>
      <c r="BH39" s="1357"/>
    </row>
    <row r="40" spans="2:60" s="82" customFormat="1" ht="13.5" customHeight="1">
      <c r="B40" s="567"/>
      <c r="I40" s="977"/>
      <c r="J40" s="977"/>
      <c r="K40" s="99"/>
      <c r="L40" s="980"/>
      <c r="M40" s="980"/>
      <c r="N40" s="980"/>
      <c r="O40" s="569"/>
      <c r="P40" s="569"/>
      <c r="Q40" s="569"/>
      <c r="R40" s="569"/>
      <c r="S40" s="569"/>
      <c r="T40" s="469"/>
      <c r="U40" s="569"/>
      <c r="V40" s="231"/>
      <c r="W40" s="231"/>
      <c r="X40" s="231"/>
      <c r="Y40" s="569"/>
      <c r="Z40" s="569"/>
      <c r="AA40" s="569"/>
      <c r="AB40" s="569"/>
      <c r="AC40" s="569"/>
      <c r="AD40" s="231"/>
      <c r="AE40" s="231"/>
      <c r="AF40" s="13"/>
      <c r="AG40" s="13"/>
      <c r="AH40" s="13"/>
      <c r="AI40" s="13"/>
      <c r="AQ40" s="380"/>
      <c r="AR40" s="1216"/>
      <c r="AS40" s="1354"/>
      <c r="AT40" s="1355"/>
      <c r="AU40" s="1346"/>
      <c r="AV40" s="220"/>
      <c r="AW40" s="1356"/>
      <c r="AX40" s="1178"/>
      <c r="AY40" s="220"/>
      <c r="AZ40" s="1357"/>
      <c r="BA40" s="1357"/>
      <c r="BB40" s="1357"/>
      <c r="BC40" s="220"/>
      <c r="BD40" s="1358"/>
      <c r="BE40" s="220"/>
      <c r="BF40" s="1357"/>
      <c r="BG40" s="220"/>
      <c r="BH40" s="1357"/>
    </row>
    <row r="41" spans="2:60" s="82" customFormat="1" ht="15.75">
      <c r="B41" s="567"/>
      <c r="C41" s="1055" t="str">
        <f>'Input Form - EingabeMaske'!B14</f>
        <v>Auditor:</v>
      </c>
      <c r="D41" s="572"/>
      <c r="E41" s="1637" t="str">
        <f>IF('Input Form - EingabeMaske'!C14="","",'Input Form - EingabeMaske'!C14)</f>
        <v>M. Sundquist, M Hosseinpour &amp; I Sundberg</v>
      </c>
      <c r="F41" s="1637"/>
      <c r="G41" s="1637"/>
      <c r="H41" s="1637"/>
      <c r="I41" s="981"/>
      <c r="J41" s="482"/>
      <c r="K41" s="982"/>
      <c r="L41" s="1636" t="str">
        <f>'Input Form - EingabeMaske'!B15</f>
        <v>Manager of audited organisation:</v>
      </c>
      <c r="M41" s="1636"/>
      <c r="N41" s="1636"/>
      <c r="O41" s="1636"/>
      <c r="P41" s="1636"/>
      <c r="Q41" s="1636"/>
      <c r="R41" s="1060"/>
      <c r="S41" s="1060" t="str">
        <f>IF('Input Form - EingabeMaske'!C15="","",'Input Form - EingabeMaske'!C15)</f>
        <v>Anton Zhorov</v>
      </c>
      <c r="T41" s="570"/>
      <c r="U41" s="570"/>
      <c r="V41" s="570"/>
      <c r="W41" s="570"/>
      <c r="X41" s="570"/>
      <c r="Y41" s="571" t="str">
        <f>'Input Form - EingabeMaske'!B26</f>
        <v>Signed by (organisation):</v>
      </c>
      <c r="Z41" s="570"/>
      <c r="AA41" s="1635" t="str">
        <f>IF(Lief_Unterschr=0,"",Lief_Unterschr)</f>
        <v/>
      </c>
      <c r="AB41" s="1635"/>
      <c r="AD41" s="161"/>
      <c r="AE41" s="231"/>
      <c r="AF41" s="13"/>
      <c r="AG41" s="13"/>
      <c r="AH41" s="13"/>
      <c r="AI41" s="13"/>
      <c r="AQ41" s="380"/>
      <c r="AR41" s="1216"/>
      <c r="AS41" s="1354"/>
      <c r="AT41" s="1355"/>
      <c r="AU41" s="1346"/>
      <c r="AV41" s="220"/>
      <c r="AW41" s="1356"/>
      <c r="AX41" s="1178"/>
      <c r="AY41" s="220"/>
      <c r="AZ41" s="1357"/>
      <c r="BA41" s="1357"/>
      <c r="BB41" s="1357"/>
      <c r="BC41" s="220"/>
      <c r="BD41" s="1358"/>
      <c r="BE41" s="220"/>
      <c r="BF41" s="1357"/>
      <c r="BG41" s="220"/>
      <c r="BH41" s="1357"/>
    </row>
    <row r="42" spans="2:60" s="82" customFormat="1" ht="15.75">
      <c r="B42" s="567"/>
      <c r="C42" s="161" t="str">
        <f>'Input Form - EingabeMaske'!G14</f>
        <v>Certificate No.:</v>
      </c>
      <c r="D42" s="83"/>
      <c r="E42" s="1634" t="str">
        <f>IF('Input Form - EingabeMaske'!H14="","",'Input Form - EingabeMaske'!H14)</f>
        <v>-</v>
      </c>
      <c r="F42" s="1634"/>
      <c r="G42" s="1634"/>
      <c r="H42" s="1634"/>
      <c r="I42" s="977"/>
      <c r="J42" s="977"/>
      <c r="K42" s="84"/>
      <c r="L42" s="979"/>
      <c r="M42" s="978"/>
      <c r="N42" s="983" t="str">
        <f>IF('Input Form - EingabeMaske'!E15=0,"",'Input Form - EingabeMaske'!E15)</f>
        <v>Casthouse</v>
      </c>
      <c r="O42" s="984"/>
      <c r="P42" s="984"/>
      <c r="Q42" s="984"/>
      <c r="R42" s="984"/>
      <c r="S42" s="984"/>
      <c r="T42" s="984"/>
      <c r="U42" s="984"/>
      <c r="V42" s="231"/>
      <c r="W42" s="231"/>
      <c r="X42" s="231"/>
      <c r="Y42" s="231"/>
      <c r="Z42" s="231"/>
      <c r="AC42" s="231"/>
      <c r="AD42" s="231"/>
      <c r="AE42" s="231"/>
      <c r="AF42" s="13"/>
      <c r="AG42" s="13"/>
      <c r="AH42" s="13"/>
      <c r="AI42" s="13"/>
      <c r="AQ42" s="380"/>
      <c r="AR42" s="1216"/>
      <c r="AS42" s="1354"/>
      <c r="AT42" s="1355"/>
      <c r="AU42" s="1346"/>
      <c r="AV42" s="220"/>
      <c r="AW42" s="1356"/>
      <c r="AX42" s="1178"/>
      <c r="AY42" s="220"/>
      <c r="AZ42" s="1357"/>
      <c r="BA42" s="1357"/>
      <c r="BB42" s="1357"/>
      <c r="BC42" s="220"/>
      <c r="BD42" s="1358"/>
      <c r="BE42" s="220"/>
      <c r="BF42" s="1357"/>
      <c r="BG42" s="220"/>
      <c r="BH42" s="1357"/>
    </row>
    <row r="43" spans="2:60" s="82" customFormat="1" ht="7.5" customHeight="1">
      <c r="B43" s="567"/>
      <c r="C43" s="83"/>
      <c r="D43" s="83"/>
      <c r="E43" s="977"/>
      <c r="F43" s="977"/>
      <c r="G43" s="977"/>
      <c r="H43" s="977"/>
      <c r="I43" s="977"/>
      <c r="J43" s="977"/>
      <c r="K43" s="84"/>
      <c r="L43" s="979"/>
      <c r="M43" s="978"/>
      <c r="N43" s="978"/>
      <c r="O43" s="231"/>
      <c r="P43" s="231"/>
      <c r="Q43" s="231"/>
      <c r="R43" s="231"/>
      <c r="S43" s="231"/>
      <c r="T43" s="231"/>
      <c r="U43" s="231"/>
      <c r="V43" s="231"/>
      <c r="W43" s="231"/>
      <c r="X43" s="231"/>
      <c r="Y43" s="231"/>
      <c r="Z43" s="231"/>
      <c r="AA43" s="231"/>
      <c r="AB43" s="231"/>
      <c r="AC43" s="231"/>
      <c r="AD43" s="231"/>
      <c r="AE43" s="231"/>
      <c r="AF43" s="13"/>
      <c r="AG43" s="13"/>
      <c r="AH43" s="13"/>
      <c r="AI43" s="13"/>
      <c r="AQ43" s="380"/>
      <c r="AR43" s="1216"/>
      <c r="AS43" s="1354"/>
      <c r="AT43" s="1355"/>
      <c r="AU43" s="1346"/>
      <c r="AV43" s="220"/>
      <c r="AW43" s="1356"/>
      <c r="AX43" s="1178"/>
      <c r="AY43" s="220"/>
      <c r="AZ43" s="1357"/>
      <c r="BA43" s="1357"/>
      <c r="BB43" s="1357"/>
      <c r="BC43" s="220"/>
      <c r="BD43" s="1358"/>
      <c r="BE43" s="220"/>
      <c r="BF43" s="1357"/>
      <c r="BG43" s="220"/>
      <c r="BH43" s="1357"/>
    </row>
    <row r="44" spans="2:60" ht="6.75" customHeight="1">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
      <c r="AH44" s="8"/>
      <c r="AI44" s="8"/>
      <c r="AQ44" s="380"/>
      <c r="AR44" s="1216"/>
      <c r="AS44" s="1354"/>
      <c r="AT44" s="1355"/>
      <c r="AU44" s="1346"/>
      <c r="AV44" s="220"/>
      <c r="AW44" s="1356"/>
      <c r="AX44" s="1178"/>
      <c r="AY44" s="220"/>
      <c r="AZ44" s="1357"/>
      <c r="BA44" s="1357"/>
      <c r="BB44" s="1357"/>
      <c r="BC44" s="220"/>
      <c r="BD44" s="1358"/>
      <c r="BE44" s="220"/>
      <c r="BF44" s="1357"/>
      <c r="BG44" s="220"/>
      <c r="BH44" s="1357"/>
    </row>
    <row r="45" spans="2:60" ht="14.25" customHeight="1">
      <c r="C45" s="83"/>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
      <c r="AH45" s="8"/>
      <c r="AI45" s="8"/>
      <c r="AQ45" s="380"/>
      <c r="AR45" s="1216"/>
      <c r="AS45" s="1354"/>
      <c r="AT45" s="1355"/>
      <c r="AU45" s="1346"/>
      <c r="AV45" s="220"/>
      <c r="AW45" s="1356"/>
      <c r="AX45" s="1178"/>
      <c r="AY45" s="220"/>
      <c r="AZ45" s="1357"/>
      <c r="BA45" s="1357"/>
      <c r="BB45" s="1357"/>
      <c r="BC45" s="220"/>
      <c r="BD45" s="1358"/>
      <c r="BE45" s="220"/>
      <c r="BF45" s="1357"/>
      <c r="BG45" s="220"/>
      <c r="BH45" s="1357"/>
    </row>
    <row r="46" spans="2:60" ht="14.25" customHeight="1">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
      <c r="AH46" s="8"/>
      <c r="AI46" s="8"/>
      <c r="AQ46" s="380"/>
      <c r="AR46" s="1216"/>
      <c r="AS46" s="1354"/>
      <c r="AT46" s="1355"/>
      <c r="AU46" s="1346"/>
      <c r="AV46" s="220"/>
      <c r="AW46" s="1356"/>
      <c r="AX46" s="1178"/>
      <c r="AY46" s="220"/>
      <c r="AZ46" s="1357"/>
      <c r="BA46" s="1357"/>
      <c r="BB46" s="1357"/>
      <c r="BC46" s="220"/>
      <c r="BD46" s="1358"/>
      <c r="BE46" s="220"/>
      <c r="BF46" s="1357"/>
      <c r="BG46" s="220"/>
      <c r="BH46" s="1357"/>
    </row>
    <row r="47" spans="2:60" ht="14.25" customHeight="1">
      <c r="C47" s="83"/>
      <c r="D47" s="83"/>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
      <c r="AH47" s="8"/>
      <c r="AI47" s="8"/>
      <c r="AQ47" s="380"/>
      <c r="AR47" s="1216"/>
      <c r="AS47" s="1354"/>
      <c r="AT47" s="1355"/>
      <c r="AU47" s="1346"/>
      <c r="AV47" s="220"/>
      <c r="AW47" s="1356"/>
      <c r="AX47" s="1178"/>
      <c r="AY47" s="220"/>
      <c r="AZ47" s="1357"/>
      <c r="BA47" s="1357"/>
      <c r="BB47" s="1357"/>
      <c r="BC47" s="220"/>
      <c r="BD47" s="1358"/>
      <c r="BE47" s="220"/>
      <c r="BF47" s="1357"/>
      <c r="BG47" s="220"/>
      <c r="BH47" s="1357"/>
    </row>
    <row r="48" spans="2:60" ht="14.25" customHeight="1">
      <c r="C48" s="83"/>
      <c r="D48" s="83"/>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
      <c r="AH48" s="8"/>
      <c r="AI48" s="8"/>
      <c r="AQ48" s="380"/>
      <c r="AR48" s="1216"/>
      <c r="AS48" s="1354"/>
      <c r="AT48" s="1355"/>
      <c r="AU48" s="1346"/>
      <c r="AV48" s="220"/>
      <c r="AW48" s="1356"/>
      <c r="AX48" s="1178"/>
      <c r="AY48" s="220"/>
      <c r="AZ48" s="1357"/>
      <c r="BA48" s="1357"/>
      <c r="BB48" s="1357"/>
      <c r="BC48" s="220"/>
      <c r="BD48" s="1358"/>
      <c r="BE48" s="220"/>
      <c r="BF48" s="1357"/>
      <c r="BG48" s="220"/>
      <c r="BH48" s="1357"/>
    </row>
    <row r="49" spans="3:60" ht="14.25" customHeight="1">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
      <c r="AH49" s="8"/>
      <c r="AI49" s="8"/>
      <c r="AQ49" s="380"/>
      <c r="AR49" s="1216"/>
      <c r="AS49" s="1354"/>
      <c r="AT49" s="1355"/>
      <c r="AU49" s="1346"/>
      <c r="AV49" s="220"/>
      <c r="AW49" s="1356"/>
      <c r="AX49" s="1178"/>
      <c r="AY49" s="220"/>
      <c r="AZ49" s="1357"/>
      <c r="BA49" s="1357"/>
      <c r="BB49" s="1357"/>
      <c r="BC49" s="220"/>
      <c r="BD49" s="1358"/>
      <c r="BE49" s="220"/>
      <c r="BF49" s="1357"/>
      <c r="BG49" s="220"/>
      <c r="BH49" s="1357"/>
    </row>
    <row r="50" spans="3:60" ht="14.25" customHeight="1">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
      <c r="AH50" s="8"/>
      <c r="AI50" s="8"/>
      <c r="AQ50" s="380"/>
      <c r="AR50" s="1216"/>
      <c r="AS50" s="1354"/>
      <c r="AT50" s="1355"/>
      <c r="AU50" s="1346"/>
      <c r="AV50" s="220"/>
      <c r="AW50" s="1356"/>
      <c r="AX50" s="1178"/>
      <c r="AY50" s="220"/>
      <c r="AZ50" s="1357"/>
      <c r="BA50" s="1357"/>
      <c r="BB50" s="1357"/>
      <c r="BC50" s="220"/>
      <c r="BD50" s="1358"/>
      <c r="BE50" s="220"/>
      <c r="BF50" s="1357"/>
      <c r="BG50" s="220"/>
      <c r="BH50" s="1357"/>
    </row>
    <row r="51" spans="3:60" ht="14.25" customHeight="1">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
      <c r="AH51" s="8"/>
      <c r="AI51" s="8"/>
      <c r="AQ51" s="380"/>
      <c r="AR51" s="1216"/>
      <c r="AS51" s="1354"/>
      <c r="AT51" s="1355"/>
      <c r="AU51" s="1346"/>
      <c r="AV51" s="220"/>
      <c r="AW51" s="1356"/>
      <c r="AX51" s="1178"/>
      <c r="AY51" s="220"/>
      <c r="AZ51" s="1357"/>
      <c r="BA51" s="1357"/>
      <c r="BB51" s="1357"/>
      <c r="BC51" s="220"/>
      <c r="BD51" s="1358"/>
      <c r="BE51" s="220"/>
      <c r="BF51" s="1357"/>
      <c r="BG51" s="220"/>
      <c r="BH51" s="1357"/>
    </row>
    <row r="52" spans="3:60" ht="14.25" customHeight="1">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
      <c r="AH52" s="8"/>
      <c r="AI52" s="8"/>
      <c r="AQ52" s="380"/>
      <c r="AR52" s="1216"/>
      <c r="AS52" s="1354"/>
      <c r="AT52" s="1355"/>
      <c r="AU52" s="1346"/>
      <c r="AV52" s="220"/>
      <c r="AW52" s="1356"/>
      <c r="AX52" s="1178"/>
      <c r="AY52" s="220"/>
      <c r="AZ52" s="1357"/>
      <c r="BA52" s="1357"/>
      <c r="BB52" s="1357"/>
      <c r="BC52" s="220"/>
      <c r="BD52" s="1358"/>
      <c r="BE52" s="220"/>
      <c r="BF52" s="1357"/>
      <c r="BG52" s="220"/>
      <c r="BH52" s="1357"/>
    </row>
    <row r="53" spans="3:60" ht="14.25" customHeight="1">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
      <c r="AH53" s="8"/>
      <c r="AI53" s="8"/>
      <c r="AQ53" s="380"/>
      <c r="AR53" s="1216"/>
      <c r="AS53" s="1354"/>
      <c r="AT53" s="1355"/>
      <c r="AU53" s="1346"/>
      <c r="AV53" s="220"/>
      <c r="AW53" s="1356"/>
      <c r="AX53" s="1178"/>
      <c r="AY53" s="220"/>
      <c r="AZ53" s="1357"/>
      <c r="BA53" s="1357"/>
      <c r="BB53" s="1357"/>
      <c r="BC53" s="220"/>
      <c r="BD53" s="1358"/>
      <c r="BE53" s="220"/>
      <c r="BF53" s="1357"/>
      <c r="BG53" s="220"/>
      <c r="BH53" s="1357"/>
    </row>
    <row r="54" spans="3:60" ht="14.25" customHeight="1">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
      <c r="AH54" s="8"/>
      <c r="AI54" s="8"/>
      <c r="AQ54" s="380"/>
      <c r="AR54" s="1216"/>
      <c r="AS54" s="1354"/>
      <c r="AT54" s="1355"/>
      <c r="AU54" s="1346"/>
      <c r="AV54" s="220"/>
      <c r="AW54" s="1356"/>
      <c r="AX54" s="1178"/>
      <c r="AY54" s="220"/>
      <c r="AZ54" s="1357"/>
      <c r="BA54" s="1357"/>
      <c r="BB54" s="1357"/>
      <c r="BC54" s="220"/>
      <c r="BD54" s="1358"/>
      <c r="BE54" s="220"/>
      <c r="BF54" s="1357"/>
      <c r="BG54" s="220"/>
      <c r="BH54" s="1357"/>
    </row>
    <row r="55" spans="3:60" ht="14.25" customHeight="1">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
      <c r="AH55" s="8"/>
      <c r="AI55" s="8"/>
      <c r="AQ55" s="380"/>
      <c r="AR55" s="1216"/>
      <c r="AS55" s="1354"/>
      <c r="AT55" s="1355"/>
      <c r="AU55" s="1346"/>
      <c r="AV55" s="220"/>
      <c r="AW55" s="1356"/>
      <c r="AX55" s="1178"/>
      <c r="AY55" s="220"/>
      <c r="AZ55" s="1357"/>
      <c r="BA55" s="1357"/>
      <c r="BB55" s="1357"/>
      <c r="BC55" s="220"/>
      <c r="BD55" s="1358"/>
      <c r="BE55" s="220"/>
      <c r="BF55" s="1357"/>
      <c r="BG55" s="220"/>
      <c r="BH55" s="1357"/>
    </row>
    <row r="56" spans="3:60" ht="14.25" customHeight="1">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
      <c r="AH56" s="8"/>
      <c r="AI56" s="8"/>
      <c r="AQ56" s="380"/>
      <c r="AR56" s="1216"/>
      <c r="AS56" s="1354"/>
      <c r="AT56" s="1355"/>
      <c r="AU56" s="1346"/>
      <c r="AV56" s="220"/>
      <c r="AW56" s="1356"/>
      <c r="AX56" s="1178"/>
      <c r="AY56" s="220"/>
      <c r="AZ56" s="1357"/>
      <c r="BA56" s="1357"/>
      <c r="BB56" s="1357"/>
      <c r="BC56" s="220"/>
      <c r="BD56" s="1358"/>
      <c r="BE56" s="220"/>
      <c r="BF56" s="1357"/>
      <c r="BG56" s="220"/>
      <c r="BH56" s="1357"/>
    </row>
    <row r="57" spans="3:60" ht="14.25" customHeight="1">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
      <c r="AH57" s="8"/>
      <c r="AI57" s="8"/>
      <c r="AQ57" s="380"/>
      <c r="AR57" s="1216"/>
      <c r="AS57" s="1354"/>
      <c r="AT57" s="1355"/>
      <c r="AU57" s="1346"/>
      <c r="AV57" s="220"/>
      <c r="AW57" s="1356"/>
      <c r="AX57" s="1178"/>
      <c r="AY57" s="220"/>
      <c r="AZ57" s="1357"/>
      <c r="BA57" s="1357"/>
      <c r="BB57" s="1357"/>
      <c r="BC57" s="220"/>
      <c r="BD57" s="1358"/>
      <c r="BE57" s="220"/>
      <c r="BF57" s="1357"/>
      <c r="BG57" s="220"/>
      <c r="BH57" s="1357"/>
    </row>
    <row r="58" spans="3:60" ht="14.25" customHeight="1">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
      <c r="AH58" s="8"/>
      <c r="AI58" s="8"/>
      <c r="AQ58" s="380"/>
      <c r="AR58" s="1216"/>
      <c r="AS58" s="1354"/>
      <c r="AT58" s="1355"/>
      <c r="AU58" s="1346"/>
      <c r="AV58" s="220"/>
      <c r="AW58" s="1356"/>
      <c r="AX58" s="1178"/>
      <c r="AY58" s="220"/>
      <c r="AZ58" s="1357"/>
      <c r="BA58" s="1357"/>
      <c r="BB58" s="1357"/>
      <c r="BC58" s="220"/>
      <c r="BD58" s="1358"/>
      <c r="BE58" s="220"/>
      <c r="BF58" s="1357"/>
      <c r="BG58" s="220"/>
      <c r="BH58" s="1357"/>
    </row>
    <row r="59" spans="3:60" ht="14.25" customHeight="1">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
      <c r="AH59" s="8"/>
      <c r="AI59" s="8"/>
      <c r="AQ59" s="380"/>
      <c r="AR59" s="1216"/>
      <c r="AS59" s="1354"/>
      <c r="AT59" s="1355"/>
      <c r="AU59" s="1346"/>
      <c r="AV59" s="220"/>
      <c r="AW59" s="1356"/>
      <c r="AX59" s="1178"/>
      <c r="AY59" s="220"/>
      <c r="AZ59" s="1357"/>
      <c r="BA59" s="1357"/>
      <c r="BB59" s="1357"/>
      <c r="BC59" s="220"/>
      <c r="BD59" s="1358"/>
      <c r="BE59" s="220"/>
      <c r="BF59" s="1357"/>
      <c r="BG59" s="220"/>
      <c r="BH59" s="1357"/>
    </row>
    <row r="60" spans="3:60" ht="14.25" customHeight="1">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
      <c r="AH60" s="8"/>
      <c r="AI60" s="8"/>
      <c r="AQ60" s="380"/>
      <c r="AR60" s="1216"/>
      <c r="AS60" s="1354"/>
      <c r="AT60" s="1355"/>
      <c r="AU60" s="1346"/>
      <c r="AV60" s="220"/>
      <c r="AW60" s="1356"/>
      <c r="AX60" s="1178"/>
      <c r="AY60" s="220"/>
      <c r="AZ60" s="1357"/>
      <c r="BA60" s="1357"/>
      <c r="BB60" s="1357"/>
      <c r="BC60" s="220"/>
      <c r="BD60" s="1358"/>
      <c r="BE60" s="220"/>
      <c r="BF60" s="1357"/>
      <c r="BG60" s="220"/>
      <c r="BH60" s="1357"/>
    </row>
    <row r="61" spans="3:60" ht="14.25" customHeight="1">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
      <c r="AH61" s="8"/>
      <c r="AI61" s="8"/>
      <c r="AQ61" s="380"/>
      <c r="AR61" s="1216"/>
      <c r="AS61" s="1354"/>
      <c r="AT61" s="1355"/>
      <c r="AU61" s="1346"/>
      <c r="AV61" s="220"/>
      <c r="AW61" s="1356"/>
      <c r="AX61" s="1178"/>
      <c r="AY61" s="220"/>
      <c r="AZ61" s="1357"/>
      <c r="BA61" s="1357"/>
      <c r="BB61" s="1357"/>
      <c r="BC61" s="220"/>
      <c r="BD61" s="1358"/>
      <c r="BE61" s="220"/>
      <c r="BF61" s="1357"/>
      <c r="BG61" s="220"/>
      <c r="BH61" s="1357"/>
    </row>
    <row r="62" spans="3:60" ht="14.25" customHeight="1">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
      <c r="AH62" s="8"/>
      <c r="AI62" s="8"/>
      <c r="AQ62" s="380"/>
      <c r="AR62" s="1216"/>
      <c r="AS62" s="1354"/>
      <c r="AT62" s="1355"/>
      <c r="AU62" s="1346"/>
      <c r="AV62" s="220"/>
      <c r="AW62" s="1356"/>
      <c r="AX62" s="1178"/>
      <c r="AY62" s="220"/>
      <c r="AZ62" s="1357"/>
      <c r="BA62" s="1357"/>
      <c r="BB62" s="1357"/>
      <c r="BC62" s="220"/>
      <c r="BD62" s="1358"/>
      <c r="BE62" s="220"/>
      <c r="BF62" s="1357"/>
      <c r="BG62" s="220"/>
      <c r="BH62" s="1357"/>
    </row>
    <row r="63" spans="3:60" ht="14.25" customHeight="1">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
      <c r="AH63" s="8"/>
      <c r="AI63" s="8"/>
      <c r="AQ63" s="380"/>
      <c r="AR63" s="1216"/>
      <c r="AS63" s="1354"/>
      <c r="AT63" s="1355"/>
      <c r="AU63" s="1346"/>
      <c r="AV63" s="220"/>
      <c r="AW63" s="1356"/>
      <c r="AX63" s="1178"/>
      <c r="AY63" s="220"/>
      <c r="AZ63" s="1357"/>
      <c r="BA63" s="1357"/>
      <c r="BB63" s="1357"/>
      <c r="BC63" s="220"/>
      <c r="BD63" s="1358"/>
      <c r="BE63" s="220"/>
      <c r="BF63" s="1357"/>
      <c r="BG63" s="220"/>
      <c r="BH63" s="1357"/>
    </row>
    <row r="64" spans="3:60" ht="14.25" customHeight="1">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
      <c r="AH64" s="8"/>
      <c r="AI64" s="8"/>
      <c r="AQ64" s="380"/>
      <c r="AR64" s="1216"/>
      <c r="AS64" s="1354"/>
      <c r="AT64" s="1355"/>
      <c r="AU64" s="1346"/>
      <c r="AV64" s="220"/>
      <c r="AW64" s="1356"/>
      <c r="AX64" s="1178"/>
      <c r="AY64" s="220"/>
      <c r="AZ64" s="1357"/>
      <c r="BA64" s="1357"/>
      <c r="BB64" s="1357"/>
      <c r="BC64" s="220"/>
      <c r="BD64" s="1358"/>
      <c r="BE64" s="220"/>
      <c r="BF64" s="1357"/>
      <c r="BG64" s="220"/>
      <c r="BH64" s="1357"/>
    </row>
    <row r="65" spans="3:60" ht="14.25" customHeight="1">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
      <c r="AH65" s="8"/>
      <c r="AI65" s="8"/>
      <c r="AQ65" s="380"/>
      <c r="AR65" s="1216"/>
      <c r="AS65" s="1354"/>
      <c r="AT65" s="1355"/>
      <c r="AU65" s="1346"/>
      <c r="AV65" s="220"/>
      <c r="AW65" s="1356"/>
      <c r="AX65" s="1178"/>
      <c r="AY65" s="220"/>
      <c r="AZ65" s="1357"/>
      <c r="BA65" s="1357"/>
      <c r="BB65" s="1357"/>
      <c r="BC65" s="220"/>
      <c r="BD65" s="1358"/>
      <c r="BE65" s="220"/>
      <c r="BF65" s="1357"/>
      <c r="BG65" s="220"/>
      <c r="BH65" s="1357"/>
    </row>
    <row r="66" spans="3:60" ht="14.25" customHeight="1">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
      <c r="AH66" s="8"/>
      <c r="AI66" s="8"/>
      <c r="AQ66" s="380"/>
      <c r="AR66" s="1216"/>
      <c r="AS66" s="1354"/>
      <c r="AT66" s="1355"/>
      <c r="AU66" s="1346"/>
      <c r="AV66" s="220"/>
      <c r="AW66" s="1356"/>
      <c r="AX66" s="1178"/>
      <c r="AY66" s="220"/>
      <c r="AZ66" s="1357"/>
      <c r="BA66" s="1357"/>
      <c r="BB66" s="1357"/>
      <c r="BC66" s="220"/>
      <c r="BD66" s="1358"/>
      <c r="BE66" s="220"/>
      <c r="BF66" s="1357"/>
      <c r="BG66" s="220"/>
      <c r="BH66" s="1357"/>
    </row>
    <row r="67" spans="3:60" ht="14.25" customHeight="1">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
      <c r="AH67" s="8"/>
      <c r="AI67" s="8"/>
      <c r="AQ67" s="380"/>
      <c r="AR67" s="1216"/>
      <c r="AS67" s="1354"/>
      <c r="AT67" s="1355"/>
      <c r="AU67" s="1346"/>
      <c r="AV67" s="220"/>
      <c r="AW67" s="1356"/>
      <c r="AX67" s="1178"/>
      <c r="AY67" s="220"/>
      <c r="AZ67" s="1357"/>
      <c r="BA67" s="1357"/>
      <c r="BB67" s="1357"/>
      <c r="BC67" s="220"/>
      <c r="BD67" s="1358"/>
      <c r="BE67" s="220"/>
      <c r="BF67" s="1357"/>
      <c r="BG67" s="220"/>
      <c r="BH67" s="1357"/>
    </row>
    <row r="68" spans="3:60" ht="14.25" customHeight="1">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
      <c r="AH68" s="8"/>
      <c r="AI68" s="8"/>
      <c r="AQ68" s="380"/>
      <c r="AR68" s="1216"/>
      <c r="AS68" s="1354"/>
      <c r="AT68" s="1355"/>
      <c r="AU68" s="1346"/>
      <c r="AV68" s="220"/>
      <c r="AW68" s="1356"/>
      <c r="AX68" s="1178"/>
      <c r="AY68" s="220"/>
      <c r="AZ68" s="1357"/>
      <c r="BA68" s="1357"/>
      <c r="BB68" s="1357"/>
      <c r="BC68" s="220"/>
      <c r="BD68" s="1358"/>
      <c r="BE68" s="220"/>
      <c r="BF68" s="1357"/>
      <c r="BG68" s="220"/>
      <c r="BH68" s="1357"/>
    </row>
    <row r="69" spans="3:60" ht="14.25" customHeight="1">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
      <c r="AH69" s="8"/>
      <c r="AI69" s="8"/>
      <c r="AQ69" s="380"/>
      <c r="AR69" s="1216"/>
      <c r="AS69" s="1354"/>
      <c r="AT69" s="1355"/>
      <c r="AU69" s="1346"/>
      <c r="AV69" s="220"/>
      <c r="AW69" s="1356"/>
      <c r="AX69" s="1178"/>
      <c r="AY69" s="220"/>
      <c r="AZ69" s="1357"/>
      <c r="BA69" s="1357"/>
      <c r="BB69" s="1357"/>
      <c r="BC69" s="220"/>
      <c r="BD69" s="1358"/>
      <c r="BE69" s="220"/>
      <c r="BF69" s="1357"/>
      <c r="BG69" s="220"/>
      <c r="BH69" s="1357"/>
    </row>
    <row r="70" spans="3:60" ht="14.25" customHeight="1">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
      <c r="AH70" s="8"/>
      <c r="AI70" s="8"/>
      <c r="AQ70" s="380"/>
      <c r="AR70" s="1216"/>
      <c r="AS70" s="1354"/>
      <c r="AT70" s="1355"/>
      <c r="AU70" s="1346"/>
      <c r="AV70" s="220"/>
      <c r="AW70" s="1356"/>
      <c r="AX70" s="1178"/>
      <c r="AY70" s="220"/>
      <c r="AZ70" s="1357"/>
      <c r="BA70" s="1357"/>
      <c r="BB70" s="1357"/>
      <c r="BC70" s="220"/>
      <c r="BD70" s="1358"/>
      <c r="BE70" s="220"/>
      <c r="BF70" s="1357"/>
      <c r="BG70" s="220"/>
      <c r="BH70" s="1357"/>
    </row>
    <row r="71" spans="3:60" ht="14.25" customHeight="1">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
      <c r="AH71" s="8"/>
      <c r="AI71" s="8"/>
      <c r="AQ71" s="380"/>
      <c r="AR71" s="1216"/>
      <c r="AS71" s="1354"/>
      <c r="AT71" s="1355"/>
      <c r="AU71" s="1346"/>
      <c r="AV71" s="220"/>
      <c r="AW71" s="1356"/>
      <c r="AX71" s="1178"/>
      <c r="AY71" s="220"/>
      <c r="AZ71" s="1357"/>
      <c r="BA71" s="1357"/>
      <c r="BB71" s="1357"/>
      <c r="BC71" s="220"/>
      <c r="BD71" s="1358"/>
      <c r="BE71" s="220"/>
      <c r="BF71" s="1357"/>
      <c r="BG71" s="220"/>
      <c r="BH71" s="1357"/>
    </row>
    <row r="72" spans="3:60" ht="14.25" customHeight="1">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
      <c r="AH72" s="8"/>
      <c r="AI72" s="8"/>
      <c r="AQ72" s="380"/>
      <c r="AR72" s="1216"/>
      <c r="AS72" s="1354"/>
      <c r="AT72" s="1355"/>
      <c r="AU72" s="1346"/>
      <c r="AV72" s="220"/>
      <c r="AW72" s="1356"/>
      <c r="AX72" s="1178"/>
      <c r="AY72" s="220"/>
      <c r="AZ72" s="1357"/>
      <c r="BA72" s="1357"/>
      <c r="BB72" s="1357"/>
      <c r="BC72" s="220"/>
      <c r="BD72" s="1358"/>
      <c r="BE72" s="220"/>
      <c r="BF72" s="1357"/>
      <c r="BG72" s="220"/>
      <c r="BH72" s="1357"/>
    </row>
    <row r="73" spans="3:60" ht="14.25" customHeight="1">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
      <c r="AH73" s="8"/>
      <c r="AI73" s="8"/>
      <c r="AQ73" s="380"/>
      <c r="AR73" s="1216"/>
      <c r="AS73" s="1354"/>
      <c r="AT73" s="1355"/>
      <c r="AU73" s="1346"/>
      <c r="AV73" s="220"/>
      <c r="AW73" s="1356"/>
      <c r="AX73" s="1178"/>
      <c r="AY73" s="220"/>
      <c r="AZ73" s="1357"/>
      <c r="BA73" s="1357"/>
      <c r="BB73" s="1357"/>
      <c r="BC73" s="220"/>
      <c r="BD73" s="1358"/>
      <c r="BE73" s="220"/>
      <c r="BF73" s="1357"/>
      <c r="BG73" s="220"/>
      <c r="BH73" s="1357"/>
    </row>
    <row r="74" spans="3:60" ht="14.25" customHeight="1">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
      <c r="AH74" s="8"/>
      <c r="AI74" s="8"/>
      <c r="AQ74" s="380"/>
      <c r="AR74" s="1216"/>
      <c r="AS74" s="1354"/>
      <c r="AT74" s="1359"/>
      <c r="AU74" s="1346"/>
      <c r="AV74" s="220"/>
      <c r="AW74" s="1356"/>
      <c r="AX74" s="1178"/>
      <c r="AY74" s="220"/>
      <c r="AZ74" s="1357"/>
      <c r="BA74" s="1357"/>
      <c r="BB74" s="1357"/>
      <c r="BC74" s="220"/>
      <c r="BD74" s="1358"/>
      <c r="BE74" s="220"/>
      <c r="BF74" s="1357"/>
      <c r="BG74" s="220"/>
      <c r="BH74" s="1357"/>
    </row>
    <row r="75" spans="3:60" ht="14.25" customHeight="1">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
      <c r="AH75" s="8"/>
      <c r="AI75" s="8"/>
      <c r="AQ75" s="380"/>
      <c r="AR75" s="1216"/>
      <c r="AS75" s="1354"/>
      <c r="AT75" s="1359"/>
      <c r="AU75" s="1346"/>
      <c r="AV75" s="220"/>
      <c r="AW75" s="1356"/>
      <c r="AX75" s="1178"/>
      <c r="AY75" s="220"/>
      <c r="AZ75" s="1357"/>
      <c r="BA75" s="1357"/>
      <c r="BB75" s="1357"/>
      <c r="BC75" s="220"/>
      <c r="BD75" s="1358"/>
      <c r="BE75" s="220"/>
      <c r="BF75" s="1357"/>
      <c r="BG75" s="220"/>
      <c r="BH75" s="1357"/>
    </row>
    <row r="76" spans="3:60" ht="14.25" customHeight="1">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
      <c r="AH76" s="8"/>
      <c r="AI76" s="8"/>
      <c r="AQ76" s="380"/>
      <c r="AR76" s="1216"/>
      <c r="AS76" s="1354"/>
      <c r="AT76" s="1359"/>
      <c r="AU76" s="1346"/>
      <c r="AV76" s="220"/>
      <c r="AW76" s="1356"/>
      <c r="AX76" s="1178"/>
      <c r="AY76" s="220"/>
      <c r="AZ76" s="1357"/>
      <c r="BA76" s="1357"/>
      <c r="BB76" s="1357"/>
      <c r="BC76" s="220"/>
      <c r="BD76" s="1358"/>
      <c r="BE76" s="220"/>
      <c r="BF76" s="1357"/>
      <c r="BG76" s="220"/>
      <c r="BH76" s="1357"/>
    </row>
    <row r="77" spans="3:60" ht="14.25" customHeight="1">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
      <c r="AH77" s="8"/>
      <c r="AI77" s="8"/>
      <c r="AQ77" s="380"/>
      <c r="AR77" s="1216"/>
      <c r="AS77" s="1354"/>
      <c r="AT77" s="1359"/>
      <c r="AU77" s="1346"/>
      <c r="AV77" s="220"/>
      <c r="AW77" s="1356"/>
      <c r="AX77" s="1178"/>
      <c r="AY77" s="220"/>
      <c r="AZ77" s="1357"/>
      <c r="BA77" s="1357"/>
      <c r="BB77" s="1357"/>
      <c r="BC77" s="220"/>
      <c r="BD77" s="1358"/>
      <c r="BE77" s="220"/>
      <c r="BF77" s="1357"/>
      <c r="BG77" s="220"/>
      <c r="BH77" s="1357"/>
    </row>
    <row r="78" spans="3:60" ht="14.25" customHeight="1">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
      <c r="AH78" s="8"/>
      <c r="AI78" s="8"/>
      <c r="AQ78" s="380"/>
      <c r="AR78" s="1216"/>
      <c r="AS78" s="1354"/>
      <c r="AT78" s="1359"/>
      <c r="AU78" s="1346"/>
      <c r="AV78" s="220"/>
      <c r="AW78" s="1356"/>
      <c r="AX78" s="1178"/>
      <c r="AY78" s="220"/>
      <c r="AZ78" s="1357"/>
      <c r="BA78" s="1357"/>
      <c r="BB78" s="1357"/>
      <c r="BC78" s="220"/>
      <c r="BD78" s="1358"/>
      <c r="BE78" s="220"/>
      <c r="BF78" s="1357"/>
      <c r="BG78" s="220"/>
      <c r="BH78" s="1357"/>
    </row>
    <row r="79" spans="3:60" ht="14.25" customHeight="1">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
      <c r="AH79" s="8"/>
      <c r="AI79" s="8"/>
      <c r="AQ79" s="380"/>
      <c r="AR79" s="1216"/>
      <c r="AS79" s="1354"/>
      <c r="AT79" s="1359"/>
      <c r="AU79" s="1346"/>
      <c r="AV79" s="220"/>
      <c r="AW79" s="1356"/>
      <c r="AX79" s="1178"/>
      <c r="AY79" s="220"/>
      <c r="AZ79" s="1357"/>
      <c r="BA79" s="1357"/>
      <c r="BB79" s="1357"/>
      <c r="BC79" s="220"/>
      <c r="BD79" s="1358"/>
      <c r="BE79" s="220"/>
      <c r="BF79" s="1357"/>
      <c r="BG79" s="220"/>
      <c r="BH79" s="1357"/>
    </row>
    <row r="80" spans="3:60" ht="14.25" customHeight="1">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
      <c r="AH80" s="8"/>
      <c r="AI80" s="8"/>
      <c r="AQ80" s="380"/>
      <c r="AR80" s="1216"/>
      <c r="AS80" s="1354"/>
      <c r="AT80" s="1359"/>
      <c r="AU80" s="1346"/>
      <c r="AV80" s="220"/>
      <c r="AW80" s="1356"/>
      <c r="AX80" s="1178"/>
      <c r="AY80" s="220"/>
      <c r="AZ80" s="1357"/>
      <c r="BA80" s="1357"/>
      <c r="BB80" s="1357"/>
      <c r="BC80" s="220"/>
      <c r="BD80" s="1358"/>
      <c r="BE80" s="220"/>
      <c r="BF80" s="1357"/>
      <c r="BG80" s="220"/>
      <c r="BH80" s="1357"/>
    </row>
    <row r="81" spans="3:60" ht="14.25" customHeight="1">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
      <c r="AH81" s="8"/>
      <c r="AI81" s="8"/>
      <c r="AQ81" s="380"/>
      <c r="AR81" s="1216"/>
      <c r="AS81" s="1354"/>
      <c r="AT81" s="1359"/>
      <c r="AU81" s="1346"/>
      <c r="AV81" s="220"/>
      <c r="AW81" s="1356"/>
      <c r="AX81" s="1178"/>
      <c r="AY81" s="220"/>
      <c r="AZ81" s="1357"/>
      <c r="BA81" s="1357"/>
      <c r="BB81" s="1357"/>
      <c r="BC81" s="220"/>
      <c r="BD81" s="1358"/>
      <c r="BE81" s="220"/>
      <c r="BF81" s="1357"/>
      <c r="BG81" s="220"/>
      <c r="BH81" s="1357"/>
    </row>
    <row r="82" spans="3:60" ht="14.25" customHeight="1">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
      <c r="AH82" s="8"/>
      <c r="AI82" s="8"/>
      <c r="AQ82" s="380"/>
      <c r="AR82" s="1216"/>
      <c r="AS82" s="1354"/>
      <c r="AT82" s="1359"/>
      <c r="AU82" s="1346"/>
      <c r="AV82" s="220"/>
      <c r="AW82" s="1356"/>
      <c r="AX82" s="1178"/>
      <c r="AY82" s="220"/>
      <c r="AZ82" s="1357"/>
      <c r="BA82" s="1357"/>
      <c r="BB82" s="1357"/>
      <c r="BC82" s="220"/>
      <c r="BD82" s="1358"/>
      <c r="BE82" s="220"/>
      <c r="BF82" s="1357"/>
      <c r="BG82" s="220"/>
      <c r="BH82" s="1357"/>
    </row>
    <row r="83" spans="3:60" ht="14.25" customHeight="1">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
      <c r="AH83" s="8"/>
      <c r="AI83" s="8"/>
      <c r="AQ83" s="380"/>
      <c r="AR83" s="1216"/>
      <c r="AS83" s="1354"/>
      <c r="AT83" s="1359"/>
      <c r="AU83" s="1346"/>
      <c r="AV83" s="220"/>
      <c r="AW83" s="1356"/>
      <c r="AX83" s="1178"/>
      <c r="AY83" s="220"/>
      <c r="AZ83" s="1357"/>
      <c r="BA83" s="1357"/>
      <c r="BB83" s="1357"/>
      <c r="BC83" s="220"/>
      <c r="BD83" s="1358"/>
      <c r="BE83" s="220"/>
      <c r="BF83" s="1357"/>
      <c r="BG83" s="220"/>
      <c r="BH83" s="1357"/>
    </row>
    <row r="84" spans="3:60" ht="14.25" customHeight="1">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
      <c r="AH84" s="8"/>
      <c r="AI84" s="8"/>
      <c r="AQ84" s="380"/>
      <c r="AR84" s="1216"/>
      <c r="AS84" s="1354"/>
      <c r="AT84" s="1355"/>
      <c r="AU84" s="1346"/>
      <c r="AV84" s="220"/>
      <c r="AW84" s="1356"/>
      <c r="AX84" s="1178"/>
      <c r="AY84" s="220"/>
      <c r="AZ84" s="1357"/>
      <c r="BA84" s="1357"/>
      <c r="BB84" s="1357"/>
      <c r="BC84" s="220"/>
      <c r="BD84" s="1358"/>
      <c r="BE84" s="220"/>
      <c r="BF84" s="1357"/>
      <c r="BG84" s="220"/>
      <c r="BH84" s="1357"/>
    </row>
    <row r="85" spans="3:60" ht="14.25" customHeight="1">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
      <c r="AH85" s="8"/>
      <c r="AI85" s="8"/>
      <c r="AQ85" s="380"/>
      <c r="AR85" s="1216"/>
      <c r="AS85" s="1354"/>
      <c r="AT85" s="1355"/>
      <c r="AU85" s="1346"/>
      <c r="AV85" s="220"/>
      <c r="AW85" s="1356"/>
      <c r="AX85" s="1178"/>
      <c r="AY85" s="220"/>
      <c r="AZ85" s="1357"/>
      <c r="BA85" s="1357"/>
      <c r="BB85" s="1357"/>
      <c r="BC85" s="220"/>
      <c r="BD85" s="1358"/>
      <c r="BE85" s="220"/>
      <c r="BF85" s="1357"/>
      <c r="BG85" s="220"/>
      <c r="BH85" s="1357"/>
    </row>
    <row r="86" spans="3:60" ht="14.25" customHeight="1">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
      <c r="AH86" s="8"/>
      <c r="AI86" s="8"/>
      <c r="AQ86" s="380"/>
      <c r="AR86" s="1216"/>
      <c r="AS86" s="1354"/>
      <c r="AT86" s="1355"/>
      <c r="AU86" s="1346"/>
      <c r="AV86" s="220"/>
      <c r="AW86" s="1356"/>
      <c r="AX86" s="1178"/>
      <c r="AY86" s="220"/>
      <c r="AZ86" s="1357"/>
      <c r="BA86" s="1357"/>
      <c r="BB86" s="1357"/>
      <c r="BC86" s="220"/>
      <c r="BD86" s="1358"/>
      <c r="BE86" s="220"/>
      <c r="BF86" s="1357"/>
      <c r="BG86" s="220"/>
      <c r="BH86" s="1357"/>
    </row>
    <row r="87" spans="3:60" ht="14.25" customHeight="1">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
      <c r="AH87" s="8"/>
      <c r="AI87" s="8"/>
      <c r="AQ87" s="380"/>
      <c r="AR87" s="1216"/>
      <c r="AS87" s="1354"/>
      <c r="AT87" s="1355"/>
      <c r="AU87" s="1346"/>
      <c r="AV87" s="220"/>
      <c r="AW87" s="1356"/>
      <c r="AX87" s="1178"/>
      <c r="AY87" s="220"/>
      <c r="AZ87" s="1357"/>
      <c r="BA87" s="1357"/>
      <c r="BB87" s="1357"/>
      <c r="BC87" s="220"/>
      <c r="BD87" s="1358"/>
      <c r="BE87" s="220"/>
      <c r="BF87" s="1357"/>
      <c r="BG87" s="220"/>
      <c r="BH87" s="1357"/>
    </row>
    <row r="88" spans="3:60" ht="14.25" customHeight="1">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
      <c r="AH88" s="8"/>
      <c r="AI88" s="8"/>
      <c r="AQ88" s="380"/>
      <c r="AR88" s="1216"/>
      <c r="AS88" s="1354"/>
      <c r="AT88" s="1355"/>
      <c r="AU88" s="1346"/>
      <c r="AV88" s="220"/>
      <c r="AW88" s="1356"/>
      <c r="AX88" s="1178"/>
      <c r="AY88" s="220"/>
      <c r="AZ88" s="1357"/>
      <c r="BA88" s="1357"/>
      <c r="BB88" s="1357"/>
      <c r="BC88" s="220"/>
      <c r="BD88" s="1358"/>
      <c r="BE88" s="220"/>
      <c r="BF88" s="1357"/>
      <c r="BG88" s="220"/>
      <c r="BH88" s="1357"/>
    </row>
    <row r="89" spans="3:60" ht="14.25" customHeight="1">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
      <c r="AH89" s="8"/>
      <c r="AI89" s="8"/>
      <c r="AQ89" s="380"/>
      <c r="AR89" s="1216"/>
      <c r="AS89" s="1354"/>
      <c r="AT89" s="1355"/>
      <c r="AU89" s="1346"/>
      <c r="AV89" s="220"/>
      <c r="AW89" s="1356"/>
      <c r="AX89" s="1178"/>
      <c r="AY89" s="220"/>
      <c r="AZ89" s="1357"/>
      <c r="BA89" s="1357"/>
      <c r="BB89" s="1357"/>
      <c r="BC89" s="220"/>
      <c r="BD89" s="1358"/>
      <c r="BE89" s="220"/>
      <c r="BF89" s="1357"/>
      <c r="BG89" s="220"/>
      <c r="BH89" s="1357"/>
    </row>
    <row r="90" spans="3:60" ht="14.25" customHeight="1">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
      <c r="AH90" s="8"/>
      <c r="AI90" s="8"/>
      <c r="AQ90" s="380"/>
      <c r="AR90" s="1216"/>
      <c r="AS90" s="1354"/>
      <c r="AT90" s="1355"/>
      <c r="AU90" s="1346"/>
      <c r="AV90" s="220"/>
      <c r="AW90" s="1356"/>
      <c r="AX90" s="1178"/>
      <c r="AY90" s="220"/>
      <c r="AZ90" s="1357"/>
      <c r="BA90" s="1357"/>
      <c r="BB90" s="1357"/>
      <c r="BC90" s="220"/>
      <c r="BD90" s="1358"/>
      <c r="BE90" s="220"/>
      <c r="BF90" s="1357"/>
      <c r="BG90" s="220"/>
      <c r="BH90" s="1357"/>
    </row>
    <row r="91" spans="3:60" ht="15.75">
      <c r="AF91" s="8"/>
      <c r="AG91" s="8"/>
      <c r="AH91" s="8"/>
      <c r="AI91" s="8"/>
      <c r="AQ91" s="380"/>
      <c r="AR91" s="1216"/>
      <c r="AS91" s="1354"/>
      <c r="AT91" s="1355"/>
      <c r="AU91" s="1346"/>
      <c r="AV91" s="220"/>
      <c r="AW91" s="1356"/>
      <c r="AX91" s="1178"/>
      <c r="AY91" s="220"/>
      <c r="AZ91" s="1357"/>
      <c r="BA91" s="1357"/>
      <c r="BB91" s="1357"/>
      <c r="BC91" s="220"/>
      <c r="BD91" s="1358"/>
      <c r="BE91" s="220"/>
      <c r="BF91" s="1357"/>
      <c r="BG91" s="220"/>
      <c r="BH91" s="1357"/>
    </row>
    <row r="92" spans="3:60" ht="15.75">
      <c r="AF92" s="8"/>
      <c r="AG92" s="8"/>
      <c r="AH92" s="8"/>
      <c r="AI92" s="8"/>
      <c r="AQ92" s="380"/>
      <c r="AR92" s="1216"/>
      <c r="AS92" s="1354"/>
      <c r="AT92" s="1355"/>
      <c r="AU92" s="1346"/>
      <c r="AV92" s="220"/>
      <c r="AW92" s="1356"/>
      <c r="AX92" s="1178"/>
      <c r="AY92" s="220"/>
      <c r="AZ92" s="1357"/>
      <c r="BA92" s="1357"/>
      <c r="BB92" s="1357"/>
      <c r="BC92" s="220"/>
      <c r="BD92" s="1358"/>
      <c r="BE92" s="220"/>
      <c r="BF92" s="1357"/>
      <c r="BG92" s="220"/>
      <c r="BH92" s="1357"/>
    </row>
    <row r="93" spans="3:60" ht="15.75">
      <c r="AF93" s="8"/>
      <c r="AG93" s="8"/>
      <c r="AH93" s="8"/>
      <c r="AI93" s="8"/>
      <c r="AQ93" s="380"/>
      <c r="AR93" s="1216"/>
      <c r="AS93" s="1354"/>
      <c r="AT93" s="1355"/>
      <c r="AU93" s="1346"/>
      <c r="AV93" s="220"/>
      <c r="AW93" s="1356"/>
      <c r="AX93" s="1178"/>
      <c r="AY93" s="220"/>
      <c r="AZ93" s="1357"/>
      <c r="BA93" s="1357"/>
      <c r="BB93" s="1357"/>
      <c r="BC93" s="220"/>
      <c r="BD93" s="1358"/>
      <c r="BE93" s="220"/>
      <c r="BF93" s="1357"/>
      <c r="BG93" s="220"/>
      <c r="BH93" s="1357"/>
    </row>
    <row r="94" spans="3:60" ht="15.75">
      <c r="AF94" s="8"/>
      <c r="AG94" s="8"/>
      <c r="AH94" s="8"/>
      <c r="AI94" s="8"/>
      <c r="AQ94" s="380"/>
      <c r="AR94" s="1216"/>
      <c r="AS94" s="1354"/>
      <c r="AT94" s="1355"/>
      <c r="AU94" s="1346"/>
      <c r="AV94" s="220"/>
      <c r="AW94" s="1356"/>
      <c r="AX94" s="1178"/>
      <c r="AY94" s="220"/>
      <c r="AZ94" s="1357"/>
      <c r="BA94" s="1357"/>
      <c r="BB94" s="1357"/>
      <c r="BC94" s="220"/>
      <c r="BD94" s="1358"/>
      <c r="BE94" s="220"/>
      <c r="BF94" s="1357"/>
      <c r="BG94" s="220"/>
      <c r="BH94" s="1357"/>
    </row>
    <row r="95" spans="3:60" ht="15.75">
      <c r="AF95" s="8"/>
      <c r="AG95" s="8"/>
      <c r="AH95" s="8"/>
      <c r="AI95" s="8"/>
      <c r="AQ95" s="380"/>
      <c r="AR95" s="1216"/>
      <c r="AS95" s="1354"/>
      <c r="AT95" s="1355"/>
      <c r="AU95" s="1346"/>
      <c r="AV95" s="220"/>
      <c r="AW95" s="1356"/>
      <c r="AX95" s="1178"/>
      <c r="AY95" s="220"/>
      <c r="AZ95" s="1357"/>
      <c r="BA95" s="1357"/>
      <c r="BB95" s="1357"/>
      <c r="BC95" s="220"/>
      <c r="BD95" s="1358"/>
      <c r="BE95" s="220"/>
      <c r="BF95" s="1357"/>
      <c r="BG95" s="220"/>
      <c r="BH95" s="1357"/>
    </row>
    <row r="96" spans="3:60" ht="15.75">
      <c r="AF96" s="8"/>
      <c r="AG96" s="8"/>
      <c r="AH96" s="8"/>
      <c r="AI96" s="8"/>
      <c r="AQ96" s="380"/>
      <c r="AR96" s="1216"/>
      <c r="AS96" s="1354"/>
      <c r="AT96" s="1355"/>
      <c r="AU96" s="1346"/>
      <c r="AV96" s="220"/>
      <c r="AW96" s="1356"/>
      <c r="AX96" s="1178"/>
      <c r="AY96" s="220"/>
      <c r="AZ96" s="1357"/>
      <c r="BA96" s="1357"/>
      <c r="BB96" s="1357"/>
      <c r="BC96" s="220"/>
      <c r="BD96" s="1358"/>
      <c r="BE96" s="220"/>
      <c r="BF96" s="1357"/>
      <c r="BG96" s="220"/>
      <c r="BH96" s="1357"/>
    </row>
    <row r="97" spans="32:60" ht="15.75">
      <c r="AF97" s="8"/>
      <c r="AG97" s="8"/>
      <c r="AH97" s="8"/>
      <c r="AI97" s="8"/>
      <c r="AQ97" s="380"/>
      <c r="AR97" s="1216"/>
      <c r="AS97" s="1354"/>
      <c r="AT97" s="1355"/>
      <c r="AU97" s="1346"/>
      <c r="AV97" s="220"/>
      <c r="AW97" s="1356"/>
      <c r="AX97" s="1178"/>
      <c r="AY97" s="220"/>
      <c r="AZ97" s="1357"/>
      <c r="BA97" s="1357"/>
      <c r="BB97" s="1357"/>
      <c r="BC97" s="220"/>
      <c r="BD97" s="1358"/>
      <c r="BE97" s="220"/>
      <c r="BF97" s="1357"/>
      <c r="BG97" s="220"/>
      <c r="BH97" s="1357"/>
    </row>
    <row r="98" spans="32:60" ht="15.75">
      <c r="AF98" s="8"/>
      <c r="AG98" s="8"/>
      <c r="AH98" s="8"/>
      <c r="AI98" s="8"/>
      <c r="AQ98" s="380"/>
      <c r="AR98" s="1216"/>
      <c r="AS98" s="1354"/>
      <c r="AT98" s="1355"/>
      <c r="AU98" s="1346"/>
      <c r="AV98" s="220"/>
      <c r="AW98" s="1356"/>
      <c r="AX98" s="1178"/>
      <c r="AY98" s="220"/>
      <c r="AZ98" s="1357"/>
      <c r="BA98" s="1357"/>
      <c r="BB98" s="1357"/>
      <c r="BC98" s="220"/>
      <c r="BD98" s="1358"/>
      <c r="BE98" s="220"/>
      <c r="BF98" s="1357"/>
      <c r="BG98" s="220"/>
      <c r="BH98" s="1357"/>
    </row>
    <row r="99" spans="32:60" ht="15.75">
      <c r="AF99" s="8"/>
      <c r="AG99" s="8"/>
      <c r="AH99" s="8"/>
      <c r="AI99" s="8"/>
      <c r="AQ99" s="380"/>
      <c r="AR99" s="1216"/>
      <c r="AS99" s="1354"/>
      <c r="AT99" s="1355"/>
      <c r="AU99" s="1346"/>
      <c r="AV99" s="220"/>
      <c r="AW99" s="1356"/>
      <c r="AX99" s="1178"/>
      <c r="AY99" s="220"/>
      <c r="AZ99" s="1357"/>
      <c r="BA99" s="1357"/>
      <c r="BB99" s="1357"/>
      <c r="BC99" s="220"/>
      <c r="BD99" s="1358"/>
      <c r="BE99" s="220"/>
      <c r="BF99" s="1357"/>
      <c r="BG99" s="220"/>
      <c r="BH99" s="1357"/>
    </row>
    <row r="100" spans="32:60" ht="15.75">
      <c r="AF100" s="8"/>
      <c r="AG100" s="8"/>
      <c r="AH100" s="8"/>
      <c r="AI100" s="8"/>
      <c r="AQ100" s="380"/>
      <c r="AR100" s="1216"/>
      <c r="AS100" s="1354"/>
      <c r="AT100" s="1355"/>
      <c r="AU100" s="1346"/>
      <c r="AV100" s="220"/>
      <c r="AW100" s="1356"/>
      <c r="AX100" s="1178"/>
      <c r="AY100" s="220"/>
      <c r="AZ100" s="1357"/>
      <c r="BA100" s="1357"/>
      <c r="BB100" s="1357"/>
      <c r="BC100" s="220"/>
      <c r="BD100" s="1358"/>
      <c r="BE100" s="220"/>
      <c r="BF100" s="1357"/>
      <c r="BG100" s="220"/>
      <c r="BH100" s="1357"/>
    </row>
    <row r="101" spans="32:60" ht="15.75">
      <c r="AF101" s="8"/>
      <c r="AG101" s="8"/>
      <c r="AH101" s="8"/>
      <c r="AI101" s="8"/>
      <c r="AQ101" s="380"/>
      <c r="AR101" s="1216"/>
      <c r="AS101" s="1354"/>
      <c r="AT101" s="1355"/>
      <c r="AU101" s="1346"/>
      <c r="AV101" s="220"/>
      <c r="AW101" s="1356"/>
      <c r="AX101" s="1178"/>
      <c r="AY101" s="220"/>
      <c r="AZ101" s="1357"/>
      <c r="BA101" s="1357"/>
      <c r="BB101" s="1357"/>
      <c r="BC101" s="220"/>
      <c r="BD101" s="1358"/>
      <c r="BE101" s="220"/>
      <c r="BF101" s="1357"/>
      <c r="BG101" s="220"/>
      <c r="BH101" s="1357"/>
    </row>
    <row r="102" spans="32:60" ht="15.75">
      <c r="AF102" s="8"/>
      <c r="AG102" s="8"/>
      <c r="AH102" s="8"/>
      <c r="AI102" s="8"/>
      <c r="AQ102" s="380"/>
      <c r="AR102" s="1216"/>
      <c r="AS102" s="1354"/>
      <c r="AT102" s="1355"/>
      <c r="AU102" s="1346"/>
      <c r="AV102" s="220"/>
      <c r="AW102" s="1356"/>
      <c r="AX102" s="1178"/>
      <c r="AY102" s="220"/>
      <c r="AZ102" s="1357"/>
      <c r="BA102" s="1357"/>
      <c r="BB102" s="1357"/>
      <c r="BC102" s="220"/>
      <c r="BD102" s="1358"/>
      <c r="BE102" s="220"/>
      <c r="BF102" s="1357"/>
      <c r="BG102" s="220"/>
      <c r="BH102" s="1357"/>
    </row>
    <row r="103" spans="32:60" ht="15.75">
      <c r="AF103" s="8"/>
      <c r="AG103" s="8"/>
      <c r="AH103" s="8"/>
      <c r="AI103" s="8"/>
      <c r="AQ103" s="380"/>
      <c r="AR103" s="1216"/>
      <c r="AS103" s="1354"/>
      <c r="AT103" s="1355"/>
      <c r="AU103" s="1346"/>
      <c r="AV103" s="220"/>
      <c r="AW103" s="1356"/>
      <c r="AX103" s="1178"/>
      <c r="AY103" s="220"/>
      <c r="AZ103" s="1357"/>
      <c r="BA103" s="1357"/>
      <c r="BB103" s="1357"/>
      <c r="BC103" s="220"/>
      <c r="BD103" s="1358"/>
      <c r="BE103" s="220"/>
      <c r="BF103" s="1357"/>
      <c r="BG103" s="220"/>
      <c r="BH103" s="1357"/>
    </row>
    <row r="104" spans="32:60" ht="15.75">
      <c r="AF104" s="8"/>
      <c r="AG104" s="8"/>
      <c r="AH104" s="8"/>
      <c r="AI104" s="8"/>
      <c r="AQ104" s="380"/>
      <c r="AR104" s="1216"/>
      <c r="AS104" s="1354"/>
      <c r="AT104" s="1355"/>
      <c r="AU104" s="1346"/>
      <c r="AV104" s="220"/>
      <c r="AW104" s="1356"/>
      <c r="AX104" s="1178"/>
      <c r="AY104" s="220"/>
      <c r="AZ104" s="1357"/>
      <c r="BA104" s="1357"/>
      <c r="BB104" s="1357"/>
      <c r="BC104" s="220"/>
      <c r="BD104" s="1358"/>
      <c r="BE104" s="220"/>
      <c r="BF104" s="1357"/>
      <c r="BG104" s="220"/>
      <c r="BH104" s="1357"/>
    </row>
    <row r="105" spans="32:60" ht="15.75">
      <c r="AF105" s="8"/>
      <c r="AG105" s="8"/>
      <c r="AH105" s="8"/>
      <c r="AI105" s="8"/>
      <c r="AQ105" s="380"/>
      <c r="AR105" s="1216"/>
      <c r="AS105" s="1354"/>
      <c r="AT105" s="1355"/>
      <c r="AU105" s="1346"/>
      <c r="AV105" s="220"/>
      <c r="AW105" s="1356"/>
      <c r="AX105" s="1178"/>
      <c r="AY105" s="220"/>
      <c r="AZ105" s="1357"/>
      <c r="BA105" s="1357"/>
      <c r="BB105" s="1357"/>
      <c r="BC105" s="220"/>
      <c r="BD105" s="1358"/>
      <c r="BE105" s="220"/>
      <c r="BF105" s="1357"/>
      <c r="BG105" s="220"/>
      <c r="BH105" s="1357"/>
    </row>
    <row r="106" spans="32:60" ht="15.75">
      <c r="AF106" s="8"/>
      <c r="AG106" s="8"/>
      <c r="AH106" s="8"/>
      <c r="AI106" s="8"/>
      <c r="AQ106" s="380"/>
      <c r="AR106" s="1216"/>
      <c r="AS106" s="1354"/>
      <c r="AT106" s="1355"/>
      <c r="AU106" s="1346"/>
      <c r="AV106" s="220"/>
      <c r="AW106" s="1356"/>
      <c r="AX106" s="1178"/>
      <c r="AY106" s="220"/>
      <c r="AZ106" s="1357"/>
      <c r="BA106" s="1357"/>
      <c r="BB106" s="1357"/>
      <c r="BC106" s="220"/>
      <c r="BD106" s="1358"/>
      <c r="BE106" s="220"/>
      <c r="BF106" s="1357"/>
      <c r="BG106" s="220"/>
      <c r="BH106" s="1357"/>
    </row>
    <row r="107" spans="32:60" ht="15.75">
      <c r="AF107" s="8"/>
      <c r="AG107" s="8"/>
      <c r="AH107" s="8"/>
      <c r="AI107" s="8"/>
      <c r="AQ107" s="380"/>
      <c r="AR107" s="1216"/>
      <c r="AS107" s="1354"/>
      <c r="AT107" s="1355"/>
      <c r="AU107" s="1346"/>
      <c r="AV107" s="220"/>
      <c r="AW107" s="1356"/>
      <c r="AX107" s="1178"/>
      <c r="AY107" s="220"/>
      <c r="AZ107" s="1357"/>
      <c r="BA107" s="1357"/>
      <c r="BB107" s="1357"/>
      <c r="BC107" s="220"/>
      <c r="BD107" s="1358"/>
      <c r="BE107" s="220"/>
      <c r="BF107" s="1357"/>
      <c r="BG107" s="220"/>
      <c r="BH107" s="1357"/>
    </row>
    <row r="108" spans="32:60" ht="15.75">
      <c r="AF108" s="8"/>
      <c r="AG108" s="8"/>
      <c r="AH108" s="8"/>
      <c r="AI108" s="8"/>
      <c r="AQ108" s="380"/>
      <c r="AR108" s="1216"/>
      <c r="AS108" s="1354"/>
      <c r="AT108" s="1355"/>
      <c r="AU108" s="1346"/>
      <c r="AV108" s="220"/>
      <c r="AW108" s="1356"/>
      <c r="AX108" s="1178"/>
      <c r="AY108" s="220"/>
      <c r="AZ108" s="1357"/>
      <c r="BA108" s="1357"/>
      <c r="BB108" s="1357"/>
      <c r="BC108" s="220"/>
      <c r="BD108" s="1358"/>
      <c r="BE108" s="220"/>
      <c r="BF108" s="1357"/>
      <c r="BG108" s="220"/>
      <c r="BH108" s="1357"/>
    </row>
    <row r="109" spans="32:60" ht="15.75">
      <c r="AF109" s="8"/>
      <c r="AG109" s="8"/>
      <c r="AH109" s="8"/>
      <c r="AI109" s="8"/>
      <c r="AQ109" s="380"/>
      <c r="AR109" s="1216"/>
      <c r="AS109" s="1354"/>
      <c r="AT109" s="1355"/>
      <c r="AU109" s="1346"/>
      <c r="AV109" s="220"/>
      <c r="AW109" s="1356"/>
      <c r="AX109" s="1178"/>
      <c r="AY109" s="220"/>
      <c r="AZ109" s="1357"/>
      <c r="BA109" s="1357"/>
      <c r="BB109" s="1357"/>
      <c r="BC109" s="220"/>
      <c r="BD109" s="1358"/>
      <c r="BE109" s="220"/>
      <c r="BF109" s="1357"/>
      <c r="BG109" s="220"/>
      <c r="BH109" s="1357"/>
    </row>
    <row r="110" spans="32:60" ht="15.75">
      <c r="AF110" s="8"/>
      <c r="AG110" s="8"/>
      <c r="AH110" s="8"/>
      <c r="AI110" s="8"/>
      <c r="AQ110" s="380"/>
      <c r="AR110" s="1216"/>
      <c r="AS110" s="1354"/>
      <c r="AT110" s="1355"/>
      <c r="AU110" s="1346"/>
      <c r="AV110" s="220"/>
      <c r="AW110" s="1356"/>
      <c r="AX110" s="1178"/>
      <c r="AY110" s="220"/>
      <c r="AZ110" s="1357"/>
      <c r="BA110" s="1357"/>
      <c r="BB110" s="1357"/>
      <c r="BC110" s="220"/>
      <c r="BD110" s="1358"/>
      <c r="BE110" s="220"/>
      <c r="BF110" s="1357"/>
      <c r="BG110" s="220"/>
      <c r="BH110" s="1357"/>
    </row>
    <row r="111" spans="32:60" ht="15.75">
      <c r="AF111" s="8"/>
      <c r="AG111" s="8"/>
      <c r="AH111" s="8"/>
      <c r="AI111" s="8"/>
      <c r="AQ111" s="380"/>
      <c r="AR111" s="1216"/>
      <c r="AS111" s="1354"/>
      <c r="AT111" s="1355"/>
      <c r="AU111" s="1346"/>
      <c r="AV111" s="220"/>
      <c r="AW111" s="1356"/>
      <c r="AX111" s="1178"/>
      <c r="AY111" s="220"/>
      <c r="AZ111" s="1357"/>
      <c r="BA111" s="1357"/>
      <c r="BB111" s="1357"/>
      <c r="BC111" s="220"/>
      <c r="BD111" s="1358"/>
      <c r="BE111" s="220"/>
      <c r="BF111" s="1357"/>
      <c r="BG111" s="220"/>
      <c r="BH111" s="1357"/>
    </row>
    <row r="112" spans="32:60" ht="15.75">
      <c r="AF112" s="8"/>
      <c r="AG112" s="8"/>
      <c r="AH112" s="8"/>
      <c r="AI112" s="8"/>
      <c r="AQ112" s="380"/>
      <c r="AR112" s="1216"/>
      <c r="AS112" s="1354"/>
      <c r="AT112" s="1355"/>
      <c r="AU112" s="1346"/>
      <c r="AV112" s="220"/>
      <c r="AW112" s="1356"/>
      <c r="AX112" s="1178"/>
      <c r="AY112" s="220"/>
      <c r="AZ112" s="1357"/>
      <c r="BA112" s="1357"/>
      <c r="BB112" s="1357"/>
      <c r="BC112" s="220"/>
      <c r="BD112" s="1358"/>
      <c r="BE112" s="220"/>
      <c r="BF112" s="1357"/>
      <c r="BG112" s="220"/>
      <c r="BH112" s="1357"/>
    </row>
    <row r="113" spans="32:60" ht="15.75">
      <c r="AF113" s="8"/>
      <c r="AG113" s="8"/>
      <c r="AH113" s="8"/>
      <c r="AI113" s="8"/>
      <c r="AQ113" s="380"/>
      <c r="AR113" s="1216"/>
      <c r="AS113" s="1354"/>
      <c r="AT113" s="1355"/>
      <c r="AU113" s="1346"/>
      <c r="AV113" s="220"/>
      <c r="AW113" s="1356"/>
      <c r="AX113" s="1178"/>
      <c r="AY113" s="220"/>
      <c r="AZ113" s="1357"/>
      <c r="BA113" s="1357"/>
      <c r="BB113" s="1357"/>
      <c r="BC113" s="220"/>
      <c r="BD113" s="1358"/>
      <c r="BE113" s="220"/>
      <c r="BF113" s="1357"/>
      <c r="BG113" s="220"/>
      <c r="BH113" s="1357"/>
    </row>
    <row r="114" spans="32:60" ht="15.75">
      <c r="AF114" s="8"/>
      <c r="AG114" s="8"/>
      <c r="AH114" s="8"/>
      <c r="AI114" s="8"/>
      <c r="AQ114" s="380"/>
      <c r="AR114" s="1216"/>
      <c r="AS114" s="1354"/>
      <c r="AT114" s="1355"/>
      <c r="AU114" s="1346"/>
      <c r="AV114" s="220"/>
      <c r="AW114" s="1356"/>
      <c r="AX114" s="1178"/>
      <c r="AY114" s="220"/>
      <c r="AZ114" s="1357"/>
      <c r="BA114" s="1357"/>
      <c r="BB114" s="1357"/>
      <c r="BC114" s="220"/>
      <c r="BD114" s="1358"/>
      <c r="BE114" s="220"/>
      <c r="BF114" s="1357"/>
      <c r="BG114" s="220"/>
      <c r="BH114" s="1357"/>
    </row>
    <row r="115" spans="32:60" ht="15.75">
      <c r="AF115" s="8"/>
      <c r="AG115" s="8"/>
      <c r="AH115" s="8"/>
      <c r="AI115" s="8"/>
      <c r="AQ115" s="380"/>
      <c r="AR115" s="1216"/>
      <c r="AS115" s="1354"/>
      <c r="AT115" s="1355"/>
      <c r="AU115" s="1346"/>
      <c r="AV115" s="220"/>
      <c r="AW115" s="1356"/>
      <c r="AX115" s="1178"/>
      <c r="AY115" s="220"/>
      <c r="AZ115" s="1357"/>
      <c r="BA115" s="1357"/>
      <c r="BB115" s="1357"/>
      <c r="BC115" s="220"/>
      <c r="BD115" s="1358"/>
      <c r="BE115" s="220"/>
      <c r="BF115" s="1357"/>
      <c r="BG115" s="220"/>
      <c r="BH115" s="1357"/>
    </row>
    <row r="116" spans="32:60" ht="15.75">
      <c r="AF116" s="8"/>
      <c r="AG116" s="8"/>
      <c r="AH116" s="8"/>
      <c r="AI116" s="8"/>
      <c r="AQ116" s="380"/>
      <c r="AR116" s="1216"/>
      <c r="AS116" s="1354"/>
      <c r="AT116" s="1355"/>
      <c r="AU116" s="1346"/>
      <c r="AV116" s="220"/>
      <c r="AW116" s="1356"/>
      <c r="AX116" s="1178"/>
      <c r="AY116" s="220"/>
      <c r="AZ116" s="1357"/>
      <c r="BA116" s="1357"/>
      <c r="BB116" s="1357"/>
      <c r="BC116" s="220"/>
      <c r="BD116" s="1358"/>
      <c r="BE116" s="220"/>
      <c r="BF116" s="1357"/>
      <c r="BG116" s="220"/>
      <c r="BH116" s="1357"/>
    </row>
    <row r="117" spans="32:60" ht="15.75">
      <c r="AF117" s="8"/>
      <c r="AG117" s="8"/>
      <c r="AH117" s="8"/>
      <c r="AI117" s="8"/>
      <c r="AQ117" s="380"/>
      <c r="AR117" s="1216"/>
      <c r="AS117" s="1354"/>
      <c r="AT117" s="1355"/>
      <c r="AU117" s="1346"/>
      <c r="AV117" s="220"/>
      <c r="AW117" s="1356"/>
      <c r="AX117" s="1178"/>
      <c r="AY117" s="220"/>
      <c r="AZ117" s="1357"/>
      <c r="BA117" s="1357"/>
      <c r="BB117" s="1357"/>
      <c r="BC117" s="220"/>
      <c r="BD117" s="1358"/>
      <c r="BE117" s="220"/>
      <c r="BF117" s="1357"/>
      <c r="BG117" s="220"/>
      <c r="BH117" s="1357"/>
    </row>
    <row r="118" spans="32:60" ht="15.75">
      <c r="AF118" s="8"/>
      <c r="AG118" s="8"/>
      <c r="AH118" s="8"/>
      <c r="AI118" s="8"/>
      <c r="AQ118" s="380"/>
      <c r="AR118" s="1216"/>
      <c r="AS118" s="1354"/>
      <c r="AT118" s="1355"/>
      <c r="AU118" s="1346"/>
      <c r="AV118" s="220"/>
      <c r="AW118" s="1356"/>
      <c r="AX118" s="1178"/>
      <c r="AY118" s="220"/>
      <c r="AZ118" s="1357"/>
      <c r="BA118" s="1357"/>
      <c r="BB118" s="1357"/>
      <c r="BC118" s="220"/>
      <c r="BD118" s="1358"/>
      <c r="BE118" s="220"/>
      <c r="BF118" s="1357"/>
      <c r="BG118" s="220"/>
      <c r="BH118" s="1357"/>
    </row>
    <row r="119" spans="32:60" ht="15.75">
      <c r="AF119" s="8"/>
      <c r="AG119" s="8"/>
      <c r="AH119" s="8"/>
      <c r="AI119" s="8"/>
      <c r="AQ119" s="380"/>
      <c r="AR119" s="1216"/>
      <c r="AS119" s="1354"/>
      <c r="AT119" s="1355"/>
      <c r="AU119" s="1346"/>
      <c r="AV119" s="220"/>
      <c r="AW119" s="1356"/>
      <c r="AX119" s="1178"/>
      <c r="AY119" s="220"/>
      <c r="AZ119" s="1357"/>
      <c r="BA119" s="1357"/>
      <c r="BB119" s="1357"/>
      <c r="BC119" s="220"/>
      <c r="BD119" s="1358"/>
      <c r="BE119" s="220"/>
      <c r="BF119" s="1357"/>
      <c r="BG119" s="220"/>
      <c r="BH119" s="1357"/>
    </row>
    <row r="120" spans="32:60" ht="15.75">
      <c r="AF120" s="8"/>
      <c r="AG120" s="8"/>
      <c r="AH120" s="8"/>
      <c r="AI120" s="8"/>
      <c r="AQ120" s="380"/>
      <c r="AR120" s="1216"/>
      <c r="AS120" s="1354"/>
      <c r="AT120" s="1355"/>
      <c r="AU120" s="1346"/>
      <c r="AV120" s="220"/>
      <c r="AW120" s="1356"/>
      <c r="AX120" s="1178"/>
      <c r="AY120" s="220"/>
      <c r="AZ120" s="1357"/>
      <c r="BA120" s="1357"/>
      <c r="BB120" s="1357"/>
      <c r="BC120" s="220"/>
      <c r="BD120" s="1358"/>
      <c r="BE120" s="220"/>
      <c r="BF120" s="1357"/>
      <c r="BG120" s="220"/>
      <c r="BH120" s="1357"/>
    </row>
    <row r="121" spans="32:60" ht="15.75">
      <c r="AF121" s="8"/>
      <c r="AG121" s="8"/>
      <c r="AH121" s="8"/>
      <c r="AI121" s="8"/>
      <c r="AQ121" s="380"/>
      <c r="AR121" s="1216"/>
      <c r="AS121" s="1354"/>
      <c r="AT121" s="1355"/>
      <c r="AU121" s="1346"/>
      <c r="AV121" s="220"/>
      <c r="AW121" s="1356"/>
      <c r="AX121" s="1178"/>
      <c r="AY121" s="220"/>
      <c r="AZ121" s="1357"/>
      <c r="BA121" s="1357"/>
      <c r="BB121" s="1357"/>
      <c r="BC121" s="220"/>
      <c r="BD121" s="1358"/>
      <c r="BE121" s="220"/>
      <c r="BF121" s="1357"/>
      <c r="BG121" s="220"/>
      <c r="BH121" s="1357"/>
    </row>
    <row r="122" spans="32:60" ht="15.75">
      <c r="AF122" s="8"/>
      <c r="AG122" s="8"/>
      <c r="AH122" s="8"/>
      <c r="AI122" s="8"/>
      <c r="AQ122" s="380"/>
      <c r="AR122" s="1216"/>
      <c r="AS122" s="1354"/>
      <c r="AT122" s="1355"/>
      <c r="AU122" s="1346"/>
      <c r="AV122" s="220"/>
      <c r="AW122" s="1356"/>
      <c r="AX122" s="1178"/>
      <c r="AY122" s="220"/>
      <c r="AZ122" s="1357"/>
      <c r="BA122" s="1357"/>
      <c r="BB122" s="1357"/>
      <c r="BC122" s="220"/>
      <c r="BD122" s="1358"/>
      <c r="BE122" s="220"/>
      <c r="BF122" s="1357"/>
      <c r="BG122" s="220"/>
      <c r="BH122" s="1357"/>
    </row>
    <row r="123" spans="32:60" ht="15.75">
      <c r="AF123" s="8"/>
      <c r="AG123" s="8"/>
      <c r="AH123" s="8"/>
      <c r="AI123" s="8"/>
      <c r="AQ123" s="380"/>
      <c r="AR123" s="1216"/>
      <c r="AS123" s="1354"/>
      <c r="AT123" s="1355"/>
      <c r="AU123" s="1346"/>
      <c r="AV123" s="220"/>
      <c r="AW123" s="1356"/>
      <c r="AX123" s="1178"/>
      <c r="AY123" s="220"/>
      <c r="AZ123" s="1357"/>
      <c r="BA123" s="1357"/>
      <c r="BB123" s="1357"/>
      <c r="BC123" s="220"/>
      <c r="BD123" s="1358"/>
      <c r="BE123" s="220"/>
      <c r="BF123" s="1357"/>
      <c r="BG123" s="220"/>
      <c r="BH123" s="1357"/>
    </row>
    <row r="124" spans="32:60" ht="15.75">
      <c r="AF124" s="8"/>
      <c r="AG124" s="8"/>
      <c r="AH124" s="8"/>
      <c r="AI124" s="8"/>
      <c r="AQ124" s="380"/>
      <c r="AR124" s="1216"/>
      <c r="AS124" s="1354"/>
      <c r="AT124" s="1355"/>
      <c r="AU124" s="1346"/>
      <c r="AV124" s="220"/>
      <c r="AW124" s="1356"/>
      <c r="AX124" s="1178"/>
      <c r="AY124" s="220"/>
      <c r="AZ124" s="1357"/>
      <c r="BA124" s="1357"/>
      <c r="BB124" s="1357"/>
      <c r="BC124" s="220"/>
      <c r="BD124" s="1358"/>
      <c r="BE124" s="220"/>
      <c r="BF124" s="1357"/>
      <c r="BG124" s="220"/>
      <c r="BH124" s="1357"/>
    </row>
    <row r="125" spans="32:60" ht="15.75">
      <c r="AF125" s="8"/>
      <c r="AG125" s="8"/>
      <c r="AH125" s="8"/>
      <c r="AI125" s="8"/>
      <c r="AQ125" s="380"/>
      <c r="AR125" s="1216"/>
      <c r="AS125" s="1354"/>
      <c r="AT125" s="1355"/>
      <c r="AU125" s="1346"/>
      <c r="AV125" s="220"/>
      <c r="AW125" s="1356"/>
      <c r="AX125" s="1178"/>
      <c r="AY125" s="220"/>
      <c r="AZ125" s="1357"/>
      <c r="BA125" s="1357"/>
      <c r="BB125" s="1357"/>
      <c r="BC125" s="220"/>
      <c r="BD125" s="1358"/>
      <c r="BE125" s="220"/>
      <c r="BF125" s="1357"/>
      <c r="BG125" s="220"/>
      <c r="BH125" s="1357"/>
    </row>
    <row r="126" spans="32:60" ht="15.75">
      <c r="AF126" s="8"/>
      <c r="AG126" s="8"/>
      <c r="AH126" s="8"/>
      <c r="AI126" s="8"/>
      <c r="AQ126" s="380"/>
      <c r="AR126" s="1216"/>
      <c r="AS126" s="1354"/>
      <c r="AT126" s="1355"/>
      <c r="AU126" s="1346"/>
      <c r="AV126" s="220"/>
      <c r="AW126" s="1356"/>
      <c r="AX126" s="1178"/>
      <c r="AY126" s="220"/>
      <c r="AZ126" s="1357"/>
      <c r="BA126" s="1357"/>
      <c r="BB126" s="1357"/>
      <c r="BC126" s="220"/>
      <c r="BD126" s="1358"/>
      <c r="BE126" s="220"/>
      <c r="BF126" s="1357"/>
      <c r="BG126" s="220"/>
      <c r="BH126" s="1357"/>
    </row>
    <row r="127" spans="32:60" ht="15.75">
      <c r="AF127" s="8"/>
      <c r="AG127" s="8"/>
      <c r="AH127" s="8"/>
      <c r="AI127" s="8"/>
      <c r="AQ127" s="380"/>
      <c r="AR127" s="1216"/>
      <c r="AS127" s="1354"/>
      <c r="AT127" s="1355"/>
      <c r="AU127" s="1346"/>
      <c r="AV127" s="220"/>
      <c r="AW127" s="1356"/>
      <c r="AX127" s="1178"/>
      <c r="AY127" s="220"/>
      <c r="AZ127" s="1357"/>
      <c r="BA127" s="1357"/>
      <c r="BB127" s="1357"/>
      <c r="BC127" s="220"/>
      <c r="BD127" s="1358"/>
      <c r="BE127" s="220"/>
      <c r="BF127" s="1357"/>
      <c r="BG127" s="220"/>
      <c r="BH127" s="1357"/>
    </row>
    <row r="128" spans="32:60" ht="15.75">
      <c r="AF128" s="8"/>
      <c r="AG128" s="8"/>
      <c r="AH128" s="8"/>
      <c r="AI128" s="8"/>
      <c r="AQ128" s="380"/>
      <c r="AR128" s="1216"/>
      <c r="AS128" s="1354"/>
      <c r="AT128" s="1355"/>
      <c r="AU128" s="1346"/>
      <c r="AV128" s="220"/>
      <c r="AW128" s="1356"/>
      <c r="AX128" s="1178"/>
      <c r="AY128" s="220"/>
      <c r="AZ128" s="1357"/>
      <c r="BA128" s="1357"/>
      <c r="BB128" s="1357"/>
      <c r="BC128" s="220"/>
      <c r="BD128" s="1358"/>
      <c r="BE128" s="220"/>
      <c r="BF128" s="1357"/>
      <c r="BG128" s="220"/>
      <c r="BH128" s="1357"/>
    </row>
    <row r="129" spans="32:60" ht="15.75">
      <c r="AF129" s="8"/>
      <c r="AG129" s="8"/>
      <c r="AH129" s="8"/>
      <c r="AI129" s="8"/>
      <c r="AQ129" s="380"/>
      <c r="AR129" s="1216"/>
      <c r="AS129" s="1354"/>
      <c r="AT129" s="1355"/>
      <c r="AU129" s="1346"/>
      <c r="AV129" s="220"/>
      <c r="AW129" s="1356"/>
      <c r="AX129" s="1178"/>
      <c r="AY129" s="220"/>
      <c r="AZ129" s="1357"/>
      <c r="BA129" s="1357"/>
      <c r="BB129" s="1357"/>
      <c r="BC129" s="220"/>
      <c r="BD129" s="1358"/>
      <c r="BE129" s="220"/>
      <c r="BF129" s="1357"/>
      <c r="BG129" s="220"/>
      <c r="BH129" s="1357"/>
    </row>
    <row r="130" spans="32:60" ht="15.75">
      <c r="AF130" s="8"/>
      <c r="AG130" s="8"/>
      <c r="AH130" s="8"/>
      <c r="AI130" s="8"/>
      <c r="AQ130" s="380"/>
      <c r="AR130" s="1216"/>
      <c r="AS130" s="1354"/>
      <c r="AT130" s="1355"/>
      <c r="AU130" s="1346"/>
      <c r="AV130" s="220"/>
      <c r="AW130" s="1356"/>
      <c r="AX130" s="1178"/>
      <c r="AY130" s="220"/>
      <c r="AZ130" s="1357"/>
      <c r="BA130" s="1357"/>
      <c r="BB130" s="1357"/>
      <c r="BC130" s="220"/>
      <c r="BD130" s="1358"/>
      <c r="BE130" s="220"/>
      <c r="BF130" s="1357"/>
      <c r="BG130" s="220"/>
      <c r="BH130" s="1357"/>
    </row>
    <row r="131" spans="32:60" ht="15.75">
      <c r="AF131" s="8"/>
      <c r="AG131" s="8"/>
      <c r="AH131" s="8"/>
      <c r="AI131" s="8"/>
      <c r="AQ131" s="380"/>
      <c r="AR131" s="1216"/>
      <c r="AS131" s="1354"/>
      <c r="AT131" s="1355"/>
      <c r="AU131" s="1346"/>
      <c r="AV131" s="220"/>
      <c r="AW131" s="1356"/>
      <c r="AX131" s="1178"/>
      <c r="AY131" s="220"/>
      <c r="AZ131" s="1357"/>
      <c r="BA131" s="1357"/>
      <c r="BB131" s="1357"/>
      <c r="BC131" s="220"/>
      <c r="BD131" s="1358"/>
      <c r="BE131" s="220"/>
      <c r="BF131" s="1357"/>
      <c r="BG131" s="220"/>
      <c r="BH131" s="1357"/>
    </row>
    <row r="132" spans="32:60" ht="15.75">
      <c r="AQ132" s="380"/>
      <c r="AR132" s="1216"/>
      <c r="AS132" s="1354"/>
      <c r="AT132" s="1355"/>
      <c r="AU132" s="1346"/>
      <c r="AV132" s="220"/>
      <c r="AW132" s="1356"/>
      <c r="AX132" s="1178"/>
      <c r="AY132" s="220"/>
      <c r="AZ132" s="1357"/>
      <c r="BA132" s="1357"/>
      <c r="BB132" s="1357"/>
      <c r="BC132" s="220"/>
      <c r="BD132" s="1358"/>
      <c r="BE132" s="220"/>
      <c r="BF132" s="1357"/>
      <c r="BG132" s="220"/>
      <c r="BH132" s="1357"/>
    </row>
    <row r="133" spans="32:60" ht="15.75">
      <c r="AQ133" s="380"/>
      <c r="AR133" s="1216"/>
      <c r="AS133" s="1354"/>
      <c r="AT133" s="1355"/>
      <c r="AU133" s="1346"/>
      <c r="AV133" s="220"/>
      <c r="AW133" s="1356"/>
      <c r="AX133" s="1178"/>
      <c r="AY133" s="220"/>
      <c r="AZ133" s="1357"/>
      <c r="BA133" s="1357"/>
      <c r="BB133" s="1357"/>
      <c r="BC133" s="220"/>
      <c r="BD133" s="1358"/>
      <c r="BE133" s="220"/>
      <c r="BF133" s="1357"/>
      <c r="BG133" s="220"/>
      <c r="BH133" s="1357"/>
    </row>
    <row r="134" spans="32:60" ht="15.75">
      <c r="AQ134" s="380"/>
      <c r="AR134" s="1216"/>
      <c r="AS134" s="1354"/>
      <c r="AT134" s="1355"/>
      <c r="AU134" s="1346"/>
      <c r="AV134" s="220"/>
      <c r="AW134" s="1356"/>
      <c r="AX134" s="1178"/>
      <c r="AY134" s="220"/>
      <c r="AZ134" s="1357"/>
      <c r="BA134" s="1357"/>
      <c r="BB134" s="1357"/>
      <c r="BC134" s="220"/>
      <c r="BD134" s="1358"/>
      <c r="BE134" s="220"/>
      <c r="BF134" s="1357"/>
      <c r="BG134" s="220"/>
      <c r="BH134" s="1357"/>
    </row>
    <row r="135" spans="32:60" ht="15.75">
      <c r="AQ135" s="380"/>
      <c r="AR135" s="1216"/>
      <c r="AS135" s="1354"/>
      <c r="AT135" s="1355"/>
      <c r="AU135" s="1346"/>
      <c r="AV135" s="220"/>
      <c r="AW135" s="1356"/>
      <c r="AX135" s="1178"/>
      <c r="AY135" s="220"/>
      <c r="AZ135" s="1357"/>
      <c r="BA135" s="1357"/>
      <c r="BB135" s="1357"/>
      <c r="BC135" s="220"/>
      <c r="BD135" s="1358"/>
      <c r="BE135" s="220"/>
      <c r="BF135" s="1357"/>
      <c r="BG135" s="220"/>
      <c r="BH135" s="1357"/>
    </row>
    <row r="136" spans="32:60" ht="15.75">
      <c r="AQ136" s="380"/>
      <c r="AR136" s="1216"/>
      <c r="AS136" s="1354"/>
      <c r="AT136" s="1355"/>
      <c r="AU136" s="1346"/>
      <c r="AV136" s="220"/>
      <c r="AW136" s="1356"/>
      <c r="AX136" s="1178"/>
      <c r="AY136" s="220"/>
      <c r="AZ136" s="1357"/>
      <c r="BA136" s="1357"/>
      <c r="BB136" s="1357"/>
      <c r="BC136" s="220"/>
      <c r="BD136" s="1358"/>
      <c r="BE136" s="220"/>
      <c r="BF136" s="1357"/>
      <c r="BG136" s="220"/>
      <c r="BH136" s="1357"/>
    </row>
    <row r="137" spans="32:60" ht="15.75">
      <c r="AQ137" s="380"/>
      <c r="AR137" s="1216"/>
      <c r="AS137" s="1354"/>
      <c r="AT137" s="1355"/>
      <c r="AU137" s="1346"/>
      <c r="AV137" s="220"/>
      <c r="AW137" s="1356"/>
      <c r="AX137" s="1178"/>
      <c r="AY137" s="220"/>
      <c r="AZ137" s="1357"/>
      <c r="BA137" s="1357"/>
      <c r="BB137" s="1357"/>
      <c r="BC137" s="220"/>
      <c r="BD137" s="1358"/>
      <c r="BE137" s="220"/>
      <c r="BF137" s="1357"/>
      <c r="BG137" s="220"/>
      <c r="BH137" s="1357"/>
    </row>
    <row r="138" spans="32:60" ht="15.75">
      <c r="AQ138" s="380"/>
      <c r="AR138" s="1216"/>
      <c r="AS138" s="1354"/>
      <c r="AT138" s="1355"/>
      <c r="AU138" s="1346"/>
      <c r="AV138" s="220"/>
      <c r="AW138" s="1356"/>
      <c r="AX138" s="1178"/>
      <c r="AY138" s="220"/>
      <c r="AZ138" s="1357"/>
      <c r="BA138" s="1357"/>
      <c r="BB138" s="1357"/>
      <c r="BC138" s="220"/>
      <c r="BD138" s="1358"/>
      <c r="BE138" s="220"/>
      <c r="BF138" s="1357"/>
      <c r="BG138" s="220"/>
      <c r="BH138" s="1357"/>
    </row>
    <row r="139" spans="32:60" ht="15.75">
      <c r="AQ139" s="380"/>
      <c r="AR139" s="1216"/>
      <c r="AS139" s="1354"/>
      <c r="AT139" s="1355"/>
      <c r="AU139" s="1346"/>
      <c r="AV139" s="220"/>
      <c r="AW139" s="1356"/>
      <c r="AX139" s="1178"/>
      <c r="AY139" s="220"/>
      <c r="AZ139" s="1357"/>
      <c r="BA139" s="1357"/>
      <c r="BB139" s="1357"/>
      <c r="BC139" s="220"/>
      <c r="BD139" s="1358"/>
      <c r="BE139" s="220"/>
      <c r="BF139" s="1357"/>
      <c r="BG139" s="220"/>
      <c r="BH139" s="1357"/>
    </row>
    <row r="140" spans="32:60" ht="15.75">
      <c r="AQ140" s="380"/>
      <c r="AR140" s="1216"/>
      <c r="AS140" s="1354"/>
      <c r="AT140" s="1355"/>
      <c r="AU140" s="1346"/>
      <c r="AV140" s="220"/>
      <c r="AW140" s="1356"/>
      <c r="AX140" s="1178"/>
      <c r="AY140" s="220"/>
      <c r="AZ140" s="1357"/>
      <c r="BA140" s="1357"/>
      <c r="BB140" s="1357"/>
      <c r="BC140" s="220"/>
      <c r="BD140" s="1358"/>
      <c r="BE140" s="220"/>
      <c r="BF140" s="1357"/>
      <c r="BG140" s="220"/>
      <c r="BH140" s="1357"/>
    </row>
    <row r="141" spans="32:60" ht="15.75">
      <c r="AQ141" s="380"/>
      <c r="AR141" s="1216"/>
      <c r="AS141" s="1354"/>
      <c r="AT141" s="1355"/>
      <c r="AU141" s="1346"/>
      <c r="AV141" s="220"/>
      <c r="AW141" s="1356"/>
      <c r="AX141" s="1178"/>
      <c r="AY141" s="220"/>
      <c r="AZ141" s="1357"/>
      <c r="BA141" s="1357"/>
      <c r="BB141" s="1357"/>
      <c r="BC141" s="220"/>
      <c r="BD141" s="1358"/>
      <c r="BE141" s="220"/>
      <c r="BF141" s="1357"/>
      <c r="BG141" s="220"/>
      <c r="BH141" s="1357"/>
    </row>
    <row r="142" spans="32:60" ht="15.75">
      <c r="AQ142" s="380"/>
      <c r="AR142" s="1216"/>
      <c r="AS142" s="1354"/>
      <c r="AT142" s="1355"/>
      <c r="AU142" s="1346"/>
      <c r="AV142" s="220"/>
      <c r="AW142" s="1356"/>
      <c r="AX142" s="1178"/>
      <c r="AY142" s="220"/>
      <c r="AZ142" s="1357"/>
      <c r="BA142" s="1357"/>
      <c r="BB142" s="1357"/>
      <c r="BC142" s="220"/>
      <c r="BD142" s="1358"/>
      <c r="BE142" s="220"/>
      <c r="BF142" s="1357"/>
      <c r="BG142" s="220"/>
      <c r="BH142" s="1357"/>
    </row>
    <row r="143" spans="32:60" ht="15.75">
      <c r="AQ143" s="380"/>
      <c r="AR143" s="1216"/>
      <c r="AS143" s="1354"/>
      <c r="AT143" s="1355"/>
      <c r="AU143" s="1346"/>
      <c r="AV143" s="220"/>
      <c r="AW143" s="1356"/>
      <c r="AX143" s="1178"/>
      <c r="AY143" s="220"/>
      <c r="AZ143" s="1357"/>
      <c r="BA143" s="1357"/>
      <c r="BB143" s="1357"/>
      <c r="BC143" s="220"/>
      <c r="BD143" s="1358"/>
      <c r="BE143" s="220"/>
      <c r="BF143" s="1357"/>
      <c r="BG143" s="220"/>
      <c r="BH143" s="1357"/>
    </row>
    <row r="144" spans="32:60" ht="15.75">
      <c r="AQ144" s="380"/>
      <c r="AR144" s="1216"/>
      <c r="AS144" s="1354"/>
      <c r="AT144" s="1355"/>
      <c r="AU144" s="1346"/>
      <c r="AV144" s="220"/>
      <c r="AW144" s="1356"/>
      <c r="AX144" s="1178"/>
      <c r="AY144" s="220"/>
      <c r="AZ144" s="1357"/>
      <c r="BA144" s="1357"/>
      <c r="BB144" s="1357"/>
      <c r="BC144" s="220"/>
      <c r="BD144" s="1358"/>
      <c r="BE144" s="220"/>
      <c r="BF144" s="1357"/>
      <c r="BG144" s="220"/>
      <c r="BH144" s="1357"/>
    </row>
    <row r="145" spans="43:60" ht="15.75">
      <c r="AQ145" s="380"/>
      <c r="AR145" s="1216"/>
      <c r="AS145" s="1354"/>
      <c r="AT145" s="1355"/>
      <c r="AU145" s="1346"/>
      <c r="AV145" s="220"/>
      <c r="AW145" s="1356"/>
      <c r="AX145" s="1178"/>
      <c r="AY145" s="220"/>
      <c r="AZ145" s="1357"/>
      <c r="BA145" s="1357"/>
      <c r="BB145" s="1357"/>
      <c r="BC145" s="220"/>
      <c r="BD145" s="1358"/>
      <c r="BE145" s="220"/>
      <c r="BF145" s="1357"/>
      <c r="BG145" s="220"/>
      <c r="BH145" s="1357"/>
    </row>
    <row r="146" spans="43:60" ht="15.75">
      <c r="AQ146" s="380"/>
      <c r="AR146" s="1216"/>
      <c r="AS146" s="1354"/>
      <c r="AT146" s="1355"/>
      <c r="AU146" s="1346"/>
      <c r="AV146" s="220"/>
      <c r="AW146" s="1356"/>
      <c r="AX146" s="1178"/>
      <c r="AY146" s="220"/>
      <c r="AZ146" s="1357"/>
      <c r="BA146" s="1357"/>
      <c r="BB146" s="1357"/>
      <c r="BC146" s="220"/>
      <c r="BD146" s="1358"/>
      <c r="BE146" s="220"/>
      <c r="BF146" s="1357"/>
      <c r="BG146" s="220"/>
      <c r="BH146" s="1357"/>
    </row>
    <row r="147" spans="43:60" ht="15.75">
      <c r="AQ147" s="380"/>
      <c r="AR147" s="1216"/>
      <c r="AS147" s="1354"/>
      <c r="AT147" s="1355"/>
      <c r="AU147" s="1346"/>
      <c r="AV147" s="220"/>
      <c r="AW147" s="1356"/>
      <c r="AX147" s="1178"/>
      <c r="AY147" s="220"/>
      <c r="AZ147" s="1357"/>
      <c r="BA147" s="1357"/>
      <c r="BB147" s="1357"/>
      <c r="BC147" s="220"/>
      <c r="BD147" s="1358"/>
      <c r="BE147" s="220"/>
      <c r="BF147" s="1357"/>
      <c r="BG147" s="220"/>
      <c r="BH147" s="1357"/>
    </row>
    <row r="148" spans="43:60" ht="15.75">
      <c r="AQ148" s="380"/>
      <c r="AR148" s="1216"/>
      <c r="AS148" s="1354"/>
      <c r="AT148" s="1355"/>
      <c r="AU148" s="1346"/>
      <c r="AV148" s="220"/>
      <c r="AW148" s="1356"/>
      <c r="AX148" s="1178"/>
      <c r="AY148" s="220"/>
      <c r="AZ148" s="1357"/>
      <c r="BA148" s="1357"/>
      <c r="BB148" s="1357"/>
      <c r="BC148" s="220"/>
      <c r="BD148" s="1358"/>
      <c r="BE148" s="220"/>
      <c r="BF148" s="1357"/>
      <c r="BG148" s="220"/>
      <c r="BH148" s="1357"/>
    </row>
    <row r="149" spans="43:60" ht="15.75">
      <c r="AQ149" s="380"/>
      <c r="AR149" s="1216"/>
      <c r="AS149" s="1354"/>
      <c r="AT149" s="1355"/>
      <c r="AU149" s="1346"/>
      <c r="AV149" s="220"/>
      <c r="AW149" s="1356"/>
      <c r="AX149" s="1178"/>
      <c r="AY149" s="220"/>
      <c r="AZ149" s="1357"/>
      <c r="BA149" s="1357"/>
      <c r="BB149" s="1357"/>
      <c r="BC149" s="220"/>
      <c r="BD149" s="1358"/>
      <c r="BE149" s="220"/>
      <c r="BF149" s="1357"/>
      <c r="BG149" s="220"/>
      <c r="BH149" s="1357"/>
    </row>
    <row r="150" spans="43:60" ht="15.75">
      <c r="AQ150" s="380"/>
      <c r="AR150" s="1216"/>
      <c r="AS150" s="1354"/>
      <c r="AT150" s="1355"/>
      <c r="AU150" s="1346"/>
      <c r="AV150" s="220"/>
      <c r="AW150" s="1356"/>
      <c r="AX150" s="1178"/>
      <c r="AY150" s="220"/>
      <c r="AZ150" s="1357"/>
      <c r="BA150" s="1357"/>
      <c r="BB150" s="1357"/>
      <c r="BC150" s="220"/>
      <c r="BD150" s="1358"/>
      <c r="BE150" s="220"/>
      <c r="BF150" s="1357"/>
      <c r="BG150" s="220"/>
      <c r="BH150" s="1357"/>
    </row>
    <row r="151" spans="43:60" ht="15.75">
      <c r="AQ151" s="380"/>
      <c r="AR151" s="1216"/>
      <c r="AS151" s="1354"/>
      <c r="AT151" s="1355"/>
      <c r="AU151" s="1346"/>
      <c r="AV151" s="220"/>
      <c r="AW151" s="1356"/>
      <c r="AX151" s="1178"/>
      <c r="AY151" s="220"/>
      <c r="AZ151" s="1357"/>
      <c r="BA151" s="1357"/>
      <c r="BB151" s="1357"/>
      <c r="BC151" s="220"/>
      <c r="BD151" s="1358"/>
      <c r="BE151" s="220"/>
      <c r="BF151" s="1357"/>
      <c r="BG151" s="220"/>
      <c r="BH151" s="1357"/>
    </row>
    <row r="152" spans="43:60" ht="15.75">
      <c r="AQ152" s="380"/>
      <c r="AR152" s="1216"/>
      <c r="AS152" s="1354"/>
      <c r="AT152" s="1355"/>
      <c r="AU152" s="1346"/>
      <c r="AV152" s="220"/>
      <c r="AW152" s="1356"/>
      <c r="AX152" s="1178"/>
      <c r="AY152" s="220"/>
      <c r="AZ152" s="1357"/>
      <c r="BA152" s="1357"/>
      <c r="BB152" s="1357"/>
      <c r="BC152" s="220"/>
      <c r="BD152" s="1358"/>
      <c r="BE152" s="220"/>
      <c r="BF152" s="1357"/>
      <c r="BG152" s="220"/>
      <c r="BH152" s="1357"/>
    </row>
    <row r="153" spans="43:60" ht="15.75">
      <c r="AQ153" s="380"/>
      <c r="AR153" s="1216"/>
      <c r="AS153" s="1354"/>
      <c r="AT153" s="1355"/>
      <c r="AU153" s="1346"/>
      <c r="AV153" s="220"/>
      <c r="AW153" s="1356"/>
      <c r="AX153" s="1178"/>
      <c r="AY153" s="220"/>
      <c r="AZ153" s="1357"/>
      <c r="BA153" s="1357"/>
      <c r="BB153" s="1357"/>
      <c r="BC153" s="220"/>
      <c r="BD153" s="1358"/>
      <c r="BE153" s="220"/>
      <c r="BF153" s="1357"/>
      <c r="BG153" s="220"/>
      <c r="BH153" s="1357"/>
    </row>
    <row r="154" spans="43:60" ht="15.75">
      <c r="AQ154" s="380"/>
      <c r="AR154" s="1216"/>
      <c r="AS154" s="1354"/>
      <c r="AT154" s="1355"/>
      <c r="AU154" s="1346"/>
      <c r="AV154" s="220"/>
      <c r="AW154" s="1356"/>
      <c r="AX154" s="1178"/>
      <c r="AY154" s="220"/>
      <c r="AZ154" s="1357"/>
      <c r="BA154" s="1357"/>
      <c r="BB154" s="1357"/>
      <c r="BC154" s="220"/>
      <c r="BD154" s="1358"/>
      <c r="BE154" s="220"/>
      <c r="BF154" s="1357"/>
      <c r="BG154" s="220"/>
      <c r="BH154" s="1357"/>
    </row>
    <row r="155" spans="43:60" ht="15.75">
      <c r="AQ155" s="380"/>
      <c r="AR155" s="1216"/>
      <c r="AS155" s="1354"/>
      <c r="AT155" s="1355"/>
      <c r="AU155" s="1346"/>
      <c r="AV155" s="220"/>
      <c r="AW155" s="1356"/>
      <c r="AX155" s="1178"/>
      <c r="AY155" s="220"/>
      <c r="AZ155" s="1357"/>
      <c r="BA155" s="1357"/>
      <c r="BB155" s="1357"/>
      <c r="BC155" s="220"/>
      <c r="BD155" s="1358"/>
      <c r="BE155" s="220"/>
      <c r="BF155" s="1357"/>
      <c r="BG155" s="220"/>
      <c r="BH155" s="1357"/>
    </row>
    <row r="156" spans="43:60" ht="15.75">
      <c r="AQ156" s="380"/>
      <c r="AR156" s="1216"/>
      <c r="AS156" s="1354"/>
      <c r="AT156" s="1355"/>
      <c r="AU156" s="1346"/>
      <c r="AV156" s="220"/>
      <c r="AW156" s="1356"/>
      <c r="AX156" s="1178"/>
      <c r="AY156" s="220"/>
      <c r="AZ156" s="1357"/>
      <c r="BA156" s="1357"/>
      <c r="BB156" s="1357"/>
      <c r="BC156" s="220"/>
      <c r="BD156" s="1358"/>
      <c r="BE156" s="220"/>
      <c r="BF156" s="1357"/>
      <c r="BG156" s="220"/>
      <c r="BH156" s="1357"/>
    </row>
    <row r="157" spans="43:60" ht="15.75">
      <c r="AQ157" s="380"/>
      <c r="AR157" s="1216"/>
      <c r="AS157" s="1354"/>
      <c r="AT157" s="1355"/>
      <c r="AU157" s="1346"/>
      <c r="AV157" s="220"/>
      <c r="AW157" s="1356"/>
      <c r="AX157" s="1178"/>
      <c r="AY157" s="220"/>
      <c r="AZ157" s="1357"/>
      <c r="BA157" s="1357"/>
      <c r="BB157" s="1357"/>
      <c r="BC157" s="220"/>
      <c r="BD157" s="1358"/>
      <c r="BE157" s="220"/>
      <c r="BF157" s="1357"/>
      <c r="BG157" s="220"/>
      <c r="BH157" s="1357"/>
    </row>
    <row r="158" spans="43:60" ht="15.75">
      <c r="AQ158" s="380"/>
      <c r="AR158" s="1216"/>
      <c r="AS158" s="1354"/>
      <c r="AT158" s="1355"/>
      <c r="AU158" s="1346"/>
      <c r="AV158" s="220"/>
      <c r="AW158" s="1356"/>
      <c r="AX158" s="1178"/>
      <c r="AY158" s="220"/>
      <c r="AZ158" s="1357"/>
      <c r="BA158" s="1357"/>
      <c r="BB158" s="1357"/>
      <c r="BC158" s="220"/>
      <c r="BD158" s="1358"/>
      <c r="BE158" s="220"/>
      <c r="BF158" s="1357"/>
      <c r="BG158" s="220"/>
      <c r="BH158" s="1357"/>
    </row>
    <row r="159" spans="43:60" ht="15.75">
      <c r="AQ159" s="380"/>
      <c r="AR159" s="1216"/>
      <c r="AS159" s="1354"/>
      <c r="AT159" s="1355"/>
      <c r="AU159" s="1346"/>
      <c r="AV159" s="220"/>
      <c r="AW159" s="1356"/>
      <c r="AX159" s="1178"/>
      <c r="AY159" s="220"/>
      <c r="AZ159" s="1357"/>
      <c r="BA159" s="1357"/>
      <c r="BB159" s="1357"/>
      <c r="BC159" s="220"/>
      <c r="BD159" s="1358"/>
      <c r="BE159" s="220"/>
      <c r="BF159" s="1357"/>
      <c r="BG159" s="220"/>
      <c r="BH159" s="1357"/>
    </row>
    <row r="160" spans="43:60" ht="15.75">
      <c r="AQ160" s="380"/>
      <c r="AR160" s="1216"/>
      <c r="AS160" s="1354"/>
      <c r="AT160" s="1355"/>
      <c r="AU160" s="1346"/>
      <c r="AV160" s="220"/>
      <c r="AW160" s="1356"/>
      <c r="AX160" s="1178"/>
      <c r="AY160" s="220"/>
      <c r="AZ160" s="1357"/>
      <c r="BA160" s="1357"/>
      <c r="BB160" s="1357"/>
      <c r="BC160" s="220"/>
      <c r="BD160" s="1358"/>
      <c r="BE160" s="220"/>
      <c r="BF160" s="1357"/>
      <c r="BG160" s="220"/>
      <c r="BH160" s="1357"/>
    </row>
    <row r="161" spans="43:60" ht="15.75">
      <c r="AQ161" s="380"/>
      <c r="AR161" s="1216"/>
      <c r="AS161" s="1354"/>
      <c r="AT161" s="1355"/>
      <c r="AU161" s="1346"/>
      <c r="AV161" s="220"/>
      <c r="AW161" s="1356"/>
      <c r="AX161" s="1178"/>
      <c r="AY161" s="220"/>
      <c r="AZ161" s="1357"/>
      <c r="BA161" s="1357"/>
      <c r="BB161" s="1357"/>
      <c r="BC161" s="220"/>
      <c r="BD161" s="1358"/>
      <c r="BE161" s="220"/>
      <c r="BF161" s="1357"/>
      <c r="BG161" s="220"/>
      <c r="BH161" s="1357"/>
    </row>
    <row r="162" spans="43:60" ht="15.75">
      <c r="AQ162" s="380"/>
      <c r="AR162" s="1216"/>
      <c r="AS162" s="1354"/>
      <c r="AT162" s="1355"/>
      <c r="AU162" s="1346"/>
      <c r="AV162" s="220"/>
      <c r="AW162" s="1356"/>
      <c r="AX162" s="1178"/>
      <c r="AY162" s="220"/>
      <c r="AZ162" s="1357"/>
      <c r="BA162" s="1357"/>
      <c r="BB162" s="1357"/>
      <c r="BC162" s="220"/>
      <c r="BD162" s="1358"/>
      <c r="BE162" s="220"/>
      <c r="BF162" s="1357"/>
      <c r="BG162" s="220"/>
      <c r="BH162" s="1357"/>
    </row>
    <row r="163" spans="43:60" ht="15.75">
      <c r="AQ163" s="380"/>
      <c r="AR163" s="1216"/>
      <c r="AS163" s="1354"/>
      <c r="AT163" s="1355"/>
      <c r="AU163" s="1346"/>
      <c r="AV163" s="220"/>
      <c r="AW163" s="1356"/>
      <c r="AX163" s="1178"/>
      <c r="AY163" s="220"/>
      <c r="AZ163" s="1357"/>
      <c r="BA163" s="1357"/>
      <c r="BB163" s="1357"/>
      <c r="BC163" s="220"/>
      <c r="BD163" s="1358"/>
      <c r="BE163" s="220"/>
      <c r="BF163" s="1357"/>
      <c r="BG163" s="220"/>
      <c r="BH163" s="1357"/>
    </row>
    <row r="164" spans="43:60" ht="15.75">
      <c r="AQ164" s="380"/>
      <c r="AR164" s="1216"/>
      <c r="AS164" s="1354"/>
      <c r="AT164" s="1355"/>
      <c r="AU164" s="1346"/>
      <c r="AV164" s="220"/>
      <c r="AW164" s="1356"/>
      <c r="AX164" s="1178"/>
      <c r="AY164" s="220"/>
      <c r="AZ164" s="1357"/>
      <c r="BA164" s="1357"/>
      <c r="BB164" s="1357"/>
      <c r="BC164" s="220"/>
      <c r="BD164" s="1358"/>
      <c r="BE164" s="220"/>
      <c r="BF164" s="1357"/>
      <c r="BG164" s="220"/>
      <c r="BH164" s="1357"/>
    </row>
    <row r="165" spans="43:60" ht="15.75">
      <c r="AQ165" s="380"/>
      <c r="AR165" s="1216"/>
      <c r="AS165" s="1354"/>
      <c r="AT165" s="1355"/>
      <c r="AU165" s="1346"/>
      <c r="AV165" s="220"/>
      <c r="AW165" s="1356"/>
      <c r="AX165" s="1178"/>
      <c r="AY165" s="220"/>
      <c r="AZ165" s="1357"/>
      <c r="BA165" s="1357"/>
      <c r="BB165" s="1357"/>
      <c r="BC165" s="220"/>
      <c r="BD165" s="1358"/>
      <c r="BE165" s="220"/>
      <c r="BF165" s="1357"/>
      <c r="BG165" s="220"/>
      <c r="BH165" s="1357"/>
    </row>
    <row r="166" spans="43:60" ht="15.75">
      <c r="AQ166" s="380"/>
      <c r="AR166" s="1216"/>
      <c r="AS166" s="1354"/>
      <c r="AT166" s="1355"/>
      <c r="AU166" s="1346"/>
      <c r="AV166" s="220"/>
      <c r="AW166" s="1356"/>
      <c r="AX166" s="1178"/>
      <c r="AY166" s="220"/>
      <c r="AZ166" s="1357"/>
      <c r="BA166" s="1357"/>
      <c r="BB166" s="1357"/>
      <c r="BC166" s="220"/>
      <c r="BD166" s="1358"/>
      <c r="BE166" s="220"/>
      <c r="BF166" s="1357"/>
      <c r="BG166" s="220"/>
      <c r="BH166" s="1357"/>
    </row>
    <row r="167" spans="43:60" ht="15.75">
      <c r="AQ167" s="380"/>
      <c r="AR167" s="1216"/>
      <c r="AS167" s="1354"/>
      <c r="AT167" s="1355"/>
      <c r="AU167" s="1346"/>
      <c r="AV167" s="220"/>
      <c r="AW167" s="1356"/>
      <c r="AX167" s="1178"/>
      <c r="AY167" s="220"/>
      <c r="AZ167" s="1357"/>
      <c r="BA167" s="1357"/>
      <c r="BB167" s="1357"/>
      <c r="BC167" s="220"/>
      <c r="BD167" s="1358"/>
      <c r="BE167" s="220"/>
      <c r="BF167" s="1357"/>
      <c r="BG167" s="220"/>
      <c r="BH167" s="1357"/>
    </row>
    <row r="168" spans="43:60" ht="15.75">
      <c r="AQ168" s="380"/>
      <c r="AR168" s="1216"/>
      <c r="AS168" s="1354"/>
      <c r="AT168" s="1355"/>
      <c r="AU168" s="1346"/>
      <c r="AV168" s="220"/>
      <c r="AW168" s="1356"/>
      <c r="AX168" s="1178"/>
      <c r="AY168" s="220"/>
      <c r="AZ168" s="1357"/>
      <c r="BA168" s="1357"/>
      <c r="BB168" s="1357"/>
      <c r="BC168" s="220"/>
      <c r="BD168" s="1358"/>
      <c r="BE168" s="220"/>
      <c r="BF168" s="1357"/>
      <c r="BG168" s="220"/>
      <c r="BH168" s="1357"/>
    </row>
    <row r="169" spans="43:60" ht="15.75">
      <c r="AQ169" s="380"/>
      <c r="AR169" s="1216"/>
      <c r="AS169" s="1354"/>
      <c r="AT169" s="1355"/>
      <c r="AU169" s="1346"/>
      <c r="AV169" s="220"/>
      <c r="AW169" s="1356"/>
      <c r="AX169" s="1178"/>
      <c r="AY169" s="220"/>
      <c r="AZ169" s="1357"/>
      <c r="BA169" s="1357"/>
      <c r="BB169" s="1357"/>
      <c r="BC169" s="220"/>
      <c r="BD169" s="1358"/>
      <c r="BE169" s="220"/>
      <c r="BF169" s="1357"/>
      <c r="BG169" s="220"/>
      <c r="BH169" s="1357"/>
    </row>
    <row r="170" spans="43:60" ht="15.75">
      <c r="AQ170" s="380"/>
      <c r="AR170" s="1216"/>
      <c r="AS170" s="1354"/>
      <c r="AT170" s="1355"/>
      <c r="AU170" s="1346"/>
      <c r="AV170" s="220"/>
      <c r="AW170" s="1356"/>
      <c r="AX170" s="1178"/>
      <c r="AY170" s="220"/>
      <c r="AZ170" s="1357"/>
      <c r="BA170" s="1357"/>
      <c r="BB170" s="1357"/>
      <c r="BC170" s="220"/>
      <c r="BD170" s="1358"/>
      <c r="BE170" s="220"/>
      <c r="BF170" s="1357"/>
      <c r="BG170" s="220"/>
      <c r="BH170" s="1357"/>
    </row>
    <row r="171" spans="43:60" ht="15.75">
      <c r="AQ171" s="380"/>
      <c r="AR171" s="1216"/>
      <c r="AS171" s="1354"/>
      <c r="AT171" s="1355"/>
      <c r="AU171" s="1346"/>
      <c r="AV171" s="220"/>
      <c r="AW171" s="1356"/>
      <c r="AX171" s="1178"/>
      <c r="AY171" s="220"/>
      <c r="AZ171" s="1357"/>
      <c r="BA171" s="1357"/>
      <c r="BB171" s="1357"/>
      <c r="BC171" s="220"/>
      <c r="BD171" s="1358"/>
      <c r="BE171" s="220"/>
      <c r="BF171" s="1357"/>
      <c r="BG171" s="220"/>
      <c r="BH171" s="1357"/>
    </row>
    <row r="172" spans="43:60" ht="15.75">
      <c r="AQ172" s="380"/>
      <c r="AR172" s="1216"/>
      <c r="AS172" s="1354"/>
      <c r="AT172" s="1355"/>
      <c r="AU172" s="1346"/>
      <c r="AV172" s="220"/>
      <c r="AW172" s="1356"/>
      <c r="AX172" s="1178"/>
      <c r="AY172" s="220"/>
      <c r="AZ172" s="1357"/>
      <c r="BA172" s="1357"/>
      <c r="BB172" s="1357"/>
      <c r="BC172" s="220"/>
      <c r="BD172" s="1358"/>
      <c r="BE172" s="220"/>
      <c r="BF172" s="1357"/>
      <c r="BG172" s="220"/>
      <c r="BH172" s="1357"/>
    </row>
    <row r="173" spans="43:60" ht="15.75">
      <c r="AQ173" s="380"/>
      <c r="AR173" s="1216"/>
      <c r="AS173" s="1354"/>
      <c r="AT173" s="1355"/>
      <c r="AU173" s="1346"/>
      <c r="AV173" s="220"/>
      <c r="AW173" s="1356"/>
      <c r="AX173" s="1178"/>
      <c r="AY173" s="220"/>
      <c r="AZ173" s="1357"/>
      <c r="BA173" s="1357"/>
      <c r="BB173" s="1357"/>
      <c r="BC173" s="220"/>
      <c r="BD173" s="1358"/>
      <c r="BE173" s="220"/>
      <c r="BF173" s="1357"/>
      <c r="BG173" s="220"/>
      <c r="BH173" s="1357"/>
    </row>
    <row r="174" spans="43:60" ht="15.75">
      <c r="AQ174" s="380"/>
      <c r="AR174" s="1216"/>
      <c r="AS174" s="1354"/>
      <c r="AT174" s="1355"/>
      <c r="AU174" s="1346"/>
      <c r="AV174" s="220"/>
      <c r="AW174" s="1356"/>
      <c r="AX174" s="1178"/>
      <c r="AY174" s="220"/>
      <c r="AZ174" s="1357"/>
      <c r="BA174" s="1357"/>
      <c r="BB174" s="1357"/>
      <c r="BC174" s="220"/>
      <c r="BD174" s="1358"/>
      <c r="BE174" s="220"/>
      <c r="BF174" s="1357"/>
      <c r="BG174" s="220"/>
      <c r="BH174" s="1357"/>
    </row>
    <row r="175" spans="43:60" ht="15.75">
      <c r="AQ175" s="380"/>
      <c r="AR175" s="1216"/>
      <c r="AS175" s="1354"/>
      <c r="AT175" s="1355"/>
      <c r="AU175" s="1346"/>
      <c r="AV175" s="220"/>
      <c r="AW175" s="1356"/>
      <c r="AX175" s="1178"/>
      <c r="AY175" s="220"/>
      <c r="AZ175" s="1357"/>
      <c r="BA175" s="1357"/>
      <c r="BB175" s="1357"/>
      <c r="BC175" s="220"/>
      <c r="BD175" s="1358"/>
      <c r="BE175" s="220"/>
      <c r="BF175" s="1357"/>
      <c r="BG175" s="220"/>
      <c r="BH175" s="1357"/>
    </row>
    <row r="176" spans="43:60" ht="15.75">
      <c r="AQ176" s="380"/>
      <c r="AR176" s="1216"/>
      <c r="AS176" s="1354"/>
      <c r="AT176" s="1355"/>
      <c r="AU176" s="1346"/>
      <c r="AV176" s="220"/>
      <c r="AW176" s="1356"/>
      <c r="AX176" s="1178"/>
      <c r="AY176" s="220"/>
      <c r="AZ176" s="1357"/>
      <c r="BA176" s="1357"/>
      <c r="BB176" s="1357"/>
      <c r="BC176" s="220"/>
      <c r="BD176" s="1358"/>
      <c r="BE176" s="220"/>
      <c r="BF176" s="1357"/>
      <c r="BG176" s="220"/>
      <c r="BH176" s="1357"/>
    </row>
    <row r="177" spans="43:60" ht="15.75">
      <c r="AQ177" s="380"/>
      <c r="AR177" s="1216"/>
      <c r="AS177" s="1354"/>
      <c r="AT177" s="1355"/>
      <c r="AU177" s="1346"/>
      <c r="AV177" s="220"/>
      <c r="AW177" s="1356"/>
      <c r="AX177" s="1178"/>
      <c r="AY177" s="220"/>
      <c r="AZ177" s="1357"/>
      <c r="BA177" s="1357"/>
      <c r="BB177" s="1357"/>
      <c r="BC177" s="220"/>
      <c r="BD177" s="1358"/>
      <c r="BE177" s="220"/>
      <c r="BF177" s="1357"/>
      <c r="BG177" s="220"/>
      <c r="BH177" s="1357"/>
    </row>
    <row r="178" spans="43:60" ht="15.75">
      <c r="AQ178" s="380"/>
      <c r="AR178" s="1216"/>
      <c r="AS178" s="1354"/>
      <c r="AT178" s="1355"/>
      <c r="AU178" s="1346"/>
      <c r="AV178" s="220"/>
      <c r="AW178" s="1356"/>
      <c r="AX178" s="1178"/>
      <c r="AY178" s="220"/>
      <c r="AZ178" s="1357"/>
      <c r="BA178" s="1357"/>
      <c r="BB178" s="1357"/>
      <c r="BC178" s="220"/>
      <c r="BD178" s="1358"/>
      <c r="BE178" s="220"/>
      <c r="BF178" s="1357"/>
      <c r="BG178" s="220"/>
      <c r="BH178" s="1357"/>
    </row>
    <row r="179" spans="43:60" ht="15.75">
      <c r="AQ179" s="380"/>
      <c r="AR179" s="1216"/>
      <c r="AS179" s="1354"/>
      <c r="AT179" s="1355"/>
      <c r="AU179" s="1346"/>
      <c r="AV179" s="220"/>
      <c r="AW179" s="1356"/>
      <c r="AX179" s="1178"/>
      <c r="AY179" s="220"/>
      <c r="AZ179" s="1357"/>
      <c r="BA179" s="1357"/>
      <c r="BB179" s="1357"/>
      <c r="BC179" s="220"/>
      <c r="BD179" s="1358"/>
      <c r="BE179" s="220"/>
      <c r="BF179" s="1357"/>
      <c r="BG179" s="220"/>
      <c r="BH179" s="1357"/>
    </row>
    <row r="180" spans="43:60" ht="15.75">
      <c r="AQ180" s="380"/>
      <c r="AR180" s="1216"/>
      <c r="AS180" s="1354"/>
      <c r="AT180" s="1355"/>
      <c r="AU180" s="1346"/>
      <c r="AV180" s="220"/>
      <c r="AW180" s="1356"/>
      <c r="AX180" s="1178"/>
      <c r="AY180" s="220"/>
      <c r="AZ180" s="1357"/>
      <c r="BA180" s="1357"/>
      <c r="BB180" s="1357"/>
      <c r="BC180" s="220"/>
      <c r="BD180" s="1358"/>
      <c r="BE180" s="220"/>
      <c r="BF180" s="1357"/>
      <c r="BG180" s="220"/>
      <c r="BH180" s="1357"/>
    </row>
    <row r="181" spans="43:60" ht="15.75">
      <c r="AQ181" s="380"/>
      <c r="AR181" s="1216"/>
      <c r="AS181" s="1354"/>
      <c r="AT181" s="1355"/>
      <c r="AU181" s="1346"/>
      <c r="AV181" s="220"/>
      <c r="AW181" s="1356"/>
      <c r="AX181" s="1178"/>
      <c r="AY181" s="220"/>
      <c r="AZ181" s="1357"/>
      <c r="BA181" s="1357"/>
      <c r="BB181" s="1357"/>
      <c r="BC181" s="220"/>
      <c r="BD181" s="1358"/>
      <c r="BE181" s="220"/>
      <c r="BF181" s="1357"/>
      <c r="BG181" s="220"/>
      <c r="BH181" s="1357"/>
    </row>
    <row r="182" spans="43:60" ht="15.75">
      <c r="AQ182" s="380"/>
      <c r="AR182" s="1216"/>
      <c r="AS182" s="1354"/>
      <c r="AT182" s="1355"/>
      <c r="AU182" s="1346"/>
      <c r="AV182" s="220"/>
      <c r="AW182" s="1356"/>
      <c r="AX182" s="1178"/>
      <c r="AY182" s="220"/>
      <c r="AZ182" s="1357"/>
      <c r="BA182" s="1357"/>
      <c r="BB182" s="1357"/>
      <c r="BC182" s="220"/>
      <c r="BD182" s="1358"/>
      <c r="BE182" s="220"/>
      <c r="BF182" s="1357"/>
      <c r="BG182" s="220"/>
      <c r="BH182" s="1357"/>
    </row>
    <row r="183" spans="43:60" ht="15.75">
      <c r="AQ183" s="380"/>
      <c r="AR183" s="1216"/>
      <c r="AS183" s="1354"/>
      <c r="AT183" s="1355"/>
      <c r="AU183" s="1346"/>
      <c r="AV183" s="220"/>
      <c r="AW183" s="1356"/>
      <c r="AX183" s="1178"/>
      <c r="AY183" s="220"/>
      <c r="AZ183" s="1357"/>
      <c r="BA183" s="1357"/>
      <c r="BB183" s="1357"/>
      <c r="BC183" s="220"/>
      <c r="BD183" s="1358"/>
      <c r="BE183" s="220"/>
      <c r="BF183" s="1357"/>
      <c r="BG183" s="220"/>
      <c r="BH183" s="1357"/>
    </row>
    <row r="184" spans="43:60" ht="15.75">
      <c r="AQ184" s="380"/>
      <c r="AR184" s="1216"/>
      <c r="AS184" s="1354"/>
      <c r="AT184" s="1355"/>
      <c r="AU184" s="1346"/>
      <c r="AV184" s="220"/>
      <c r="AW184" s="1356"/>
      <c r="AX184" s="1178"/>
      <c r="AY184" s="220"/>
      <c r="AZ184" s="1357"/>
      <c r="BA184" s="1357"/>
      <c r="BB184" s="1357"/>
      <c r="BC184" s="220"/>
      <c r="BD184" s="1358"/>
      <c r="BE184" s="220"/>
      <c r="BF184" s="1357"/>
      <c r="BG184" s="220"/>
      <c r="BH184" s="1357"/>
    </row>
    <row r="185" spans="43:60" ht="15.75">
      <c r="AQ185" s="380"/>
      <c r="AR185" s="1216"/>
      <c r="AS185" s="1354"/>
      <c r="AT185" s="1355"/>
      <c r="AU185" s="1346"/>
      <c r="AV185" s="220"/>
      <c r="AW185" s="1356"/>
      <c r="AX185" s="1178"/>
      <c r="AY185" s="220"/>
      <c r="AZ185" s="1357"/>
      <c r="BA185" s="1357"/>
      <c r="BB185" s="1357"/>
      <c r="BC185" s="220"/>
      <c r="BD185" s="1358"/>
      <c r="BE185" s="220"/>
      <c r="BF185" s="1357"/>
      <c r="BG185" s="220"/>
      <c r="BH185" s="1357"/>
    </row>
    <row r="186" spans="43:60" ht="15.75">
      <c r="AQ186" s="380"/>
      <c r="AR186" s="1216"/>
      <c r="AS186" s="1354"/>
      <c r="AT186" s="1355"/>
      <c r="AU186" s="1346"/>
      <c r="AV186" s="220"/>
      <c r="AW186" s="1356"/>
      <c r="AX186" s="1178"/>
      <c r="AY186" s="220"/>
      <c r="AZ186" s="1357"/>
      <c r="BA186" s="1357"/>
      <c r="BB186" s="1357"/>
      <c r="BC186" s="220"/>
      <c r="BD186" s="1358"/>
      <c r="BE186" s="220"/>
      <c r="BF186" s="1357"/>
      <c r="BG186" s="220"/>
      <c r="BH186" s="1357"/>
    </row>
    <row r="187" spans="43:60" ht="15.75">
      <c r="AQ187" s="380"/>
      <c r="AR187" s="1216"/>
      <c r="AS187" s="1354"/>
      <c r="AT187" s="1355"/>
      <c r="AU187" s="1346"/>
      <c r="AV187" s="220"/>
      <c r="AW187" s="1356"/>
      <c r="AX187" s="1178"/>
      <c r="AY187" s="220"/>
      <c r="AZ187" s="1357"/>
      <c r="BA187" s="1357"/>
      <c r="BB187" s="1357"/>
      <c r="BC187" s="220"/>
      <c r="BD187" s="1358"/>
      <c r="BE187" s="220"/>
      <c r="BF187" s="1357"/>
      <c r="BG187" s="220"/>
      <c r="BH187" s="1357"/>
    </row>
    <row r="188" spans="43:60" ht="15.75">
      <c r="AQ188" s="380"/>
      <c r="AR188" s="1216"/>
      <c r="AS188" s="1354"/>
      <c r="AT188" s="1355"/>
      <c r="AU188" s="1346"/>
      <c r="AV188" s="220"/>
      <c r="AW188" s="1356"/>
      <c r="AX188" s="1178"/>
      <c r="AY188" s="220"/>
      <c r="AZ188" s="1357"/>
      <c r="BA188" s="1357"/>
      <c r="BB188" s="1357"/>
      <c r="BC188" s="220"/>
      <c r="BD188" s="1358"/>
      <c r="BE188" s="220"/>
      <c r="BF188" s="1357"/>
      <c r="BG188" s="220"/>
      <c r="BH188" s="1357"/>
    </row>
    <row r="189" spans="43:60" ht="15.75">
      <c r="AQ189" s="380"/>
      <c r="AR189" s="1216"/>
      <c r="AS189" s="1354"/>
      <c r="AT189" s="1355"/>
      <c r="AU189" s="1346"/>
      <c r="AV189" s="220"/>
      <c r="AW189" s="1356"/>
      <c r="AX189" s="1178"/>
      <c r="AY189" s="220"/>
      <c r="AZ189" s="1357"/>
      <c r="BA189" s="1357"/>
      <c r="BB189" s="1357"/>
      <c r="BC189" s="220"/>
      <c r="BD189" s="1358"/>
      <c r="BE189" s="220"/>
      <c r="BF189" s="1357"/>
      <c r="BG189" s="220"/>
      <c r="BH189" s="1357"/>
    </row>
    <row r="190" spans="43:60" ht="15.75">
      <c r="AQ190" s="380"/>
      <c r="AR190" s="1216"/>
      <c r="AS190" s="1354"/>
      <c r="AT190" s="1355"/>
      <c r="AU190" s="1346"/>
      <c r="AV190" s="220"/>
      <c r="AW190" s="1356"/>
      <c r="AX190" s="1178"/>
      <c r="AY190" s="220"/>
      <c r="AZ190" s="1357"/>
      <c r="BA190" s="1357"/>
      <c r="BB190" s="1357"/>
      <c r="BC190" s="220"/>
      <c r="BD190" s="1358"/>
      <c r="BE190" s="220"/>
      <c r="BF190" s="1357"/>
      <c r="BG190" s="220"/>
      <c r="BH190" s="1357"/>
    </row>
    <row r="191" spans="43:60" ht="15.75">
      <c r="AQ191" s="380"/>
      <c r="AR191" s="1216"/>
      <c r="AS191" s="1354"/>
      <c r="AT191" s="1355"/>
      <c r="AU191" s="1346"/>
      <c r="AV191" s="220"/>
      <c r="AW191" s="1356"/>
      <c r="AX191" s="1178"/>
      <c r="AY191" s="220"/>
      <c r="AZ191" s="1357"/>
      <c r="BA191" s="1357"/>
      <c r="BB191" s="1357"/>
      <c r="BC191" s="220"/>
      <c r="BD191" s="1358"/>
      <c r="BE191" s="220"/>
      <c r="BF191" s="1357"/>
      <c r="BG191" s="220"/>
      <c r="BH191" s="1357"/>
    </row>
    <row r="192" spans="43:60" ht="15.75">
      <c r="AQ192" s="380"/>
      <c r="AR192" s="1216"/>
      <c r="AS192" s="1354"/>
      <c r="AT192" s="1355"/>
      <c r="AU192" s="1346"/>
      <c r="AV192" s="220"/>
      <c r="AW192" s="1356"/>
      <c r="AX192" s="1178"/>
      <c r="AY192" s="220"/>
      <c r="AZ192" s="1357"/>
      <c r="BA192" s="1357"/>
      <c r="BB192" s="1357"/>
      <c r="BC192" s="220"/>
      <c r="BD192" s="1358"/>
      <c r="BE192" s="220"/>
      <c r="BF192" s="1357"/>
      <c r="BG192" s="220"/>
      <c r="BH192" s="1357"/>
    </row>
    <row r="193" spans="43:60" ht="15.75">
      <c r="AQ193" s="380"/>
      <c r="AR193" s="1216"/>
      <c r="AS193" s="1354"/>
      <c r="AT193" s="1355"/>
      <c r="AU193" s="1346"/>
      <c r="AV193" s="220"/>
      <c r="AW193" s="1356"/>
      <c r="AX193" s="1178"/>
      <c r="AY193" s="220"/>
      <c r="AZ193" s="1357"/>
      <c r="BA193" s="1357"/>
      <c r="BB193" s="1357"/>
      <c r="BC193" s="220"/>
      <c r="BD193" s="1358"/>
      <c r="BE193" s="220"/>
      <c r="BF193" s="1357"/>
      <c r="BG193" s="220"/>
      <c r="BH193" s="1357"/>
    </row>
    <row r="194" spans="43:60" ht="15.75">
      <c r="AQ194" s="380"/>
      <c r="AR194" s="1216"/>
      <c r="AS194" s="1354"/>
      <c r="AT194" s="1355"/>
      <c r="AU194" s="1346"/>
      <c r="AV194" s="220"/>
      <c r="AW194" s="1356"/>
      <c r="AX194" s="1178"/>
      <c r="AY194" s="220"/>
      <c r="AZ194" s="1357"/>
      <c r="BA194" s="1357"/>
      <c r="BB194" s="1357"/>
      <c r="BC194" s="220"/>
      <c r="BD194" s="1358"/>
      <c r="BE194" s="220"/>
      <c r="BF194" s="1357"/>
      <c r="BG194" s="220"/>
      <c r="BH194" s="1357"/>
    </row>
    <row r="195" spans="43:60" ht="15.75">
      <c r="AQ195" s="380"/>
      <c r="AR195" s="1216"/>
      <c r="AS195" s="1354"/>
      <c r="AT195" s="1355"/>
      <c r="AU195" s="1346"/>
      <c r="AV195" s="220"/>
      <c r="AW195" s="1356"/>
      <c r="AX195" s="1178"/>
      <c r="AY195" s="220"/>
      <c r="AZ195" s="1357"/>
      <c r="BA195" s="1357"/>
      <c r="BB195" s="1357"/>
      <c r="BC195" s="220"/>
      <c r="BD195" s="1358"/>
      <c r="BE195" s="220"/>
      <c r="BF195" s="1357"/>
      <c r="BG195" s="220"/>
      <c r="BH195" s="1357"/>
    </row>
    <row r="196" spans="43:60" ht="15.75">
      <c r="AQ196" s="380"/>
      <c r="AR196" s="1216"/>
      <c r="AS196" s="1354"/>
      <c r="AT196" s="1355"/>
      <c r="AU196" s="1346"/>
      <c r="AV196" s="220"/>
      <c r="AW196" s="1356"/>
      <c r="AX196" s="1178"/>
      <c r="AY196" s="220"/>
      <c r="AZ196" s="1357"/>
      <c r="BA196" s="1357"/>
      <c r="BB196" s="1357"/>
      <c r="BC196" s="220"/>
      <c r="BD196" s="1358"/>
      <c r="BE196" s="220"/>
      <c r="BF196" s="1357"/>
      <c r="BG196" s="220"/>
      <c r="BH196" s="1357"/>
    </row>
    <row r="197" spans="43:60" ht="15.75">
      <c r="AQ197" s="380"/>
      <c r="AR197" s="1216"/>
      <c r="AS197" s="1354"/>
      <c r="AT197" s="1355"/>
      <c r="AU197" s="1346"/>
      <c r="AV197" s="220"/>
      <c r="AW197" s="1356"/>
      <c r="AX197" s="1178"/>
      <c r="AY197" s="220"/>
      <c r="AZ197" s="1357"/>
      <c r="BA197" s="1357"/>
      <c r="BB197" s="1357"/>
      <c r="BC197" s="220"/>
      <c r="BD197" s="1358"/>
      <c r="BE197" s="220"/>
      <c r="BF197" s="1357"/>
      <c r="BG197" s="220"/>
      <c r="BH197" s="1357"/>
    </row>
    <row r="198" spans="43:60" ht="15.75">
      <c r="AQ198" s="380"/>
      <c r="AR198" s="1216"/>
      <c r="AS198" s="1354"/>
      <c r="AT198" s="1355"/>
      <c r="AU198" s="1346"/>
      <c r="AV198" s="220"/>
      <c r="AW198" s="1356"/>
      <c r="AX198" s="1178"/>
      <c r="AY198" s="220"/>
      <c r="AZ198" s="1357"/>
      <c r="BA198" s="1357"/>
      <c r="BB198" s="1357"/>
      <c r="BC198" s="220"/>
      <c r="BD198" s="1358"/>
      <c r="BE198" s="220"/>
      <c r="BF198" s="1357"/>
      <c r="BG198" s="220"/>
      <c r="BH198" s="1357"/>
    </row>
    <row r="199" spans="43:60" ht="15.75">
      <c r="AQ199" s="380"/>
      <c r="AR199" s="1216"/>
      <c r="AS199" s="1354"/>
      <c r="AT199" s="1355"/>
      <c r="AU199" s="1346"/>
      <c r="AV199" s="220"/>
      <c r="AW199" s="1356"/>
      <c r="AX199" s="1178"/>
      <c r="AY199" s="220"/>
      <c r="AZ199" s="1357"/>
      <c r="BA199" s="1357"/>
      <c r="BB199" s="1357"/>
      <c r="BC199" s="220"/>
      <c r="BD199" s="1358"/>
      <c r="BE199" s="220"/>
      <c r="BF199" s="1357"/>
      <c r="BG199" s="220"/>
      <c r="BH199" s="1357"/>
    </row>
    <row r="200" spans="43:60" ht="15.75">
      <c r="AQ200" s="380"/>
      <c r="AR200" s="1216"/>
      <c r="AS200" s="1354"/>
      <c r="AT200" s="1355"/>
      <c r="AU200" s="1346"/>
      <c r="AV200" s="220"/>
      <c r="AW200" s="1356"/>
      <c r="AX200" s="1178"/>
      <c r="AY200" s="220"/>
      <c r="AZ200" s="1357"/>
      <c r="BA200" s="1357"/>
      <c r="BB200" s="1357"/>
      <c r="BC200" s="220"/>
      <c r="BD200" s="1358"/>
      <c r="BE200" s="220"/>
      <c r="BF200" s="1357"/>
      <c r="BG200" s="220"/>
      <c r="BH200" s="1357"/>
    </row>
    <row r="201" spans="43:60" ht="15.75">
      <c r="AQ201" s="380"/>
      <c r="AR201" s="1216"/>
      <c r="AS201" s="1354"/>
      <c r="AT201" s="1355"/>
      <c r="AU201" s="1346"/>
      <c r="AV201" s="220"/>
      <c r="AW201" s="1356"/>
      <c r="AX201" s="1178"/>
      <c r="AY201" s="220"/>
      <c r="AZ201" s="1357"/>
      <c r="BA201" s="1357"/>
      <c r="BB201" s="1357"/>
      <c r="BC201" s="220"/>
      <c r="BD201" s="1358"/>
      <c r="BE201" s="220"/>
      <c r="BF201" s="1357"/>
      <c r="BG201" s="220"/>
      <c r="BH201" s="1357"/>
    </row>
    <row r="202" spans="43:60" ht="15.75">
      <c r="AQ202" s="380"/>
      <c r="AR202" s="1216"/>
      <c r="AS202" s="1354"/>
      <c r="AT202" s="1355"/>
      <c r="AU202" s="1346"/>
      <c r="AV202" s="220"/>
      <c r="AW202" s="1356"/>
      <c r="AX202" s="1178"/>
      <c r="AY202" s="220"/>
      <c r="AZ202" s="1357"/>
      <c r="BA202" s="1357"/>
      <c r="BB202" s="1357"/>
      <c r="BC202" s="220"/>
      <c r="BD202" s="1358"/>
      <c r="BE202" s="220"/>
      <c r="BF202" s="1357"/>
      <c r="BG202" s="220"/>
      <c r="BH202" s="1357"/>
    </row>
    <row r="203" spans="43:60" ht="15.75">
      <c r="AQ203" s="380"/>
      <c r="AR203" s="1216"/>
      <c r="AS203" s="1354"/>
      <c r="AT203" s="1355"/>
      <c r="AU203" s="1346"/>
      <c r="AV203" s="220"/>
      <c r="AW203" s="1356"/>
      <c r="AX203" s="1178"/>
      <c r="AY203" s="220"/>
      <c r="AZ203" s="1357"/>
      <c r="BA203" s="1357"/>
      <c r="BB203" s="1357"/>
      <c r="BC203" s="220"/>
      <c r="BD203" s="1358"/>
      <c r="BE203" s="220"/>
      <c r="BF203" s="1357"/>
      <c r="BG203" s="220"/>
      <c r="BH203" s="1357"/>
    </row>
    <row r="204" spans="43:60" ht="15.75">
      <c r="AQ204" s="380"/>
      <c r="AR204" s="1216"/>
      <c r="AS204" s="1354"/>
      <c r="AT204" s="1355"/>
      <c r="AU204" s="1346"/>
      <c r="AV204" s="220"/>
      <c r="AW204" s="1356"/>
      <c r="AX204" s="1178"/>
      <c r="AY204" s="220"/>
      <c r="AZ204" s="1357"/>
      <c r="BA204" s="1357"/>
      <c r="BB204" s="1357"/>
      <c r="BC204" s="220"/>
      <c r="BD204" s="1358"/>
      <c r="BE204" s="220"/>
      <c r="BF204" s="1357"/>
      <c r="BG204" s="220"/>
      <c r="BH204" s="1357"/>
    </row>
    <row r="205" spans="43:60" ht="15.75">
      <c r="AQ205" s="380"/>
      <c r="AR205" s="1216"/>
      <c r="AS205" s="1354"/>
      <c r="AT205" s="1355"/>
      <c r="AU205" s="1346"/>
      <c r="AV205" s="220"/>
      <c r="AW205" s="1356"/>
      <c r="AX205" s="1178"/>
      <c r="AY205" s="220"/>
      <c r="AZ205" s="1357"/>
      <c r="BA205" s="1357"/>
      <c r="BB205" s="1357"/>
      <c r="BC205" s="220"/>
      <c r="BD205" s="1358"/>
      <c r="BE205" s="220"/>
      <c r="BF205" s="1357"/>
      <c r="BG205" s="220"/>
      <c r="BH205" s="1357"/>
    </row>
    <row r="206" spans="43:60" ht="15.75">
      <c r="AQ206" s="380"/>
      <c r="AR206" s="1216"/>
      <c r="AS206" s="1354"/>
      <c r="AT206" s="1355"/>
      <c r="AU206" s="1346"/>
      <c r="AV206" s="220"/>
      <c r="AW206" s="1356"/>
      <c r="AX206" s="1178"/>
      <c r="AY206" s="220"/>
      <c r="AZ206" s="1357"/>
      <c r="BA206" s="1357"/>
      <c r="BB206" s="1357"/>
      <c r="BC206" s="220"/>
      <c r="BD206" s="1358"/>
      <c r="BE206" s="220"/>
      <c r="BF206" s="1357"/>
      <c r="BG206" s="220"/>
      <c r="BH206" s="1357"/>
    </row>
    <row r="207" spans="43:60" ht="15.75">
      <c r="AQ207" s="380"/>
      <c r="AR207" s="1216"/>
      <c r="AS207" s="1354"/>
      <c r="AT207" s="1355"/>
      <c r="AU207" s="1346"/>
      <c r="AV207" s="220"/>
      <c r="AW207" s="1356"/>
      <c r="AX207" s="1178"/>
      <c r="AY207" s="220"/>
      <c r="AZ207" s="1357"/>
      <c r="BA207" s="1357"/>
      <c r="BB207" s="1357"/>
      <c r="BC207" s="220"/>
      <c r="BD207" s="1358"/>
      <c r="BE207" s="220"/>
      <c r="BF207" s="1357"/>
      <c r="BG207" s="220"/>
      <c r="BH207" s="1357"/>
    </row>
    <row r="208" spans="43:60" ht="15.75">
      <c r="AQ208" s="380"/>
      <c r="AR208" s="1216"/>
      <c r="AS208" s="1354"/>
      <c r="AT208" s="1355"/>
      <c r="AU208" s="1346"/>
      <c r="AV208" s="220"/>
      <c r="AW208" s="1356"/>
      <c r="AX208" s="1178"/>
      <c r="AY208" s="220"/>
      <c r="AZ208" s="1357"/>
      <c r="BA208" s="1357"/>
      <c r="BB208" s="1357"/>
      <c r="BC208" s="220"/>
      <c r="BD208" s="1358"/>
      <c r="BE208" s="220"/>
      <c r="BF208" s="1357"/>
      <c r="BG208" s="220"/>
      <c r="BH208" s="1357"/>
    </row>
    <row r="209" spans="43:60" ht="15.75">
      <c r="AQ209" s="380"/>
      <c r="AR209" s="1216"/>
      <c r="AS209" s="1354"/>
      <c r="AT209" s="1355"/>
      <c r="AU209" s="1346"/>
      <c r="AV209" s="220"/>
      <c r="AW209" s="1356"/>
      <c r="AX209" s="1178"/>
      <c r="AY209" s="220"/>
      <c r="AZ209" s="1357"/>
      <c r="BA209" s="1357"/>
      <c r="BB209" s="1357"/>
      <c r="BC209" s="220"/>
      <c r="BD209" s="1358"/>
      <c r="BE209" s="220"/>
      <c r="BF209" s="1357"/>
      <c r="BG209" s="220"/>
      <c r="BH209" s="1357"/>
    </row>
    <row r="210" spans="43:60" ht="15.75">
      <c r="AQ210" s="380"/>
      <c r="AR210" s="1216"/>
      <c r="AS210" s="1354"/>
      <c r="AT210" s="1355"/>
      <c r="AU210" s="1346"/>
      <c r="AV210" s="220"/>
      <c r="AW210" s="1356"/>
      <c r="AX210" s="1178"/>
      <c r="AY210" s="220"/>
      <c r="AZ210" s="1357"/>
      <c r="BA210" s="1357"/>
      <c r="BB210" s="1357"/>
      <c r="BC210" s="220"/>
      <c r="BD210" s="1358"/>
      <c r="BE210" s="220"/>
      <c r="BF210" s="1357"/>
      <c r="BG210" s="220"/>
      <c r="BH210" s="1357"/>
    </row>
    <row r="211" spans="43:60" ht="15.75">
      <c r="AQ211" s="380"/>
      <c r="AR211" s="1216"/>
      <c r="AS211" s="1354"/>
      <c r="AT211" s="1355"/>
      <c r="AU211" s="1346"/>
      <c r="AV211" s="220"/>
      <c r="AW211" s="1356"/>
      <c r="AX211" s="1178"/>
      <c r="AY211" s="220"/>
      <c r="AZ211" s="1357"/>
      <c r="BA211" s="1357"/>
      <c r="BB211" s="1357"/>
      <c r="BC211" s="220"/>
      <c r="BD211" s="1358"/>
      <c r="BE211" s="220"/>
      <c r="BF211" s="1357"/>
      <c r="BG211" s="220"/>
      <c r="BH211" s="1357"/>
    </row>
    <row r="212" spans="43:60" ht="15.75">
      <c r="AQ212" s="380"/>
      <c r="AR212" s="1216"/>
      <c r="AS212" s="1354"/>
      <c r="AT212" s="1355"/>
      <c r="AU212" s="1346"/>
      <c r="AV212" s="220"/>
      <c r="AW212" s="1356"/>
      <c r="AX212" s="1178"/>
      <c r="AY212" s="220"/>
      <c r="AZ212" s="1357"/>
      <c r="BA212" s="1357"/>
      <c r="BB212" s="1357"/>
      <c r="BC212" s="220"/>
      <c r="BD212" s="1358"/>
      <c r="BE212" s="220"/>
      <c r="BF212" s="1357"/>
      <c r="BG212" s="220"/>
      <c r="BH212" s="1357"/>
    </row>
    <row r="213" spans="43:60" ht="15.75">
      <c r="AQ213" s="380"/>
      <c r="AR213" s="1216"/>
      <c r="AS213" s="1354"/>
      <c r="AT213" s="1355"/>
      <c r="AU213" s="1346"/>
      <c r="AV213" s="220"/>
      <c r="AW213" s="1356"/>
      <c r="AX213" s="1178"/>
      <c r="AY213" s="220"/>
      <c r="AZ213" s="1357"/>
      <c r="BA213" s="1357"/>
      <c r="BB213" s="1357"/>
      <c r="BC213" s="220"/>
      <c r="BD213" s="1358"/>
      <c r="BE213" s="220"/>
      <c r="BF213" s="1357"/>
      <c r="BG213" s="220"/>
      <c r="BH213" s="1357"/>
    </row>
    <row r="214" spans="43:60" ht="15.75">
      <c r="AQ214" s="380"/>
      <c r="AR214" s="1216"/>
      <c r="AS214" s="1354"/>
      <c r="AT214" s="1355"/>
      <c r="AU214" s="1346"/>
      <c r="AV214" s="220"/>
      <c r="AW214" s="1356"/>
      <c r="AX214" s="1178"/>
      <c r="AY214" s="220"/>
      <c r="AZ214" s="1357"/>
      <c r="BA214" s="1357"/>
      <c r="BB214" s="1357"/>
      <c r="BC214" s="220"/>
      <c r="BD214" s="1358"/>
      <c r="BE214" s="220"/>
      <c r="BF214" s="1357"/>
      <c r="BG214" s="220"/>
      <c r="BH214" s="1357"/>
    </row>
    <row r="215" spans="43:60" ht="15.75">
      <c r="AQ215" s="380"/>
      <c r="AR215" s="1216"/>
      <c r="AS215" s="1354"/>
      <c r="AT215" s="1355"/>
      <c r="AU215" s="1346"/>
      <c r="AV215" s="220"/>
      <c r="AW215" s="1356"/>
      <c r="AX215" s="1178"/>
      <c r="AY215" s="220"/>
      <c r="AZ215" s="1357"/>
      <c r="BA215" s="1357"/>
      <c r="BB215" s="1357"/>
      <c r="BC215" s="220"/>
      <c r="BD215" s="1358"/>
      <c r="BE215" s="220"/>
      <c r="BF215" s="1357"/>
      <c r="BG215" s="220"/>
      <c r="BH215" s="1357"/>
    </row>
    <row r="216" spans="43:60" ht="15.75">
      <c r="AQ216" s="380"/>
      <c r="AR216" s="1216"/>
      <c r="AS216" s="1354"/>
      <c r="AT216" s="1355"/>
      <c r="AU216" s="1346"/>
      <c r="AV216" s="220"/>
      <c r="AW216" s="1356"/>
      <c r="AX216" s="1178"/>
      <c r="AY216" s="220"/>
      <c r="AZ216" s="1357"/>
      <c r="BA216" s="1357"/>
      <c r="BB216" s="1357"/>
      <c r="BC216" s="220"/>
      <c r="BD216" s="1358"/>
      <c r="BE216" s="220"/>
      <c r="BF216" s="1357"/>
      <c r="BG216" s="220"/>
      <c r="BH216" s="1357"/>
    </row>
    <row r="217" spans="43:60" ht="15.75">
      <c r="AQ217" s="380"/>
      <c r="AR217" s="1216"/>
      <c r="AS217" s="1354"/>
      <c r="AT217" s="1355"/>
      <c r="AU217" s="1346"/>
      <c r="AV217" s="220"/>
      <c r="AW217" s="1356"/>
      <c r="AX217" s="1178"/>
      <c r="AY217" s="220"/>
      <c r="AZ217" s="1357"/>
      <c r="BA217" s="1357"/>
      <c r="BB217" s="1357"/>
      <c r="BC217" s="220"/>
      <c r="BD217" s="1358"/>
      <c r="BE217" s="220"/>
      <c r="BF217" s="1357"/>
      <c r="BG217" s="220"/>
      <c r="BH217" s="1357"/>
    </row>
    <row r="218" spans="43:60" ht="15.75">
      <c r="AQ218" s="380"/>
      <c r="AR218" s="1216"/>
      <c r="AS218" s="1354"/>
      <c r="AT218" s="1355"/>
      <c r="AU218" s="1346"/>
      <c r="AV218" s="220"/>
      <c r="AW218" s="1356"/>
      <c r="AX218" s="1178"/>
      <c r="AY218" s="220"/>
      <c r="AZ218" s="1357"/>
      <c r="BA218" s="1357"/>
      <c r="BB218" s="1357"/>
      <c r="BC218" s="220"/>
      <c r="BD218" s="1358"/>
      <c r="BE218" s="220"/>
      <c r="BF218" s="1357"/>
      <c r="BG218" s="220"/>
      <c r="BH218" s="1357"/>
    </row>
    <row r="219" spans="43:60" ht="15.75">
      <c r="AQ219" s="380"/>
      <c r="AR219" s="1216"/>
      <c r="AS219" s="1354"/>
      <c r="AT219" s="1355"/>
      <c r="AU219" s="1346"/>
      <c r="AV219" s="220"/>
      <c r="AW219" s="1356"/>
      <c r="AX219" s="1178"/>
      <c r="AY219" s="220"/>
      <c r="AZ219" s="1357"/>
      <c r="BA219" s="1357"/>
      <c r="BB219" s="1357"/>
      <c r="BC219" s="220"/>
      <c r="BD219" s="1358"/>
      <c r="BE219" s="220"/>
      <c r="BF219" s="1357"/>
      <c r="BG219" s="220"/>
      <c r="BH219" s="1357"/>
    </row>
    <row r="220" spans="43:60" ht="15.75">
      <c r="AQ220" s="380"/>
      <c r="AR220" s="1216"/>
      <c r="AS220" s="1354"/>
      <c r="AT220" s="1355"/>
      <c r="AU220" s="1346"/>
      <c r="AV220" s="220"/>
      <c r="AW220" s="1356"/>
      <c r="AX220" s="1178"/>
      <c r="AY220" s="220"/>
      <c r="AZ220" s="1357"/>
      <c r="BA220" s="1357"/>
      <c r="BB220" s="1357"/>
      <c r="BC220" s="220"/>
      <c r="BD220" s="1358"/>
      <c r="BE220" s="220"/>
      <c r="BF220" s="1357"/>
      <c r="BG220" s="220"/>
      <c r="BH220" s="1357"/>
    </row>
    <row r="221" spans="43:60" ht="15.75">
      <c r="AQ221" s="380"/>
      <c r="AR221" s="1216"/>
      <c r="AS221" s="1354"/>
      <c r="AT221" s="1355"/>
      <c r="AU221" s="1346"/>
      <c r="AV221" s="220"/>
      <c r="AW221" s="1356"/>
      <c r="AX221" s="1178"/>
      <c r="AY221" s="220"/>
      <c r="AZ221" s="1357"/>
      <c r="BA221" s="1357"/>
      <c r="BB221" s="1357"/>
      <c r="BC221" s="220"/>
      <c r="BD221" s="1358"/>
      <c r="BE221" s="220"/>
      <c r="BF221" s="1357"/>
      <c r="BG221" s="220"/>
      <c r="BH221" s="1357"/>
    </row>
    <row r="222" spans="43:60" ht="15.75">
      <c r="AQ222" s="380"/>
      <c r="AR222" s="1216"/>
      <c r="AS222" s="1354"/>
      <c r="AT222" s="1355"/>
      <c r="AU222" s="1346"/>
      <c r="AV222" s="220"/>
      <c r="AW222" s="1356"/>
      <c r="AX222" s="1178"/>
      <c r="AY222" s="220"/>
      <c r="AZ222" s="1357"/>
      <c r="BA222" s="1357"/>
      <c r="BB222" s="1357"/>
      <c r="BC222" s="220"/>
      <c r="BD222" s="1358"/>
      <c r="BE222" s="220"/>
      <c r="BF222" s="1357"/>
      <c r="BG222" s="220"/>
      <c r="BH222" s="1357"/>
    </row>
    <row r="223" spans="43:60" ht="15.75">
      <c r="AQ223" s="380"/>
      <c r="AR223" s="1216"/>
      <c r="AS223" s="1354"/>
      <c r="AT223" s="1355"/>
      <c r="AU223" s="1346"/>
      <c r="AV223" s="220"/>
      <c r="AW223" s="1356"/>
      <c r="AX223" s="1178"/>
      <c r="AY223" s="220"/>
      <c r="AZ223" s="1357"/>
      <c r="BA223" s="1357"/>
      <c r="BB223" s="1357"/>
      <c r="BC223" s="220"/>
      <c r="BD223" s="1358"/>
      <c r="BE223" s="220"/>
      <c r="BF223" s="1357"/>
      <c r="BG223" s="220"/>
      <c r="BH223" s="1357"/>
    </row>
    <row r="224" spans="43:60" ht="15.75">
      <c r="AQ224" s="380"/>
      <c r="AR224" s="1216"/>
      <c r="AS224" s="1354"/>
      <c r="AT224" s="1355"/>
      <c r="AU224" s="1346"/>
      <c r="AV224" s="220"/>
      <c r="AW224" s="1356"/>
      <c r="AX224" s="1178"/>
      <c r="AY224" s="220"/>
      <c r="AZ224" s="1357"/>
      <c r="BA224" s="1357"/>
      <c r="BB224" s="1357"/>
      <c r="BC224" s="220"/>
      <c r="BD224" s="1358"/>
      <c r="BE224" s="220"/>
      <c r="BF224" s="1357"/>
      <c r="BG224" s="220"/>
      <c r="BH224" s="1357"/>
    </row>
    <row r="225" spans="43:60" ht="15.75">
      <c r="AQ225" s="380"/>
      <c r="AR225" s="1216"/>
      <c r="AS225" s="1354"/>
      <c r="AT225" s="1355"/>
      <c r="AU225" s="1346"/>
      <c r="AV225" s="220"/>
      <c r="AW225" s="1356"/>
      <c r="AX225" s="1178"/>
      <c r="AY225" s="220"/>
      <c r="AZ225" s="1357"/>
      <c r="BA225" s="1357"/>
      <c r="BB225" s="1357"/>
      <c r="BC225" s="220"/>
      <c r="BD225" s="1358"/>
      <c r="BE225" s="220"/>
      <c r="BF225" s="1357"/>
      <c r="BG225" s="220"/>
      <c r="BH225" s="1357"/>
    </row>
    <row r="226" spans="43:60" ht="15.75">
      <c r="AQ226" s="380"/>
      <c r="AR226" s="1216"/>
      <c r="AS226" s="1354"/>
      <c r="AT226" s="1355"/>
      <c r="AU226" s="1346"/>
      <c r="AV226" s="220"/>
      <c r="AW226" s="1356"/>
      <c r="AX226" s="1178"/>
      <c r="AY226" s="220"/>
      <c r="AZ226" s="1357"/>
      <c r="BA226" s="1357"/>
      <c r="BB226" s="1357"/>
      <c r="BC226" s="220"/>
      <c r="BD226" s="1358"/>
      <c r="BE226" s="220"/>
      <c r="BF226" s="1357"/>
      <c r="BG226" s="220"/>
      <c r="BH226" s="1357"/>
    </row>
    <row r="227" spans="43:60" ht="15.75">
      <c r="AQ227" s="380"/>
      <c r="AR227" s="1216"/>
      <c r="AS227" s="1354"/>
      <c r="AT227" s="1355"/>
      <c r="AU227" s="1346"/>
      <c r="AV227" s="220"/>
      <c r="AW227" s="1356"/>
      <c r="AX227" s="1178"/>
      <c r="AY227" s="220"/>
      <c r="AZ227" s="1357"/>
      <c r="BA227" s="1357"/>
      <c r="BB227" s="1357"/>
      <c r="BC227" s="220"/>
      <c r="BD227" s="1358"/>
      <c r="BE227" s="220"/>
      <c r="BF227" s="1357"/>
      <c r="BG227" s="220"/>
      <c r="BH227" s="1357"/>
    </row>
    <row r="228" spans="43:60" ht="15.75">
      <c r="AQ228" s="380"/>
      <c r="AR228" s="1216"/>
      <c r="AS228" s="1354"/>
      <c r="AT228" s="1355"/>
      <c r="AU228" s="1346"/>
      <c r="AV228" s="220"/>
      <c r="AW228" s="1356"/>
      <c r="AX228" s="1178"/>
      <c r="AY228" s="220"/>
      <c r="AZ228" s="1357"/>
      <c r="BA228" s="1357"/>
      <c r="BB228" s="1357"/>
      <c r="BC228" s="220"/>
      <c r="BD228" s="1358"/>
      <c r="BE228" s="220"/>
      <c r="BF228" s="1357"/>
      <c r="BG228" s="220"/>
      <c r="BH228" s="1357"/>
    </row>
    <row r="229" spans="43:60" ht="15.75">
      <c r="AQ229" s="380"/>
      <c r="AR229" s="1216"/>
      <c r="AS229" s="1354"/>
      <c r="AT229" s="1355"/>
      <c r="AU229" s="1346"/>
      <c r="AV229" s="220"/>
      <c r="AW229" s="1356"/>
      <c r="AX229" s="1178"/>
      <c r="AY229" s="220"/>
      <c r="AZ229" s="1357"/>
      <c r="BA229" s="1357"/>
      <c r="BB229" s="1357"/>
      <c r="BC229" s="220"/>
      <c r="BD229" s="1358"/>
      <c r="BE229" s="220"/>
      <c r="BF229" s="1357"/>
      <c r="BG229" s="220"/>
      <c r="BH229" s="1357"/>
    </row>
    <row r="230" spans="43:60" ht="15.75">
      <c r="AQ230" s="380"/>
      <c r="AR230" s="1216"/>
      <c r="AS230" s="1354"/>
      <c r="AT230" s="1355"/>
      <c r="AU230" s="1346"/>
      <c r="AV230" s="220"/>
      <c r="AW230" s="1356"/>
      <c r="AX230" s="1178"/>
      <c r="AY230" s="220"/>
      <c r="AZ230" s="1357"/>
      <c r="BA230" s="1357"/>
      <c r="BB230" s="1357"/>
      <c r="BC230" s="220"/>
      <c r="BD230" s="1358"/>
      <c r="BE230" s="220"/>
      <c r="BF230" s="1357"/>
      <c r="BG230" s="220"/>
      <c r="BH230" s="1357"/>
    </row>
    <row r="231" spans="43:60" ht="15.75">
      <c r="AQ231" s="380"/>
      <c r="AR231" s="1216"/>
      <c r="AS231" s="1354"/>
      <c r="AT231" s="1355"/>
      <c r="AU231" s="1346"/>
      <c r="AV231" s="220"/>
      <c r="AW231" s="1356"/>
      <c r="AX231" s="1178"/>
      <c r="AY231" s="220"/>
      <c r="AZ231" s="1357"/>
      <c r="BA231" s="1357"/>
      <c r="BB231" s="1357"/>
      <c r="BC231" s="220"/>
      <c r="BD231" s="1358"/>
      <c r="BE231" s="220"/>
      <c r="BF231" s="1357"/>
      <c r="BG231" s="220"/>
      <c r="BH231" s="1357"/>
    </row>
    <row r="232" spans="43:60" ht="15.75">
      <c r="AQ232" s="380"/>
      <c r="AR232" s="1216"/>
      <c r="AS232" s="1354"/>
      <c r="AT232" s="1355"/>
      <c r="AU232" s="1346"/>
      <c r="AV232" s="220"/>
      <c r="AW232" s="1356"/>
      <c r="AX232" s="1178"/>
      <c r="AY232" s="220"/>
      <c r="AZ232" s="1357"/>
      <c r="BA232" s="1357"/>
      <c r="BB232" s="1357"/>
      <c r="BC232" s="220"/>
      <c r="BD232" s="1358"/>
      <c r="BE232" s="220"/>
      <c r="BF232" s="1357"/>
      <c r="BG232" s="220"/>
      <c r="BH232" s="1357"/>
    </row>
    <row r="233" spans="43:60" ht="15.75">
      <c r="AQ233" s="380"/>
      <c r="AR233" s="1216"/>
      <c r="AS233" s="1354"/>
      <c r="AT233" s="1355"/>
      <c r="AU233" s="1346"/>
      <c r="AV233" s="220"/>
      <c r="AW233" s="1356"/>
      <c r="AX233" s="1178"/>
      <c r="AY233" s="220"/>
      <c r="AZ233" s="1357"/>
      <c r="BA233" s="1357"/>
      <c r="BB233" s="1357"/>
      <c r="BC233" s="220"/>
      <c r="BD233" s="1358"/>
      <c r="BE233" s="220"/>
      <c r="BF233" s="1357"/>
      <c r="BG233" s="220"/>
      <c r="BH233" s="1357"/>
    </row>
    <row r="234" spans="43:60" ht="15.75">
      <c r="AQ234" s="380"/>
      <c r="AR234" s="1216"/>
      <c r="AS234" s="1354"/>
      <c r="AT234" s="1355"/>
      <c r="AU234" s="1346"/>
      <c r="AV234" s="220"/>
      <c r="AW234" s="1356"/>
      <c r="AX234" s="1178"/>
      <c r="AY234" s="220"/>
      <c r="AZ234" s="1357"/>
      <c r="BA234" s="1357"/>
      <c r="BB234" s="1357"/>
      <c r="BC234" s="220"/>
      <c r="BD234" s="1358"/>
      <c r="BE234" s="220"/>
      <c r="BF234" s="1357"/>
      <c r="BG234" s="220"/>
      <c r="BH234" s="1357"/>
    </row>
    <row r="235" spans="43:60" ht="15.75">
      <c r="AQ235" s="380"/>
      <c r="AR235" s="1216"/>
      <c r="AS235" s="1354"/>
      <c r="AT235" s="1355"/>
      <c r="AU235" s="1346"/>
      <c r="AV235" s="220"/>
      <c r="AW235" s="1356"/>
      <c r="AX235" s="1178"/>
      <c r="AY235" s="220"/>
      <c r="AZ235" s="1357"/>
      <c r="BA235" s="1357"/>
      <c r="BB235" s="1357"/>
      <c r="BC235" s="220"/>
      <c r="BD235" s="1358"/>
      <c r="BE235" s="220"/>
      <c r="BF235" s="1357"/>
      <c r="BG235" s="220"/>
      <c r="BH235" s="1357"/>
    </row>
    <row r="236" spans="43:60" ht="15.75">
      <c r="AQ236" s="380"/>
      <c r="AR236" s="1216"/>
      <c r="AS236" s="1354"/>
      <c r="AT236" s="1355"/>
      <c r="AU236" s="1346"/>
      <c r="AV236" s="220"/>
      <c r="AW236" s="1356"/>
      <c r="AX236" s="1178"/>
      <c r="AY236" s="220"/>
      <c r="AZ236" s="1357"/>
      <c r="BA236" s="1357"/>
      <c r="BB236" s="1357"/>
      <c r="BC236" s="220"/>
      <c r="BD236" s="1358"/>
      <c r="BE236" s="220"/>
      <c r="BF236" s="1357"/>
      <c r="BG236" s="220"/>
      <c r="BH236" s="1357"/>
    </row>
    <row r="237" spans="43:60" ht="15.75">
      <c r="AQ237" s="380"/>
      <c r="AR237" s="1216"/>
      <c r="AS237" s="1354"/>
      <c r="AT237" s="1355"/>
      <c r="AU237" s="1346"/>
      <c r="AV237" s="220"/>
      <c r="AW237" s="1356"/>
      <c r="AX237" s="1178"/>
      <c r="AY237" s="220"/>
      <c r="AZ237" s="1357"/>
      <c r="BA237" s="1357"/>
      <c r="BB237" s="1357"/>
      <c r="BC237" s="220"/>
      <c r="BD237" s="1358"/>
      <c r="BE237" s="220"/>
      <c r="BF237" s="1357"/>
      <c r="BG237" s="220"/>
      <c r="BH237" s="1357"/>
    </row>
    <row r="238" spans="43:60" ht="15.75">
      <c r="AQ238" s="380"/>
      <c r="AR238" s="1216"/>
      <c r="AS238" s="1354"/>
      <c r="AT238" s="1355"/>
      <c r="AU238" s="1346"/>
      <c r="AV238" s="220"/>
      <c r="AW238" s="1356"/>
      <c r="AX238" s="1178"/>
      <c r="AY238" s="220"/>
      <c r="AZ238" s="1357"/>
      <c r="BA238" s="1357"/>
      <c r="BB238" s="1357"/>
      <c r="BC238" s="220"/>
      <c r="BD238" s="1358"/>
      <c r="BE238" s="220"/>
      <c r="BF238" s="1357"/>
      <c r="BG238" s="220"/>
      <c r="BH238" s="1357"/>
    </row>
    <row r="239" spans="43:60" ht="15.75">
      <c r="AQ239" s="380"/>
      <c r="AR239" s="1216"/>
      <c r="AS239" s="1354"/>
      <c r="AT239" s="1355"/>
      <c r="AU239" s="1346"/>
      <c r="AV239" s="220"/>
      <c r="AW239" s="1356"/>
      <c r="AX239" s="1178"/>
      <c r="AY239" s="220"/>
      <c r="AZ239" s="1357"/>
      <c r="BA239" s="1357"/>
      <c r="BB239" s="1357"/>
      <c r="BC239" s="220"/>
      <c r="BD239" s="1358"/>
      <c r="BE239" s="220"/>
      <c r="BF239" s="1357"/>
      <c r="BG239" s="220"/>
      <c r="BH239" s="1357"/>
    </row>
    <row r="240" spans="43:60" ht="15.75">
      <c r="AQ240" s="380"/>
      <c r="AR240" s="1216"/>
      <c r="AS240" s="1354"/>
      <c r="AT240" s="1355"/>
      <c r="AU240" s="1346"/>
      <c r="AV240" s="220"/>
      <c r="AW240" s="1356"/>
      <c r="AX240" s="1178"/>
      <c r="AY240" s="220"/>
      <c r="AZ240" s="1357"/>
      <c r="BA240" s="1357"/>
      <c r="BB240" s="1357"/>
      <c r="BC240" s="220"/>
      <c r="BD240" s="1358"/>
      <c r="BE240" s="220"/>
      <c r="BF240" s="1357"/>
      <c r="BG240" s="220"/>
      <c r="BH240" s="1357"/>
    </row>
    <row r="241" spans="43:60" ht="15.75">
      <c r="AQ241" s="380"/>
      <c r="AR241" s="1216"/>
      <c r="AS241" s="1354"/>
      <c r="AT241" s="1355"/>
      <c r="AU241" s="1346"/>
      <c r="AV241" s="220"/>
      <c r="AW241" s="1356"/>
      <c r="AX241" s="1178"/>
      <c r="AY241" s="220"/>
      <c r="AZ241" s="1357"/>
      <c r="BA241" s="1357"/>
      <c r="BB241" s="1357"/>
      <c r="BC241" s="220"/>
      <c r="BD241" s="1358"/>
      <c r="BE241" s="220"/>
      <c r="BF241" s="1357"/>
      <c r="BG241" s="220"/>
      <c r="BH241" s="1357"/>
    </row>
    <row r="242" spans="43:60" ht="15.75">
      <c r="AQ242" s="380"/>
      <c r="AR242" s="1216"/>
      <c r="AS242" s="1354"/>
      <c r="AT242" s="1355"/>
      <c r="AU242" s="1346"/>
      <c r="AV242" s="220"/>
      <c r="AW242" s="1356"/>
      <c r="AX242" s="1178"/>
      <c r="AY242" s="220"/>
      <c r="AZ242" s="1357"/>
      <c r="BA242" s="1357"/>
      <c r="BB242" s="1357"/>
      <c r="BC242" s="220"/>
      <c r="BD242" s="1358"/>
      <c r="BE242" s="220"/>
      <c r="BF242" s="1357"/>
      <c r="BG242" s="220"/>
      <c r="BH242" s="1357"/>
    </row>
    <row r="243" spans="43:60" ht="15.75">
      <c r="AQ243" s="380"/>
      <c r="AR243" s="1216"/>
      <c r="AS243" s="1354"/>
      <c r="AT243" s="1355"/>
      <c r="AU243" s="1346"/>
      <c r="AV243" s="220"/>
      <c r="AW243" s="1356"/>
      <c r="AX243" s="1178"/>
      <c r="AY243" s="220"/>
      <c r="AZ243" s="1357"/>
      <c r="BA243" s="1357"/>
      <c r="BB243" s="1357"/>
      <c r="BC243" s="220"/>
      <c r="BD243" s="1358"/>
      <c r="BE243" s="220"/>
      <c r="BF243" s="1357"/>
      <c r="BG243" s="220"/>
      <c r="BH243" s="1357"/>
    </row>
    <row r="244" spans="43:60" ht="15.75">
      <c r="AQ244" s="380"/>
      <c r="AR244" s="1216"/>
      <c r="AS244" s="1354"/>
      <c r="AT244" s="1355"/>
      <c r="AU244" s="1346"/>
      <c r="AV244" s="220"/>
      <c r="AW244" s="1356"/>
      <c r="AX244" s="1178"/>
      <c r="AY244" s="220"/>
      <c r="AZ244" s="1357"/>
      <c r="BA244" s="1357"/>
      <c r="BB244" s="1357"/>
      <c r="BC244" s="220"/>
      <c r="BD244" s="1358"/>
      <c r="BE244" s="220"/>
      <c r="BF244" s="1357"/>
      <c r="BG244" s="220"/>
      <c r="BH244" s="1357"/>
    </row>
    <row r="245" spans="43:60" ht="15.75">
      <c r="AQ245" s="380"/>
      <c r="AR245" s="1216"/>
      <c r="AS245" s="1354"/>
      <c r="AT245" s="1355"/>
      <c r="AU245" s="1346"/>
      <c r="AV245" s="220"/>
      <c r="AW245" s="1356"/>
      <c r="AX245" s="1178"/>
      <c r="AY245" s="220"/>
      <c r="AZ245" s="1357"/>
      <c r="BA245" s="1357"/>
      <c r="BB245" s="1357"/>
      <c r="BC245" s="220"/>
      <c r="BD245" s="1358"/>
      <c r="BE245" s="220"/>
      <c r="BF245" s="1357"/>
      <c r="BG245" s="220"/>
      <c r="BH245" s="1357"/>
    </row>
    <row r="246" spans="43:60" ht="15.75">
      <c r="AQ246" s="380"/>
      <c r="AR246" s="1216"/>
      <c r="AS246" s="1354"/>
      <c r="AT246" s="1355"/>
      <c r="AU246" s="1346"/>
      <c r="AV246" s="220"/>
      <c r="AW246" s="1356"/>
      <c r="AX246" s="1178"/>
      <c r="AY246" s="220"/>
      <c r="AZ246" s="1357"/>
      <c r="BA246" s="1357"/>
      <c r="BB246" s="1357"/>
      <c r="BC246" s="220"/>
      <c r="BD246" s="1358"/>
      <c r="BE246" s="220"/>
      <c r="BF246" s="1357"/>
      <c r="BG246" s="220"/>
      <c r="BH246" s="1357"/>
    </row>
    <row r="247" spans="43:60" ht="15.75">
      <c r="AQ247" s="380"/>
      <c r="AR247" s="1216"/>
      <c r="AS247" s="1354"/>
      <c r="AT247" s="1355"/>
      <c r="AU247" s="1346"/>
      <c r="AV247" s="220"/>
      <c r="AW247" s="1356"/>
      <c r="AX247" s="1178"/>
      <c r="AY247" s="220"/>
      <c r="AZ247" s="1357"/>
      <c r="BA247" s="1357"/>
      <c r="BB247" s="1357"/>
      <c r="BC247" s="220"/>
      <c r="BD247" s="1358"/>
      <c r="BE247" s="220"/>
      <c r="BF247" s="1357"/>
      <c r="BG247" s="220"/>
      <c r="BH247" s="1357"/>
    </row>
    <row r="248" spans="43:60" ht="15.75">
      <c r="AQ248" s="380"/>
      <c r="AR248" s="1216"/>
      <c r="AS248" s="1354"/>
      <c r="AT248" s="1355"/>
      <c r="AU248" s="1346"/>
      <c r="AV248" s="220"/>
      <c r="AW248" s="1356"/>
      <c r="AX248" s="1178"/>
      <c r="AY248" s="220"/>
      <c r="AZ248" s="1357"/>
      <c r="BA248" s="1357"/>
      <c r="BB248" s="1357"/>
      <c r="BC248" s="220"/>
      <c r="BD248" s="1358"/>
      <c r="BE248" s="220"/>
      <c r="BF248" s="1357"/>
      <c r="BG248" s="220"/>
      <c r="BH248" s="1357"/>
    </row>
    <row r="249" spans="43:60" ht="15.75">
      <c r="AQ249" s="380"/>
      <c r="AR249" s="1216"/>
      <c r="AS249" s="1354"/>
      <c r="AT249" s="1355"/>
      <c r="AU249" s="1346"/>
      <c r="AV249" s="220"/>
      <c r="AW249" s="1356"/>
      <c r="AX249" s="1178"/>
      <c r="AY249" s="220"/>
      <c r="AZ249" s="1357"/>
      <c r="BA249" s="1357"/>
      <c r="BB249" s="1357"/>
      <c r="BC249" s="220"/>
      <c r="BD249" s="1358"/>
      <c r="BE249" s="220"/>
      <c r="BF249" s="1357"/>
      <c r="BG249" s="220"/>
      <c r="BH249" s="1357"/>
    </row>
    <row r="250" spans="43:60" ht="15.75">
      <c r="AQ250" s="380"/>
      <c r="AR250" s="1216"/>
      <c r="AS250" s="1354"/>
      <c r="AT250" s="1355"/>
      <c r="AU250" s="1346"/>
      <c r="AV250" s="220"/>
      <c r="AW250" s="1356"/>
      <c r="AX250" s="1178"/>
      <c r="AY250" s="220"/>
      <c r="AZ250" s="1357"/>
      <c r="BA250" s="1357"/>
      <c r="BB250" s="1357"/>
      <c r="BC250" s="220"/>
      <c r="BD250" s="1358"/>
      <c r="BE250" s="220"/>
      <c r="BF250" s="1357"/>
      <c r="BG250" s="220"/>
      <c r="BH250" s="1357"/>
    </row>
    <row r="251" spans="43:60" ht="15.75">
      <c r="AQ251" s="380"/>
      <c r="AR251" s="1216"/>
      <c r="AS251" s="1354"/>
      <c r="AT251" s="1355"/>
      <c r="AU251" s="1346"/>
      <c r="AV251" s="220"/>
      <c r="AW251" s="1356"/>
      <c r="AX251" s="1178"/>
      <c r="AY251" s="220"/>
      <c r="AZ251" s="1357"/>
      <c r="BA251" s="1357"/>
      <c r="BB251" s="1357"/>
      <c r="BC251" s="220"/>
      <c r="BD251" s="1358"/>
      <c r="BE251" s="220"/>
      <c r="BF251" s="1357"/>
      <c r="BG251" s="220"/>
      <c r="BH251" s="1357"/>
    </row>
    <row r="252" spans="43:60" ht="15.75">
      <c r="AQ252" s="380"/>
      <c r="AR252" s="1216"/>
      <c r="AS252" s="1354"/>
      <c r="AT252" s="1355"/>
      <c r="AU252" s="1346"/>
      <c r="AV252" s="220"/>
      <c r="AW252" s="1356"/>
      <c r="AX252" s="1178"/>
      <c r="AY252" s="220"/>
      <c r="AZ252" s="1357"/>
      <c r="BA252" s="1357"/>
      <c r="BB252" s="1357"/>
      <c r="BC252" s="220"/>
      <c r="BD252" s="1358"/>
      <c r="BE252" s="220"/>
      <c r="BF252" s="1357"/>
      <c r="BG252" s="220"/>
      <c r="BH252" s="1357"/>
    </row>
    <row r="253" spans="43:60" ht="15.75">
      <c r="AQ253" s="380"/>
      <c r="AR253" s="1216"/>
      <c r="AS253" s="1354"/>
      <c r="AT253" s="1355"/>
      <c r="AU253" s="1346"/>
      <c r="AV253" s="220"/>
      <c r="AW253" s="1356"/>
      <c r="AX253" s="1178"/>
      <c r="AY253" s="220"/>
      <c r="AZ253" s="1357"/>
      <c r="BA253" s="1357"/>
      <c r="BB253" s="1357"/>
      <c r="BC253" s="220"/>
      <c r="BD253" s="1358"/>
      <c r="BE253" s="220"/>
      <c r="BF253" s="1357"/>
      <c r="BG253" s="220"/>
      <c r="BH253" s="1357"/>
    </row>
    <row r="254" spans="43:60" ht="15.75">
      <c r="AQ254" s="380"/>
      <c r="AR254" s="1216"/>
      <c r="AS254" s="1354"/>
      <c r="AT254" s="1355"/>
      <c r="AU254" s="1346"/>
      <c r="AV254" s="220"/>
      <c r="AW254" s="1356"/>
      <c r="AX254" s="1178"/>
      <c r="AY254" s="220"/>
      <c r="AZ254" s="1357"/>
      <c r="BA254" s="1357"/>
      <c r="BB254" s="1357"/>
      <c r="BC254" s="220"/>
      <c r="BD254" s="1358"/>
      <c r="BE254" s="220"/>
      <c r="BF254" s="1357"/>
      <c r="BG254" s="220"/>
      <c r="BH254" s="1357"/>
    </row>
  </sheetData>
  <sheetProtection formatColumns="0" formatRows="0" selectLockedCells="1"/>
  <dataConsolidate/>
  <mergeCells count="58">
    <mergeCell ref="S12:AC12"/>
    <mergeCell ref="S18:AC18"/>
    <mergeCell ref="S23:AC23"/>
    <mergeCell ref="S13:AC17"/>
    <mergeCell ref="S19:AC22"/>
    <mergeCell ref="S5:T5"/>
    <mergeCell ref="C2:AB2"/>
    <mergeCell ref="U5:W5"/>
    <mergeCell ref="U6:W7"/>
    <mergeCell ref="X6:X7"/>
    <mergeCell ref="Y6:Z7"/>
    <mergeCell ref="Y5:Z5"/>
    <mergeCell ref="C5:N5"/>
    <mergeCell ref="AB6:AB7"/>
    <mergeCell ref="C16:H16"/>
    <mergeCell ref="C17:H17"/>
    <mergeCell ref="C18:H18"/>
    <mergeCell ref="C23:F23"/>
    <mergeCell ref="C10:H10"/>
    <mergeCell ref="C13:H13"/>
    <mergeCell ref="C15:H15"/>
    <mergeCell ref="E42:H42"/>
    <mergeCell ref="AA41:AB41"/>
    <mergeCell ref="L41:Q41"/>
    <mergeCell ref="E41:H41"/>
    <mergeCell ref="AC6:AC7"/>
    <mergeCell ref="F37:H37"/>
    <mergeCell ref="S6:T7"/>
    <mergeCell ref="E33:F33"/>
    <mergeCell ref="C8:H8"/>
    <mergeCell ref="C9:H9"/>
    <mergeCell ref="C21:J21"/>
    <mergeCell ref="B20:O20"/>
    <mergeCell ref="E32:F32"/>
    <mergeCell ref="S8:T9"/>
    <mergeCell ref="L27:N27"/>
    <mergeCell ref="L8:O9"/>
    <mergeCell ref="C24:F24"/>
    <mergeCell ref="C25:F25"/>
    <mergeCell ref="C26:F26"/>
    <mergeCell ref="C27:F27"/>
    <mergeCell ref="E34:F34"/>
    <mergeCell ref="AB8:AB9"/>
    <mergeCell ref="U8:AA9"/>
    <mergeCell ref="AC8:AC9"/>
    <mergeCell ref="S39:X39"/>
    <mergeCell ref="L24:N24"/>
    <mergeCell ref="L25:N25"/>
    <mergeCell ref="S28:AC28"/>
    <mergeCell ref="S24:AC27"/>
    <mergeCell ref="S34:W34"/>
    <mergeCell ref="X34:Y34"/>
    <mergeCell ref="L26:N26"/>
    <mergeCell ref="S29:AC32"/>
    <mergeCell ref="Z34:AA34"/>
    <mergeCell ref="AB34:AC34"/>
    <mergeCell ref="L21:N21"/>
    <mergeCell ref="L23:N23"/>
  </mergeCells>
  <phoneticPr fontId="13" type="noConversion"/>
  <pageMargins left="0.39" right="0.39370078740157483" top="0.59055118110236227" bottom="0.39370078740157483" header="0.19685039370078741" footer="0.19685039370078741"/>
  <pageSetup paperSize="9" scale="58" orientation="landscape" r:id="rId1"/>
  <headerFooter scaleWithDoc="0">
    <oddHeader>&amp;LАудит процесса</oddHeader>
    <oddFooter>&amp;L&amp;6&amp;F&amp;RСтраница &amp;P из &amp;N</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assn">
    <tabColor indexed="39"/>
    <pageSetUpPr fitToPage="1"/>
  </sheetPr>
  <dimension ref="A1:AB322"/>
  <sheetViews>
    <sheetView showGridLines="0" topLeftCell="A43" zoomScale="90" zoomScaleNormal="90" zoomScaleSheetLayoutView="70" workbookViewId="0">
      <selection activeCell="A11" sqref="A11"/>
    </sheetView>
  </sheetViews>
  <sheetFormatPr defaultColWidth="0" defaultRowHeight="14.25"/>
  <cols>
    <col min="1" max="1" width="0.85546875" style="17" customWidth="1"/>
    <col min="2" max="2" width="11" style="18" customWidth="1"/>
    <col min="3" max="3" width="0.85546875" style="18" customWidth="1"/>
    <col min="4" max="4" width="17.7109375" style="19" customWidth="1"/>
    <col min="5" max="5" width="0.85546875" style="19" customWidth="1"/>
    <col min="6" max="6" width="55.5703125" style="22" customWidth="1"/>
    <col min="7" max="7" width="0.85546875" style="22" customWidth="1"/>
    <col min="8" max="8" width="5.140625" style="22" bestFit="1" customWidth="1"/>
    <col min="9" max="9" width="16.7109375" style="19" customWidth="1"/>
    <col min="10" max="10" width="0.85546875" style="22" customWidth="1"/>
    <col min="11" max="11" width="37.85546875" style="19" customWidth="1"/>
    <col min="12" max="12" width="0.85546875" style="19" customWidth="1"/>
    <col min="13" max="13" width="41.7109375" style="19" customWidth="1"/>
    <col min="14" max="14" width="0.85546875" style="19" customWidth="1"/>
    <col min="15" max="15" width="13.140625" style="19" customWidth="1"/>
    <col min="16" max="16" width="0.85546875" style="19" customWidth="1"/>
    <col min="17" max="17" width="15" style="19" customWidth="1"/>
    <col min="18" max="18" width="0.85546875" style="19" customWidth="1"/>
    <col min="19" max="19" width="20.7109375" style="19" customWidth="1"/>
    <col min="20" max="27" width="11.42578125" style="19" customWidth="1"/>
    <col min="28" max="28" width="46.42578125" style="19" hidden="1" customWidth="1"/>
    <col min="29" max="16384" width="11.42578125" style="19" hidden="1"/>
  </cols>
  <sheetData>
    <row r="1" spans="1:28" ht="7.5" customHeight="1">
      <c r="B1" s="93"/>
      <c r="C1" s="93"/>
      <c r="D1" s="86"/>
      <c r="E1" s="86"/>
      <c r="F1" s="86"/>
      <c r="G1" s="86"/>
      <c r="H1" s="86"/>
      <c r="I1" s="96"/>
      <c r="J1" s="86"/>
      <c r="K1" s="86"/>
      <c r="L1" s="86"/>
      <c r="M1" s="86"/>
      <c r="N1" s="86"/>
      <c r="O1" s="94"/>
      <c r="P1" s="94"/>
      <c r="Q1" s="95"/>
      <c r="R1" s="95"/>
      <c r="S1" s="96"/>
    </row>
    <row r="2" spans="1:28" ht="15.75" customHeight="1">
      <c r="D2" s="87"/>
      <c r="E2" s="87"/>
      <c r="F2" s="87"/>
      <c r="G2" s="87"/>
      <c r="H2" s="87"/>
      <c r="I2" s="90"/>
      <c r="J2" s="87"/>
      <c r="K2" s="87"/>
      <c r="L2" s="87"/>
      <c r="M2" s="87"/>
      <c r="N2" s="87"/>
      <c r="O2" s="88"/>
      <c r="P2" s="88"/>
      <c r="Q2" s="89"/>
      <c r="R2" s="89"/>
      <c r="S2" s="90"/>
    </row>
    <row r="3" spans="1:28" ht="25.5" customHeight="1">
      <c r="B3" s="107" t="str">
        <f>VLOOKUP(pos(B3),'Language-Sprachen'!$A$180:$G$199,'Language-Sprachen'!$A$3,0)</f>
        <v>Action plan with defined immediate action</v>
      </c>
      <c r="C3" s="107"/>
      <c r="D3" s="107"/>
      <c r="E3" s="107"/>
      <c r="F3" s="107"/>
      <c r="G3" s="87"/>
      <c r="H3" s="87"/>
      <c r="I3" s="90"/>
      <c r="J3" s="87"/>
      <c r="K3" s="87"/>
      <c r="L3" s="87"/>
      <c r="M3" s="87"/>
      <c r="N3" s="87"/>
      <c r="O3" s="88"/>
      <c r="P3" s="88"/>
      <c r="Q3" s="89"/>
      <c r="R3" s="89"/>
      <c r="S3" s="90"/>
      <c r="Y3" s="110"/>
      <c r="AB3" s="19" t="str">
        <f>VLOOKUP(pos(AB3),'Language-Sprachen'!$A$180:$G$199,'Language-Sprachen'!$A$3,0)</f>
        <v>Show all rows</v>
      </c>
    </row>
    <row r="4" spans="1:28" ht="12.75" customHeight="1">
      <c r="D4" s="87"/>
      <c r="E4" s="87"/>
      <c r="F4" s="87"/>
      <c r="G4" s="87"/>
      <c r="H4" s="87"/>
      <c r="I4" s="90"/>
      <c r="J4" s="87"/>
      <c r="K4" s="87"/>
      <c r="L4" s="87"/>
      <c r="M4" s="87"/>
      <c r="N4" s="87"/>
      <c r="O4" s="88"/>
      <c r="P4" s="88"/>
      <c r="Q4" s="89"/>
      <c r="R4" s="89"/>
      <c r="S4" s="90"/>
    </row>
    <row r="5" spans="1:28" ht="18">
      <c r="C5" s="97"/>
      <c r="D5" s="732" t="str">
        <f>'Input Form - EingabeMaske'!B19</f>
        <v>Supplier:</v>
      </c>
      <c r="E5" s="87"/>
      <c r="F5" s="337" t="str">
        <f>IF('Input Form - EingabeMaske'!C19=0,"",'Input Form - EingabeMaske'!C19)</f>
        <v/>
      </c>
      <c r="G5" s="337"/>
      <c r="H5" s="337"/>
      <c r="I5" s="347"/>
      <c r="J5" s="337"/>
      <c r="K5" s="337"/>
      <c r="L5" s="337"/>
      <c r="M5" s="337"/>
      <c r="N5" s="98"/>
      <c r="O5" s="733" t="str">
        <f>'Input Form - EingabeMaske'!B9</f>
        <v>Order No.:</v>
      </c>
      <c r="P5" s="88"/>
      <c r="Q5" s="347" t="str">
        <f>IF('Input Form - EingabeMaske'!C9=0,"",'Input Form - EingabeMaske'!C9)</f>
        <v/>
      </c>
      <c r="R5" s="347"/>
      <c r="S5" s="347"/>
    </row>
    <row r="6" spans="1:28" ht="18">
      <c r="C6" s="97"/>
      <c r="D6" s="732" t="str">
        <f>'Input Form - EingabeMaske'!B21</f>
        <v>Location:</v>
      </c>
      <c r="E6" s="87"/>
      <c r="F6" s="109" t="str">
        <f>IF('Input Form - EingabeMaske'!C21=0,"",'Input Form - EingabeMaske'!C21)</f>
        <v/>
      </c>
      <c r="G6" s="337"/>
      <c r="H6" s="337"/>
      <c r="I6" s="100"/>
      <c r="J6" s="337"/>
      <c r="K6" s="337"/>
      <c r="L6" s="337"/>
      <c r="M6" s="337"/>
      <c r="N6" s="98"/>
      <c r="O6" s="733" t="str">
        <f>'Input Form - EingabeMaske'!B10</f>
        <v>Date:</v>
      </c>
      <c r="P6" s="88"/>
      <c r="Q6" s="1667"/>
      <c r="R6" s="1667"/>
      <c r="S6" s="100"/>
    </row>
    <row r="7" spans="1:28" ht="20.25" customHeight="1">
      <c r="D7" s="87"/>
      <c r="E7" s="87"/>
      <c r="F7" s="87"/>
      <c r="G7" s="87"/>
      <c r="H7" s="87"/>
      <c r="I7" s="92"/>
      <c r="J7" s="87"/>
      <c r="K7" s="87"/>
      <c r="L7" s="87"/>
      <c r="M7" s="87"/>
      <c r="N7" s="87"/>
      <c r="O7" s="91"/>
      <c r="P7" s="91"/>
      <c r="Q7" s="92"/>
      <c r="R7" s="92"/>
      <c r="S7" s="92"/>
    </row>
    <row r="8" spans="1:28" ht="3.75" customHeight="1">
      <c r="A8" s="27"/>
      <c r="B8" s="216"/>
      <c r="C8" s="216"/>
      <c r="D8" s="217"/>
      <c r="E8" s="217"/>
      <c r="F8" s="217"/>
      <c r="G8" s="217"/>
      <c r="H8" s="217"/>
      <c r="I8" s="219"/>
      <c r="J8" s="217"/>
      <c r="K8" s="217"/>
      <c r="L8" s="217"/>
      <c r="M8" s="217"/>
      <c r="N8" s="217"/>
      <c r="O8" s="218"/>
      <c r="P8" s="218"/>
      <c r="Q8" s="219"/>
      <c r="R8" s="219"/>
      <c r="S8" s="219"/>
    </row>
    <row r="9" spans="1:28" ht="20.25" hidden="1">
      <c r="A9" s="27"/>
      <c r="B9" s="486"/>
      <c r="C9" s="487"/>
      <c r="D9" s="487"/>
      <c r="E9" s="487"/>
      <c r="F9" s="1668" t="str">
        <f>VLOOKUP(pos(F9),'Language-Sprachen'!$A$180:$G$199,'Language-Sprachen'!$A$3,0)</f>
        <v>Filled in by the auditor in the questionnaire</v>
      </c>
      <c r="G9" s="1669" t="e">
        <f>VLOOKUP(pos(G9),'Language-Sprachen'!$A$180:$G$199,'Language-Sprachen'!$A$3,0)</f>
        <v>#N/A</v>
      </c>
      <c r="H9" s="1669" t="e">
        <f>VLOOKUP(pos(H9),'Language-Sprachen'!$A$180:$G$199,'Language-Sprachen'!$A$3,0)</f>
        <v>#N/A</v>
      </c>
      <c r="I9" s="489"/>
      <c r="J9" s="221"/>
      <c r="K9" s="486"/>
      <c r="L9" s="487"/>
      <c r="M9" s="737"/>
      <c r="N9" s="488"/>
      <c r="O9" s="750" t="str">
        <f>VLOOKUP(pos(O9),'Language-Sprachen'!$A$180:$G$199,'Language-Sprachen'!$A$3,0)</f>
        <v>Filled in by the audited area</v>
      </c>
      <c r="P9" s="488"/>
      <c r="Q9" s="488"/>
      <c r="R9" s="488"/>
      <c r="S9" s="489"/>
    </row>
    <row r="10" spans="1:28" ht="56.25" hidden="1" customHeight="1">
      <c r="A10" s="20"/>
      <c r="B10" s="1205" t="str">
        <f>'Questions - Fragen'!C9&amp;" "&amp;'Questions - Fragen'!A9</f>
        <v>Question No.</v>
      </c>
      <c r="C10" s="1206"/>
      <c r="D10" s="1205" t="str">
        <f>VLOOKUP(pos(D10),'Language-Sprachen'!$A$180:$G$199,'Language-Sprachen'!$A$3,0)</f>
        <v>Reference</v>
      </c>
      <c r="E10" s="1207"/>
      <c r="F10" s="1205" t="str">
        <f>'Questions - Fragen'!E9</f>
        <v>Audit results</v>
      </c>
      <c r="G10" s="1207"/>
      <c r="H10" s="1208" t="str">
        <f>VLOOKUP(pos(H10),'Language-Sprachen'!$A$180:$G$199,'Language-Sprachen'!$A$3,0)</f>
        <v>Points</v>
      </c>
      <c r="I10" s="1209" t="str">
        <f>VLOOKUP(pos(I10),'Language-Sprachen'!$A$180:$G$199,'Language-Sprachen'!$A$3,0)</f>
        <v>Immediate action (x)</v>
      </c>
      <c r="J10" s="1206"/>
      <c r="K10" s="1124" t="str">
        <f>VLOOKUP(pos(K10),'Language-Sprachen'!$A$180:$G$199,'Language-Sprachen'!$A$3,0)</f>
        <v>Reason(s)</v>
      </c>
      <c r="L10" s="1061"/>
      <c r="M10" s="1125" t="str">
        <f>VLOOKUP(pos(M10),'Language-Sprachen'!$A$180:$G$199,'Language-Sprachen'!$A$3,0)</f>
        <v>Measure(s)</v>
      </c>
      <c r="N10" s="1210"/>
      <c r="O10" s="1205" t="str">
        <f>VLOOKUP(pos(O10),'Language-Sprachen'!$A$180:$G$199,'Language-Sprachen'!$A$3,0)</f>
        <v>Deadline</v>
      </c>
      <c r="P10" s="1210"/>
      <c r="Q10" s="1205" t="str">
        <f>VLOOKUP(pos(Q10),'Language-Sprachen'!$A$180:$G$199,'Language-Sprachen'!$A$3,0)</f>
        <v>Respon-sibility</v>
      </c>
      <c r="R10" s="1210"/>
      <c r="S10" s="1209" t="str">
        <f>VLOOKUP(pos(S10),'Language-Sprachen'!$A$180:$G$199,'Language-Sprachen'!$A$3,0)</f>
        <v>Effec-tivity</v>
      </c>
      <c r="AB10" s="19" t="str">
        <f>VLOOKUP(pos(AB10),'Language-Sprachen'!$A$180:$G$199,'Language-Sprachen'!$A$3,0)</f>
        <v>Copy sheet to new file (only for suppliers)</v>
      </c>
    </row>
    <row r="11" spans="1:28" s="22" customFormat="1" ht="15.75" hidden="1">
      <c r="A11" s="348"/>
      <c r="B11" s="683" t="s">
        <v>96</v>
      </c>
      <c r="C11" s="684"/>
      <c r="D11" s="685"/>
      <c r="E11" s="686"/>
      <c r="F11" s="687" t="str">
        <f>'Questions - Fragen'!C12</f>
        <v>Project management</v>
      </c>
      <c r="G11" s="688"/>
      <c r="H11" s="689">
        <f>IF(COUNTIF(H12:H18,"&lt;10")=0,10,"X")</f>
        <v>10</v>
      </c>
      <c r="I11" s="690"/>
      <c r="J11" s="688"/>
      <c r="K11" s="690"/>
      <c r="L11" s="690"/>
      <c r="M11" s="690"/>
      <c r="N11" s="690"/>
      <c r="O11" s="691"/>
      <c r="P11" s="690"/>
      <c r="Q11" s="690"/>
      <c r="R11" s="690"/>
      <c r="S11" s="690"/>
    </row>
    <row r="12" spans="1:28" s="22" customFormat="1" ht="15.75">
      <c r="A12" s="23"/>
      <c r="B12" s="369" t="str">
        <f>'Questions - Fragen'!A13</f>
        <v>2.1</v>
      </c>
      <c r="C12" s="21"/>
      <c r="D12" s="692"/>
      <c r="E12" s="693"/>
      <c r="F12" s="694" t="str">
        <f>'Questions - Fragen'!E13</f>
        <v>Enter text</v>
      </c>
      <c r="G12" s="220"/>
      <c r="H12" s="363" t="str">
        <f>'Questions - Fragen'!D13</f>
        <v>н.о.</v>
      </c>
      <c r="I12" s="1171" t="str">
        <f>IF('Questions - Fragen'!F13="","",'Questions - Fragen'!F13)</f>
        <v/>
      </c>
      <c r="J12" s="220"/>
      <c r="K12" s="985"/>
      <c r="L12" s="1059"/>
      <c r="M12" s="985"/>
      <c r="N12" s="220"/>
      <c r="O12" s="991"/>
      <c r="P12" s="220"/>
      <c r="Q12" s="985"/>
      <c r="R12" s="220"/>
      <c r="S12" s="985"/>
    </row>
    <row r="13" spans="1:28" s="25" customFormat="1" ht="15.75">
      <c r="A13" s="23"/>
      <c r="B13" s="368" t="str">
        <f>'Questions - Fragen'!A14</f>
        <v>2.2</v>
      </c>
      <c r="C13" s="21"/>
      <c r="D13" s="692"/>
      <c r="E13" s="693"/>
      <c r="F13" s="695" t="str">
        <f>'Questions - Fragen'!E14</f>
        <v>Enter text</v>
      </c>
      <c r="G13" s="220"/>
      <c r="H13" s="363" t="str">
        <f>'Questions - Fragen'!D14</f>
        <v>н.о.</v>
      </c>
      <c r="I13" s="1171" t="str">
        <f>IF('Questions - Fragen'!F14="","",'Questions - Fragen'!F14)</f>
        <v/>
      </c>
      <c r="J13" s="220"/>
      <c r="K13" s="985"/>
      <c r="L13" s="988"/>
      <c r="M13" s="985"/>
      <c r="N13" s="220"/>
      <c r="O13" s="991"/>
      <c r="P13" s="220"/>
      <c r="Q13" s="985"/>
      <c r="R13" s="220"/>
      <c r="S13" s="985"/>
    </row>
    <row r="14" spans="1:28" s="25" customFormat="1" ht="15.75">
      <c r="A14" s="23"/>
      <c r="B14" s="368" t="str">
        <f>'Questions - Fragen'!A15</f>
        <v>2.3</v>
      </c>
      <c r="C14" s="21"/>
      <c r="D14" s="692"/>
      <c r="E14" s="693"/>
      <c r="F14" s="695" t="str">
        <f>'Questions - Fragen'!E15</f>
        <v>Enter text</v>
      </c>
      <c r="G14" s="220"/>
      <c r="H14" s="363" t="str">
        <f>'Questions - Fragen'!D15</f>
        <v>н.о.</v>
      </c>
      <c r="I14" s="1171" t="str">
        <f>IF('Questions - Fragen'!F15="","",'Questions - Fragen'!F15)</f>
        <v/>
      </c>
      <c r="J14" s="220"/>
      <c r="K14" s="985"/>
      <c r="L14" s="988"/>
      <c r="M14" s="985"/>
      <c r="N14" s="220"/>
      <c r="O14" s="991"/>
      <c r="P14" s="220"/>
      <c r="Q14" s="985"/>
      <c r="R14" s="220"/>
      <c r="S14" s="985"/>
    </row>
    <row r="15" spans="1:28" s="25" customFormat="1" ht="15.75">
      <c r="A15" s="23"/>
      <c r="B15" s="368" t="str">
        <f>'Questions - Fragen'!A16</f>
        <v>2.4</v>
      </c>
      <c r="C15" s="21"/>
      <c r="D15" s="692"/>
      <c r="E15" s="693"/>
      <c r="F15" s="695" t="str">
        <f>'Questions - Fragen'!E16</f>
        <v>Enter text</v>
      </c>
      <c r="G15" s="220"/>
      <c r="H15" s="363" t="str">
        <f>'Questions - Fragen'!D16</f>
        <v>н.о.</v>
      </c>
      <c r="I15" s="1171" t="str">
        <f>IF('Questions - Fragen'!F16="","",'Questions - Fragen'!F16)</f>
        <v/>
      </c>
      <c r="J15" s="220"/>
      <c r="K15" s="985"/>
      <c r="L15" s="988"/>
      <c r="M15" s="985"/>
      <c r="N15" s="220"/>
      <c r="O15" s="991"/>
      <c r="P15" s="220"/>
      <c r="Q15" s="985"/>
      <c r="R15" s="220"/>
      <c r="S15" s="985"/>
    </row>
    <row r="16" spans="1:28" s="25" customFormat="1" ht="15.75">
      <c r="A16" s="23"/>
      <c r="B16" s="368" t="str">
        <f>'Questions - Fragen'!A17</f>
        <v>2.5</v>
      </c>
      <c r="C16" s="21"/>
      <c r="D16" s="692"/>
      <c r="E16" s="693"/>
      <c r="F16" s="695" t="str">
        <f>'Questions - Fragen'!E17</f>
        <v>Enter text</v>
      </c>
      <c r="G16" s="220"/>
      <c r="H16" s="363" t="str">
        <f>'Questions - Fragen'!D17</f>
        <v>н.о.</v>
      </c>
      <c r="I16" s="1171" t="str">
        <f>IF('Questions - Fragen'!F17="","",'Questions - Fragen'!F17)</f>
        <v/>
      </c>
      <c r="J16" s="220"/>
      <c r="K16" s="985"/>
      <c r="L16" s="988"/>
      <c r="M16" s="985"/>
      <c r="N16" s="220"/>
      <c r="O16" s="991"/>
      <c r="P16" s="220"/>
      <c r="Q16" s="985"/>
      <c r="R16" s="220"/>
      <c r="S16" s="985"/>
    </row>
    <row r="17" spans="1:19" s="25" customFormat="1" ht="15.75">
      <c r="A17" s="23"/>
      <c r="B17" s="368" t="str">
        <f>'Questions - Fragen'!A18</f>
        <v>2.6</v>
      </c>
      <c r="C17" s="21"/>
      <c r="D17" s="692"/>
      <c r="E17" s="693"/>
      <c r="F17" s="695" t="str">
        <f>'Questions - Fragen'!E18</f>
        <v>Enter text</v>
      </c>
      <c r="G17" s="220"/>
      <c r="H17" s="363" t="str">
        <f>'Questions - Fragen'!D18</f>
        <v>н.о.</v>
      </c>
      <c r="I17" s="1171" t="str">
        <f>IF('Questions - Fragen'!F18="","",'Questions - Fragen'!F18)</f>
        <v/>
      </c>
      <c r="J17" s="220"/>
      <c r="K17" s="985"/>
      <c r="L17" s="988"/>
      <c r="M17" s="985"/>
      <c r="N17" s="220"/>
      <c r="O17" s="991"/>
      <c r="P17" s="220"/>
      <c r="Q17" s="985"/>
      <c r="R17" s="220"/>
      <c r="S17" s="985"/>
    </row>
    <row r="18" spans="1:19" s="25" customFormat="1" ht="16.5" thickBot="1">
      <c r="A18" s="23"/>
      <c r="B18" s="380" t="str">
        <f>'Questions - Fragen'!A19</f>
        <v>2.7</v>
      </c>
      <c r="C18" s="21"/>
      <c r="D18" s="696"/>
      <c r="E18" s="697"/>
      <c r="F18" s="698" t="str">
        <f>'Questions - Fragen'!E19</f>
        <v>Enter text</v>
      </c>
      <c r="G18" s="220"/>
      <c r="H18" s="365" t="str">
        <f>'Questions - Fragen'!D19</f>
        <v>н.о.</v>
      </c>
      <c r="I18" s="1172" t="str">
        <f>IF('Questions - Fragen'!F19="","",'Questions - Fragen'!F19)</f>
        <v/>
      </c>
      <c r="J18" s="220"/>
      <c r="K18" s="988"/>
      <c r="L18" s="990"/>
      <c r="M18" s="988"/>
      <c r="N18" s="220"/>
      <c r="O18" s="992"/>
      <c r="P18" s="220"/>
      <c r="Q18" s="988"/>
      <c r="R18" s="220"/>
      <c r="S18" s="988"/>
    </row>
    <row r="19" spans="1:19" s="22" customFormat="1" ht="15.75" hidden="1">
      <c r="A19" s="348"/>
      <c r="B19" s="682" t="s">
        <v>97</v>
      </c>
      <c r="C19" s="699"/>
      <c r="D19" s="700"/>
      <c r="E19" s="701"/>
      <c r="F19" s="702" t="str">
        <f>'Questions - Fragen'!C20</f>
        <v>Planning the product and process development</v>
      </c>
      <c r="G19" s="703"/>
      <c r="H19" s="704">
        <f>IF(COUNTIF(H20:H29,"&lt;10")=0,10,"X")</f>
        <v>10</v>
      </c>
      <c r="I19" s="705"/>
      <c r="J19" s="703"/>
      <c r="K19" s="705"/>
      <c r="L19" s="705"/>
      <c r="M19" s="705"/>
      <c r="N19" s="705"/>
      <c r="O19" s="706"/>
      <c r="P19" s="705"/>
      <c r="Q19" s="705"/>
      <c r="R19" s="705"/>
      <c r="S19" s="705"/>
    </row>
    <row r="20" spans="1:19" s="25" customFormat="1" ht="15.75">
      <c r="A20" s="23"/>
      <c r="B20" s="368" t="str">
        <f>'Questions - Fragen'!A22</f>
        <v>3.1</v>
      </c>
      <c r="C20" s="21"/>
      <c r="D20" s="707" t="str">
        <f>'Questions - Fragen'!$C$23</f>
        <v>Product</v>
      </c>
      <c r="E20" s="693"/>
      <c r="F20" s="695" t="str">
        <f>'Questions - Fragen'!E23</f>
        <v>Enter text</v>
      </c>
      <c r="G20" s="220"/>
      <c r="H20" s="363" t="str">
        <f>'Questions - Fragen'!D23</f>
        <v>н.о.</v>
      </c>
      <c r="I20" s="1171" t="str">
        <f>IF('Questions - Fragen'!F23="","",'Questions - Fragen'!F23)</f>
        <v/>
      </c>
      <c r="J20" s="220"/>
      <c r="K20" s="985"/>
      <c r="L20" s="1059"/>
      <c r="M20" s="985"/>
      <c r="N20" s="220"/>
      <c r="O20" s="991"/>
      <c r="P20" s="220"/>
      <c r="Q20" s="985"/>
      <c r="R20" s="220"/>
      <c r="S20" s="985"/>
    </row>
    <row r="21" spans="1:19" s="25" customFormat="1" ht="15.75">
      <c r="A21" s="23"/>
      <c r="B21" s="373" t="str">
        <f>'Questions - Fragen'!A22</f>
        <v>3.1</v>
      </c>
      <c r="C21" s="370"/>
      <c r="D21" s="708" t="str">
        <f>'Questions - Fragen'!$C$24</f>
        <v>Process</v>
      </c>
      <c r="E21" s="709"/>
      <c r="F21" s="710" t="str">
        <f>'Questions - Fragen'!E24</f>
        <v>Enter text</v>
      </c>
      <c r="G21" s="371"/>
      <c r="H21" s="372" t="str">
        <f>'Questions - Fragen'!D24</f>
        <v>н.о.</v>
      </c>
      <c r="I21" s="1171" t="str">
        <f>IF('Questions - Fragen'!F24="","",'Questions - Fragen'!F24)</f>
        <v/>
      </c>
      <c r="J21" s="371"/>
      <c r="K21" s="986"/>
      <c r="L21" s="986"/>
      <c r="M21" s="986"/>
      <c r="N21" s="371"/>
      <c r="O21" s="993"/>
      <c r="P21" s="371"/>
      <c r="Q21" s="986"/>
      <c r="R21" s="371"/>
      <c r="S21" s="986"/>
    </row>
    <row r="22" spans="1:19" s="25" customFormat="1" ht="15.75">
      <c r="A22" s="23"/>
      <c r="B22" s="368" t="str">
        <f>'Questions - Fragen'!A25</f>
        <v>3.2</v>
      </c>
      <c r="C22" s="21"/>
      <c r="D22" s="707" t="str">
        <f>'Questions - Fragen'!$C$23</f>
        <v>Product</v>
      </c>
      <c r="E22" s="693"/>
      <c r="F22" s="695" t="str">
        <f>'Questions - Fragen'!E26</f>
        <v>Enter text</v>
      </c>
      <c r="G22" s="220"/>
      <c r="H22" s="363" t="str">
        <f>'Questions - Fragen'!D26</f>
        <v>н.о.</v>
      </c>
      <c r="I22" s="1171" t="str">
        <f>IF('Questions - Fragen'!F26="","",'Questions - Fragen'!F26)</f>
        <v/>
      </c>
      <c r="J22" s="220"/>
      <c r="K22" s="985"/>
      <c r="L22" s="1059"/>
      <c r="M22" s="985"/>
      <c r="N22" s="220"/>
      <c r="O22" s="991"/>
      <c r="P22" s="220"/>
      <c r="Q22" s="985"/>
      <c r="R22" s="220"/>
      <c r="S22" s="985"/>
    </row>
    <row r="23" spans="1:19" s="25" customFormat="1" ht="15.75">
      <c r="A23" s="23"/>
      <c r="B23" s="373" t="str">
        <f>'Questions - Fragen'!A25</f>
        <v>3.2</v>
      </c>
      <c r="C23" s="370"/>
      <c r="D23" s="708" t="str">
        <f>'Questions - Fragen'!$C$24</f>
        <v>Process</v>
      </c>
      <c r="E23" s="709"/>
      <c r="F23" s="710" t="str">
        <f>'Questions - Fragen'!E27</f>
        <v>Enter text</v>
      </c>
      <c r="G23" s="371"/>
      <c r="H23" s="372" t="str">
        <f>'Questions - Fragen'!D27</f>
        <v>н.о.</v>
      </c>
      <c r="I23" s="1171" t="str">
        <f>IF('Questions - Fragen'!F27="","",'Questions - Fragen'!F27)</f>
        <v/>
      </c>
      <c r="J23" s="371"/>
      <c r="K23" s="986"/>
      <c r="L23" s="986"/>
      <c r="M23" s="986"/>
      <c r="N23" s="371"/>
      <c r="O23" s="993"/>
      <c r="P23" s="371"/>
      <c r="Q23" s="986"/>
      <c r="R23" s="371"/>
      <c r="S23" s="986"/>
    </row>
    <row r="24" spans="1:19" s="22" customFormat="1" ht="15.75">
      <c r="A24" s="23"/>
      <c r="B24" s="368" t="str">
        <f>'Questions - Fragen'!A28</f>
        <v>3.3</v>
      </c>
      <c r="C24" s="21"/>
      <c r="D24" s="707" t="str">
        <f>'Questions - Fragen'!$C$23</f>
        <v>Product</v>
      </c>
      <c r="E24" s="693"/>
      <c r="F24" s="695" t="str">
        <f>'Questions - Fragen'!E29</f>
        <v>Enter text</v>
      </c>
      <c r="G24" s="220"/>
      <c r="H24" s="363" t="str">
        <f>'Questions - Fragen'!D29</f>
        <v>н.о.</v>
      </c>
      <c r="I24" s="1171" t="str">
        <f>IF('Questions - Fragen'!F29="","",'Questions - Fragen'!F29)</f>
        <v/>
      </c>
      <c r="J24" s="220"/>
      <c r="K24" s="985"/>
      <c r="L24" s="1059"/>
      <c r="M24" s="985"/>
      <c r="N24" s="220"/>
      <c r="O24" s="991"/>
      <c r="P24" s="220"/>
      <c r="Q24" s="985"/>
      <c r="R24" s="220"/>
      <c r="S24" s="985"/>
    </row>
    <row r="25" spans="1:19" s="22" customFormat="1" ht="15.75">
      <c r="A25" s="23"/>
      <c r="B25" s="373" t="str">
        <f>'Questions - Fragen'!A28</f>
        <v>3.3</v>
      </c>
      <c r="C25" s="370"/>
      <c r="D25" s="708" t="str">
        <f>'Questions - Fragen'!$C$24</f>
        <v>Process</v>
      </c>
      <c r="E25" s="709"/>
      <c r="F25" s="710" t="str">
        <f>'Questions - Fragen'!E30</f>
        <v>Enter text</v>
      </c>
      <c r="G25" s="371"/>
      <c r="H25" s="372" t="str">
        <f>'Questions - Fragen'!D30</f>
        <v>н.о.</v>
      </c>
      <c r="I25" s="1171" t="str">
        <f>IF('Questions - Fragen'!F30="","",'Questions - Fragen'!F30)</f>
        <v/>
      </c>
      <c r="J25" s="371"/>
      <c r="K25" s="986"/>
      <c r="L25" s="986"/>
      <c r="M25" s="986"/>
      <c r="N25" s="371"/>
      <c r="O25" s="993"/>
      <c r="P25" s="371"/>
      <c r="Q25" s="986"/>
      <c r="R25" s="371"/>
      <c r="S25" s="986"/>
    </row>
    <row r="26" spans="1:19" s="22" customFormat="1" ht="15.75">
      <c r="A26" s="23"/>
      <c r="B26" s="368" t="str">
        <f>'Questions - Fragen'!A31</f>
        <v>3.4</v>
      </c>
      <c r="C26" s="21"/>
      <c r="D26" s="707" t="str">
        <f>'Questions - Fragen'!$C$23</f>
        <v>Product</v>
      </c>
      <c r="E26" s="693"/>
      <c r="F26" s="695" t="str">
        <f>'Questions - Fragen'!E32</f>
        <v>Enter text</v>
      </c>
      <c r="G26" s="220"/>
      <c r="H26" s="363" t="str">
        <f>'Questions - Fragen'!D32</f>
        <v>н.о.</v>
      </c>
      <c r="I26" s="1171" t="str">
        <f>IF('Questions - Fragen'!F32="","",'Questions - Fragen'!F32)</f>
        <v/>
      </c>
      <c r="J26" s="220"/>
      <c r="K26" s="985"/>
      <c r="L26" s="988"/>
      <c r="M26" s="985"/>
      <c r="N26" s="220"/>
      <c r="O26" s="991"/>
      <c r="P26" s="220"/>
      <c r="Q26" s="985"/>
      <c r="R26" s="220"/>
      <c r="S26" s="985"/>
    </row>
    <row r="27" spans="1:19" s="22" customFormat="1" ht="15.75">
      <c r="A27" s="23"/>
      <c r="B27" s="373" t="str">
        <f>'Questions - Fragen'!A31</f>
        <v>3.4</v>
      </c>
      <c r="C27" s="370"/>
      <c r="D27" s="708" t="str">
        <f>'Questions - Fragen'!$C$24</f>
        <v>Process</v>
      </c>
      <c r="E27" s="709"/>
      <c r="F27" s="710" t="str">
        <f>'Questions - Fragen'!E33</f>
        <v>Enter text</v>
      </c>
      <c r="G27" s="371"/>
      <c r="H27" s="372" t="str">
        <f>'Questions - Fragen'!D33</f>
        <v>н.о.</v>
      </c>
      <c r="I27" s="1171" t="str">
        <f>IF('Questions - Fragen'!F33="","",'Questions - Fragen'!F33)</f>
        <v/>
      </c>
      <c r="J27" s="371"/>
      <c r="K27" s="986"/>
      <c r="L27" s="988"/>
      <c r="M27" s="986"/>
      <c r="N27" s="371"/>
      <c r="O27" s="993"/>
      <c r="P27" s="371"/>
      <c r="Q27" s="986"/>
      <c r="R27" s="371"/>
      <c r="S27" s="986"/>
    </row>
    <row r="28" spans="1:19" s="22" customFormat="1" ht="15.75">
      <c r="A28" s="23"/>
      <c r="B28" s="368" t="str">
        <f>'Questions - Fragen'!A34</f>
        <v>3.5</v>
      </c>
      <c r="C28" s="21"/>
      <c r="D28" s="707" t="str">
        <f>'Questions - Fragen'!$C$23</f>
        <v>Product</v>
      </c>
      <c r="E28" s="693"/>
      <c r="F28" s="695" t="str">
        <f>'Questions - Fragen'!E35</f>
        <v>Enter text</v>
      </c>
      <c r="G28" s="220"/>
      <c r="H28" s="363" t="str">
        <f>'Questions - Fragen'!D35</f>
        <v>н.о.</v>
      </c>
      <c r="I28" s="1171" t="str">
        <f>IF('Questions - Fragen'!F35="","",'Questions - Fragen'!F35)</f>
        <v/>
      </c>
      <c r="J28" s="220"/>
      <c r="K28" s="985"/>
      <c r="L28" s="1059"/>
      <c r="M28" s="985"/>
      <c r="N28" s="220"/>
      <c r="O28" s="991"/>
      <c r="P28" s="220"/>
      <c r="Q28" s="985"/>
      <c r="R28" s="220"/>
      <c r="S28" s="985"/>
    </row>
    <row r="29" spans="1:19" s="22" customFormat="1" ht="16.5" thickBot="1">
      <c r="A29" s="23"/>
      <c r="B29" s="374" t="str">
        <f>'Questions - Fragen'!A34</f>
        <v>3.5</v>
      </c>
      <c r="C29" s="361"/>
      <c r="D29" s="708" t="str">
        <f>'Questions - Fragen'!$C$24</f>
        <v>Process</v>
      </c>
      <c r="E29" s="711"/>
      <c r="F29" s="712" t="str">
        <f>'Questions - Fragen'!E36</f>
        <v>Enter text</v>
      </c>
      <c r="G29" s="362"/>
      <c r="H29" s="364" t="str">
        <f>'Questions - Fragen'!D36</f>
        <v>н.о.</v>
      </c>
      <c r="I29" s="1171" t="str">
        <f>IF('Questions - Fragen'!F36="","",'Questions - Fragen'!F36)</f>
        <v/>
      </c>
      <c r="J29" s="362"/>
      <c r="K29" s="990"/>
      <c r="L29" s="990"/>
      <c r="M29" s="990"/>
      <c r="N29" s="362"/>
      <c r="O29" s="994"/>
      <c r="P29" s="362"/>
      <c r="Q29" s="990"/>
      <c r="R29" s="362"/>
      <c r="S29" s="990"/>
    </row>
    <row r="30" spans="1:19" s="22" customFormat="1" ht="31.5" hidden="1">
      <c r="A30" s="348"/>
      <c r="B30" s="682" t="s">
        <v>98</v>
      </c>
      <c r="C30" s="699"/>
      <c r="D30" s="700"/>
      <c r="E30" s="701"/>
      <c r="F30" s="702" t="str">
        <f>'Questions - Fragen'!C37</f>
        <v>Implementation of the product and process development</v>
      </c>
      <c r="G30" s="703"/>
      <c r="H30" s="704">
        <f>IF(COUNTIF(H31:H44,"&lt;10")=0,10,"X")</f>
        <v>10</v>
      </c>
      <c r="I30" s="705"/>
      <c r="J30" s="703"/>
      <c r="K30" s="705"/>
      <c r="L30" s="705"/>
      <c r="M30" s="705"/>
      <c r="N30" s="705"/>
      <c r="O30" s="706"/>
      <c r="P30" s="705"/>
      <c r="Q30" s="705"/>
      <c r="R30" s="705"/>
      <c r="S30" s="705"/>
    </row>
    <row r="31" spans="1:19" s="22" customFormat="1" ht="15.75">
      <c r="A31" s="23"/>
      <c r="B31" s="368" t="str">
        <f>'Questions - Fragen'!A39</f>
        <v>4.1</v>
      </c>
      <c r="C31" s="21"/>
      <c r="D31" s="707" t="str">
        <f>'Questions - Fragen'!$C$23</f>
        <v>Product</v>
      </c>
      <c r="E31" s="693"/>
      <c r="F31" s="695" t="str">
        <f>'Questions - Fragen'!E40</f>
        <v>Enter text</v>
      </c>
      <c r="G31" s="220"/>
      <c r="H31" s="363" t="str">
        <f>'Questions - Fragen'!D40</f>
        <v>н.о.</v>
      </c>
      <c r="I31" s="1171" t="str">
        <f>IF('Questions - Fragen'!F40="","",'Questions - Fragen'!F40)</f>
        <v/>
      </c>
      <c r="J31" s="220"/>
      <c r="K31" s="985"/>
      <c r="L31" s="1059"/>
      <c r="M31" s="985"/>
      <c r="N31" s="220"/>
      <c r="O31" s="991"/>
      <c r="P31" s="220"/>
      <c r="Q31" s="985"/>
      <c r="R31" s="220"/>
      <c r="S31" s="985"/>
    </row>
    <row r="32" spans="1:19" s="22" customFormat="1" ht="15.75">
      <c r="A32" s="23"/>
      <c r="B32" s="373" t="str">
        <f>'Questions - Fragen'!A39</f>
        <v>4.1</v>
      </c>
      <c r="C32" s="370"/>
      <c r="D32" s="708" t="str">
        <f>'Questions - Fragen'!$C$24</f>
        <v>Process</v>
      </c>
      <c r="E32" s="709"/>
      <c r="F32" s="710" t="str">
        <f>'Questions - Fragen'!E41</f>
        <v>Enter text</v>
      </c>
      <c r="G32" s="371"/>
      <c r="H32" s="372" t="str">
        <f>'Questions - Fragen'!D41</f>
        <v>н.о.</v>
      </c>
      <c r="I32" s="1173" t="str">
        <f>IF('Questions - Fragen'!F41="","",'Questions - Fragen'!F41)</f>
        <v/>
      </c>
      <c r="J32" s="371"/>
      <c r="K32" s="986"/>
      <c r="L32" s="986"/>
      <c r="M32" s="986"/>
      <c r="N32" s="371"/>
      <c r="O32" s="993"/>
      <c r="P32" s="371"/>
      <c r="Q32" s="986"/>
      <c r="R32" s="371"/>
      <c r="S32" s="986"/>
    </row>
    <row r="33" spans="1:19" ht="15.75">
      <c r="A33" s="23"/>
      <c r="B33" s="368" t="str">
        <f>'Questions - Fragen'!A42</f>
        <v>4.2</v>
      </c>
      <c r="C33" s="21"/>
      <c r="D33" s="707" t="str">
        <f>'Questions - Fragen'!$C$23</f>
        <v>Product</v>
      </c>
      <c r="E33" s="693"/>
      <c r="F33" s="695" t="str">
        <f>'Questions - Fragen'!E43</f>
        <v>Enter text</v>
      </c>
      <c r="G33" s="220"/>
      <c r="H33" s="363" t="str">
        <f>'Questions - Fragen'!D43</f>
        <v>н.о.</v>
      </c>
      <c r="I33" s="1171" t="str">
        <f>IF('Questions - Fragen'!F43="","",'Questions - Fragen'!F43)</f>
        <v/>
      </c>
      <c r="J33" s="220"/>
      <c r="K33" s="985"/>
      <c r="L33" s="1059"/>
      <c r="M33" s="985"/>
      <c r="N33" s="220"/>
      <c r="O33" s="991"/>
      <c r="P33" s="220"/>
      <c r="Q33" s="985"/>
      <c r="R33" s="220"/>
      <c r="S33" s="985"/>
    </row>
    <row r="34" spans="1:19" ht="15.75">
      <c r="A34" s="23"/>
      <c r="B34" s="373" t="str">
        <f>'Questions - Fragen'!A42</f>
        <v>4.2</v>
      </c>
      <c r="C34" s="370"/>
      <c r="D34" s="708" t="str">
        <f>'Questions - Fragen'!$C$24</f>
        <v>Process</v>
      </c>
      <c r="E34" s="709"/>
      <c r="F34" s="710" t="str">
        <f>'Questions - Fragen'!E44</f>
        <v>Enter text</v>
      </c>
      <c r="G34" s="371"/>
      <c r="H34" s="372" t="str">
        <f>'Questions - Fragen'!D44</f>
        <v>н.о.</v>
      </c>
      <c r="I34" s="1173" t="str">
        <f>IF('Questions - Fragen'!F44="","",'Questions - Fragen'!F44)</f>
        <v/>
      </c>
      <c r="J34" s="371"/>
      <c r="K34" s="986"/>
      <c r="L34" s="986"/>
      <c r="M34" s="986"/>
      <c r="N34" s="371"/>
      <c r="O34" s="993"/>
      <c r="P34" s="371"/>
      <c r="Q34" s="986"/>
      <c r="R34" s="371"/>
      <c r="S34" s="986"/>
    </row>
    <row r="35" spans="1:19" s="22" customFormat="1" ht="15.75">
      <c r="A35" s="23"/>
      <c r="B35" s="368" t="str">
        <f>'Questions - Fragen'!A45</f>
        <v>4.3</v>
      </c>
      <c r="C35" s="21"/>
      <c r="D35" s="707" t="str">
        <f>'Questions - Fragen'!$C$23</f>
        <v>Product</v>
      </c>
      <c r="E35" s="693"/>
      <c r="F35" s="695" t="str">
        <f>'Questions - Fragen'!E46</f>
        <v>Enter text</v>
      </c>
      <c r="G35" s="220"/>
      <c r="H35" s="363" t="str">
        <f>'Questions - Fragen'!D46</f>
        <v>н.о.</v>
      </c>
      <c r="I35" s="1171" t="str">
        <f>IF('Questions - Fragen'!F46="","",'Questions - Fragen'!F46)</f>
        <v/>
      </c>
      <c r="J35" s="220"/>
      <c r="K35" s="985"/>
      <c r="L35" s="1059"/>
      <c r="M35" s="985"/>
      <c r="N35" s="220"/>
      <c r="O35" s="991"/>
      <c r="P35" s="220"/>
      <c r="Q35" s="985"/>
      <c r="R35" s="220"/>
      <c r="S35" s="985"/>
    </row>
    <row r="36" spans="1:19" s="22" customFormat="1" ht="15.75">
      <c r="A36" s="23"/>
      <c r="B36" s="373" t="str">
        <f>'Questions - Fragen'!A45</f>
        <v>4.3</v>
      </c>
      <c r="C36" s="370"/>
      <c r="D36" s="708" t="str">
        <f>'Questions - Fragen'!$C$24</f>
        <v>Process</v>
      </c>
      <c r="E36" s="709"/>
      <c r="F36" s="710" t="str">
        <f>'Questions - Fragen'!E47</f>
        <v>Enter text</v>
      </c>
      <c r="G36" s="371"/>
      <c r="H36" s="372" t="str">
        <f>'Questions - Fragen'!D47</f>
        <v>н.о.</v>
      </c>
      <c r="I36" s="1173" t="str">
        <f>IF('Questions - Fragen'!F47="","",'Questions - Fragen'!F47)</f>
        <v/>
      </c>
      <c r="J36" s="371"/>
      <c r="K36" s="986"/>
      <c r="L36" s="986"/>
      <c r="M36" s="986"/>
      <c r="N36" s="371"/>
      <c r="O36" s="993"/>
      <c r="P36" s="371"/>
      <c r="Q36" s="986"/>
      <c r="R36" s="371"/>
      <c r="S36" s="986"/>
    </row>
    <row r="37" spans="1:19" s="22" customFormat="1" ht="15.75">
      <c r="A37" s="23"/>
      <c r="B37" s="368" t="str">
        <f>'Questions - Fragen'!A48</f>
        <v>4.4</v>
      </c>
      <c r="C37" s="21"/>
      <c r="D37" s="707" t="str">
        <f>'Questions - Fragen'!$C$23</f>
        <v>Product</v>
      </c>
      <c r="E37" s="693"/>
      <c r="F37" s="695" t="str">
        <f>'Questions - Fragen'!E49</f>
        <v>Enter text</v>
      </c>
      <c r="G37" s="220"/>
      <c r="H37" s="363" t="str">
        <f>'Questions - Fragen'!D49</f>
        <v>н.о.</v>
      </c>
      <c r="I37" s="1171" t="str">
        <f>IF('Questions - Fragen'!F49="","",'Questions - Fragen'!F49)</f>
        <v/>
      </c>
      <c r="J37" s="220"/>
      <c r="K37" s="985"/>
      <c r="L37" s="1059"/>
      <c r="M37" s="985"/>
      <c r="N37" s="220"/>
      <c r="O37" s="991"/>
      <c r="P37" s="220"/>
      <c r="Q37" s="985"/>
      <c r="R37" s="220"/>
      <c r="S37" s="985"/>
    </row>
    <row r="38" spans="1:19" s="22" customFormat="1" ht="15.75">
      <c r="A38" s="23"/>
      <c r="B38" s="373" t="str">
        <f>'Questions - Fragen'!A48</f>
        <v>4.4</v>
      </c>
      <c r="C38" s="370"/>
      <c r="D38" s="708" t="str">
        <f>'Questions - Fragen'!$C$24</f>
        <v>Process</v>
      </c>
      <c r="E38" s="709"/>
      <c r="F38" s="710" t="str">
        <f>'Questions - Fragen'!E50</f>
        <v>Enter text</v>
      </c>
      <c r="G38" s="371"/>
      <c r="H38" s="372" t="str">
        <f>'Questions - Fragen'!D50</f>
        <v>н.о.</v>
      </c>
      <c r="I38" s="1174" t="str">
        <f>IF('Questions - Fragen'!F50="","",'Questions - Fragen'!F50)</f>
        <v/>
      </c>
      <c r="J38" s="371"/>
      <c r="K38" s="986"/>
      <c r="L38" s="986"/>
      <c r="M38" s="986"/>
      <c r="N38" s="371"/>
      <c r="O38" s="993"/>
      <c r="P38" s="371"/>
      <c r="Q38" s="986"/>
      <c r="R38" s="371"/>
      <c r="S38" s="986"/>
    </row>
    <row r="39" spans="1:19" s="22" customFormat="1" ht="15.75">
      <c r="A39" s="23"/>
      <c r="B39" s="369" t="str">
        <f>'Questions - Fragen'!A51</f>
        <v>4.5</v>
      </c>
      <c r="C39" s="21"/>
      <c r="D39" s="707" t="str">
        <f>'Questions - Fragen'!$C$23</f>
        <v>Product</v>
      </c>
      <c r="E39" s="693"/>
      <c r="F39" s="695" t="str">
        <f>'Questions - Fragen'!E52</f>
        <v>Enter text</v>
      </c>
      <c r="G39" s="220"/>
      <c r="H39" s="363" t="str">
        <f>'Questions - Fragen'!D52</f>
        <v>н.о.</v>
      </c>
      <c r="I39" s="1175" t="str">
        <f>IF('Questions - Fragen'!F52="","",'Questions - Fragen'!F52)</f>
        <v/>
      </c>
      <c r="J39" s="220"/>
      <c r="K39" s="985"/>
      <c r="L39" s="1059"/>
      <c r="M39" s="985"/>
      <c r="N39" s="220"/>
      <c r="O39" s="991"/>
      <c r="P39" s="220"/>
      <c r="Q39" s="985"/>
      <c r="R39" s="220"/>
      <c r="S39" s="985"/>
    </row>
    <row r="40" spans="1:19" s="22" customFormat="1" ht="15.75">
      <c r="A40" s="23"/>
      <c r="B40" s="375" t="str">
        <f>'Questions - Fragen'!A51</f>
        <v>4.5</v>
      </c>
      <c r="C40" s="370"/>
      <c r="D40" s="708" t="str">
        <f>'Questions - Fragen'!$C$24</f>
        <v>Process</v>
      </c>
      <c r="E40" s="709"/>
      <c r="F40" s="710" t="str">
        <f>'Questions - Fragen'!E53</f>
        <v>Enter text</v>
      </c>
      <c r="G40" s="371"/>
      <c r="H40" s="372" t="str">
        <f>'Questions - Fragen'!D53</f>
        <v>н.о.</v>
      </c>
      <c r="I40" s="1174" t="str">
        <f>IF('Questions - Fragen'!F53="","",'Questions - Fragen'!F53)</f>
        <v/>
      </c>
      <c r="J40" s="371"/>
      <c r="K40" s="986"/>
      <c r="L40" s="986"/>
      <c r="M40" s="986"/>
      <c r="N40" s="371"/>
      <c r="O40" s="993"/>
      <c r="P40" s="371"/>
      <c r="Q40" s="986"/>
      <c r="R40" s="371"/>
      <c r="S40" s="986"/>
    </row>
    <row r="41" spans="1:19" s="22" customFormat="1" ht="15.75">
      <c r="A41" s="23"/>
      <c r="B41" s="376" t="str">
        <f>'Questions - Fragen'!A54</f>
        <v>4.6</v>
      </c>
      <c r="C41" s="377"/>
      <c r="D41" s="713" t="str">
        <f>'Questions - Fragen'!$C$24</f>
        <v>Process</v>
      </c>
      <c r="E41" s="714"/>
      <c r="F41" s="715" t="str">
        <f>'Questions - Fragen'!E55</f>
        <v>Enter text</v>
      </c>
      <c r="G41" s="378"/>
      <c r="H41" s="379" t="str">
        <f>'Questions - Fragen'!D55</f>
        <v>н.о.</v>
      </c>
      <c r="I41" s="1176" t="str">
        <f>IF('Questions - Fragen'!F55="","",'Questions - Fragen'!F55)</f>
        <v/>
      </c>
      <c r="J41" s="378"/>
      <c r="K41" s="989"/>
      <c r="L41" s="989"/>
      <c r="M41" s="989"/>
      <c r="N41" s="378"/>
      <c r="O41" s="995"/>
      <c r="P41" s="378"/>
      <c r="Q41" s="989"/>
      <c r="R41" s="378"/>
      <c r="S41" s="989"/>
    </row>
    <row r="42" spans="1:19" s="22" customFormat="1" ht="15.75">
      <c r="A42" s="23"/>
      <c r="B42" s="376" t="str">
        <f>'Questions - Fragen'!A56</f>
        <v>4.7</v>
      </c>
      <c r="C42" s="377"/>
      <c r="D42" s="713" t="str">
        <f>'Questions - Fragen'!$C$24</f>
        <v>Process</v>
      </c>
      <c r="E42" s="714"/>
      <c r="F42" s="1054" t="str">
        <f>'Questions - Fragen'!E57</f>
        <v>Enter text</v>
      </c>
      <c r="G42" s="378"/>
      <c r="H42" s="379" t="str">
        <f>'Questions - Fragen'!D57</f>
        <v>н.о.</v>
      </c>
      <c r="I42" s="1176" t="str">
        <f>IF('Questions - Fragen'!F57="","",'Questions - Fragen'!F57)</f>
        <v/>
      </c>
      <c r="J42" s="378"/>
      <c r="K42" s="989"/>
      <c r="L42" s="989"/>
      <c r="M42" s="989"/>
      <c r="N42" s="378"/>
      <c r="O42" s="995"/>
      <c r="P42" s="378"/>
      <c r="Q42" s="989"/>
      <c r="R42" s="378"/>
      <c r="S42" s="989"/>
    </row>
    <row r="43" spans="1:19" s="22" customFormat="1" ht="15.75">
      <c r="A43" s="23"/>
      <c r="B43" s="369" t="str">
        <f>'Questions - Fragen'!A58</f>
        <v>4.8</v>
      </c>
      <c r="C43" s="21"/>
      <c r="D43" s="707" t="str">
        <f>'Questions - Fragen'!$C$23</f>
        <v>Product</v>
      </c>
      <c r="E43" s="693"/>
      <c r="F43" s="695" t="str">
        <f>'Questions - Fragen'!E59</f>
        <v>Enter text</v>
      </c>
      <c r="G43" s="220"/>
      <c r="H43" s="363" t="str">
        <f>'Questions - Fragen'!D59</f>
        <v>н.о.</v>
      </c>
      <c r="I43" s="1175" t="str">
        <f>IF('Questions - Fragen'!F59="","",'Questions - Fragen'!F59)</f>
        <v/>
      </c>
      <c r="J43" s="220"/>
      <c r="K43" s="985"/>
      <c r="L43" s="1059"/>
      <c r="M43" s="985"/>
      <c r="N43" s="220"/>
      <c r="O43" s="991"/>
      <c r="P43" s="220"/>
      <c r="Q43" s="985"/>
      <c r="R43" s="220"/>
      <c r="S43" s="985"/>
    </row>
    <row r="44" spans="1:19" s="22" customFormat="1" ht="16.5" thickBot="1">
      <c r="A44" s="23"/>
      <c r="B44" s="373" t="str">
        <f>'Questions - Fragen'!A58</f>
        <v>4.8</v>
      </c>
      <c r="C44" s="370"/>
      <c r="D44" s="708" t="str">
        <f>'Questions - Fragen'!$C$24</f>
        <v>Process</v>
      </c>
      <c r="E44" s="709"/>
      <c r="F44" s="710" t="str">
        <f>'Questions - Fragen'!E60</f>
        <v>Enter text</v>
      </c>
      <c r="G44" s="371"/>
      <c r="H44" s="372" t="str">
        <f>'Questions - Fragen'!D60</f>
        <v>н.о.</v>
      </c>
      <c r="I44" s="1174" t="str">
        <f>IF('Questions - Fragen'!F60="","",'Questions - Fragen'!F60)</f>
        <v/>
      </c>
      <c r="J44" s="371"/>
      <c r="K44" s="986"/>
      <c r="L44" s="990"/>
      <c r="M44" s="986"/>
      <c r="N44" s="371"/>
      <c r="O44" s="993"/>
      <c r="P44" s="371"/>
      <c r="Q44" s="986"/>
      <c r="R44" s="371"/>
      <c r="S44" s="986"/>
    </row>
    <row r="45" spans="1:19" s="22" customFormat="1" ht="15.75" hidden="1">
      <c r="A45" s="348"/>
      <c r="B45" s="682" t="s">
        <v>99</v>
      </c>
      <c r="C45" s="699"/>
      <c r="D45" s="700"/>
      <c r="E45" s="701"/>
      <c r="F45" s="702" t="str">
        <f>'Questions - Fragen'!C61</f>
        <v xml:space="preserve">Supplier Management </v>
      </c>
      <c r="G45" s="703"/>
      <c r="H45" s="704">
        <f>IF(COUNTIF(H46:H52,"&lt;10")=0,10,"X")</f>
        <v>10</v>
      </c>
      <c r="I45" s="705"/>
      <c r="J45" s="703"/>
      <c r="K45" s="705"/>
      <c r="L45" s="705"/>
      <c r="M45" s="705"/>
      <c r="N45" s="705"/>
      <c r="O45" s="706"/>
      <c r="P45" s="705"/>
      <c r="Q45" s="705"/>
      <c r="R45" s="705"/>
      <c r="S45" s="705"/>
    </row>
    <row r="46" spans="1:19" ht="15.75">
      <c r="A46" s="23"/>
      <c r="B46" s="369" t="str">
        <f>'Questions - Fragen'!A62</f>
        <v>5.1</v>
      </c>
      <c r="C46" s="21"/>
      <c r="D46" s="692"/>
      <c r="E46" s="693"/>
      <c r="F46" s="695" t="str">
        <f>'Questions - Fragen'!E62</f>
        <v>Enter text</v>
      </c>
      <c r="G46" s="220"/>
      <c r="H46" s="363" t="str">
        <f>'Questions - Fragen'!D62</f>
        <v>н.о.</v>
      </c>
      <c r="I46" s="1177" t="str">
        <f>IF('Questions - Fragen'!F62="","",'Questions - Fragen'!F62)</f>
        <v/>
      </c>
      <c r="J46" s="220"/>
      <c r="K46" s="985"/>
      <c r="L46" s="1059"/>
      <c r="M46" s="985"/>
      <c r="N46" s="220"/>
      <c r="O46" s="991"/>
      <c r="P46" s="220"/>
      <c r="Q46" s="985"/>
      <c r="R46" s="220"/>
      <c r="S46" s="985"/>
    </row>
    <row r="47" spans="1:19" s="22" customFormat="1" ht="15.75">
      <c r="A47" s="23"/>
      <c r="B47" s="368" t="str">
        <f>'Questions - Fragen'!A63</f>
        <v>5.2</v>
      </c>
      <c r="C47" s="21"/>
      <c r="D47" s="692"/>
      <c r="E47" s="693"/>
      <c r="F47" s="695" t="str">
        <f>'Questions - Fragen'!E63</f>
        <v>Enter text</v>
      </c>
      <c r="G47" s="220"/>
      <c r="H47" s="363" t="str">
        <f>'Questions - Fragen'!D63</f>
        <v>н.о.</v>
      </c>
      <c r="I47" s="1177" t="str">
        <f>IF('Questions - Fragen'!F63="","",'Questions - Fragen'!F63)</f>
        <v/>
      </c>
      <c r="J47" s="220"/>
      <c r="K47" s="985"/>
      <c r="L47" s="988"/>
      <c r="M47" s="985"/>
      <c r="N47" s="220"/>
      <c r="O47" s="991"/>
      <c r="P47" s="220"/>
      <c r="Q47" s="985"/>
      <c r="R47" s="220"/>
      <c r="S47" s="985"/>
    </row>
    <row r="48" spans="1:19" s="22" customFormat="1" ht="15.75">
      <c r="A48" s="23"/>
      <c r="B48" s="368" t="str">
        <f>'Questions - Fragen'!A64</f>
        <v>5.3</v>
      </c>
      <c r="C48" s="21"/>
      <c r="D48" s="692"/>
      <c r="E48" s="693"/>
      <c r="F48" s="695" t="str">
        <f>'Questions - Fragen'!E64</f>
        <v>Enter text</v>
      </c>
      <c r="G48" s="220"/>
      <c r="H48" s="363" t="str">
        <f>'Questions - Fragen'!D64</f>
        <v>н.о.</v>
      </c>
      <c r="I48" s="1177" t="str">
        <f>IF('Questions - Fragen'!F64="","",'Questions - Fragen'!F64)</f>
        <v/>
      </c>
      <c r="J48" s="220"/>
      <c r="K48" s="985"/>
      <c r="L48" s="988"/>
      <c r="M48" s="985"/>
      <c r="N48" s="220"/>
      <c r="O48" s="991"/>
      <c r="P48" s="220"/>
      <c r="Q48" s="985"/>
      <c r="R48" s="220"/>
      <c r="S48" s="985"/>
    </row>
    <row r="49" spans="1:19" s="22" customFormat="1" ht="15.75">
      <c r="A49" s="23"/>
      <c r="B49" s="368" t="str">
        <f>'Questions - Fragen'!A65</f>
        <v>5.4</v>
      </c>
      <c r="C49" s="21"/>
      <c r="D49" s="692"/>
      <c r="E49" s="693"/>
      <c r="F49" s="695" t="str">
        <f>'Questions - Fragen'!E65</f>
        <v>Enter text</v>
      </c>
      <c r="G49" s="220"/>
      <c r="H49" s="363" t="str">
        <f>'Questions - Fragen'!D65</f>
        <v>н.о.</v>
      </c>
      <c r="I49" s="1177" t="str">
        <f>IF('Questions - Fragen'!F65="","",'Questions - Fragen'!F65)</f>
        <v/>
      </c>
      <c r="J49" s="220"/>
      <c r="K49" s="985"/>
      <c r="L49" s="988"/>
      <c r="M49" s="985"/>
      <c r="N49" s="220"/>
      <c r="O49" s="991"/>
      <c r="P49" s="220"/>
      <c r="Q49" s="985"/>
      <c r="R49" s="220"/>
      <c r="S49" s="985"/>
    </row>
    <row r="50" spans="1:19" s="22" customFormat="1" ht="15.75">
      <c r="A50" s="23"/>
      <c r="B50" s="368" t="str">
        <f>'Questions - Fragen'!A66</f>
        <v>5.5</v>
      </c>
      <c r="C50" s="21"/>
      <c r="D50" s="692"/>
      <c r="E50" s="693"/>
      <c r="F50" s="695" t="str">
        <f>'Questions - Fragen'!E66</f>
        <v>Enter text</v>
      </c>
      <c r="G50" s="220"/>
      <c r="H50" s="363" t="str">
        <f>'Questions - Fragen'!D66</f>
        <v>н.о.</v>
      </c>
      <c r="I50" s="1177" t="str">
        <f>IF('Questions - Fragen'!F66="","",'Questions - Fragen'!F66)</f>
        <v/>
      </c>
      <c r="J50" s="220"/>
      <c r="K50" s="985"/>
      <c r="L50" s="988"/>
      <c r="M50" s="985"/>
      <c r="N50" s="220"/>
      <c r="O50" s="991"/>
      <c r="P50" s="220"/>
      <c r="Q50" s="985"/>
      <c r="R50" s="220"/>
      <c r="S50" s="985"/>
    </row>
    <row r="51" spans="1:19" s="22" customFormat="1" ht="15.75">
      <c r="A51" s="23"/>
      <c r="B51" s="368" t="str">
        <f>'Questions - Fragen'!A67</f>
        <v>5.6</v>
      </c>
      <c r="C51" s="21"/>
      <c r="D51" s="692"/>
      <c r="E51" s="693"/>
      <c r="F51" s="695" t="str">
        <f>'Questions - Fragen'!E67</f>
        <v>Enter text</v>
      </c>
      <c r="G51" s="220"/>
      <c r="H51" s="363" t="str">
        <f>'Questions - Fragen'!D67</f>
        <v>н.о.</v>
      </c>
      <c r="I51" s="1177" t="str">
        <f>IF('Questions - Fragen'!F67="","",'Questions - Fragen'!F67)</f>
        <v/>
      </c>
      <c r="J51" s="220"/>
      <c r="K51" s="985"/>
      <c r="L51" s="988"/>
      <c r="M51" s="985"/>
      <c r="N51" s="220"/>
      <c r="O51" s="991"/>
      <c r="P51" s="220"/>
      <c r="Q51" s="985"/>
      <c r="R51" s="220"/>
      <c r="S51" s="985"/>
    </row>
    <row r="52" spans="1:19" s="22" customFormat="1" ht="16.5" thickBot="1">
      <c r="A52" s="23"/>
      <c r="B52" s="380" t="str">
        <f>'Questions - Fragen'!A68</f>
        <v>5.7</v>
      </c>
      <c r="C52" s="21"/>
      <c r="D52" s="696"/>
      <c r="E52" s="697"/>
      <c r="F52" s="698" t="str">
        <f>'Questions - Fragen'!E68</f>
        <v>Enter text</v>
      </c>
      <c r="G52" s="220"/>
      <c r="H52" s="365" t="str">
        <f>'Questions - Fragen'!D68</f>
        <v>н.о.</v>
      </c>
      <c r="I52" s="1178" t="str">
        <f>IF('Questions - Fragen'!F68="","",'Questions - Fragen'!F68)</f>
        <v/>
      </c>
      <c r="J52" s="220"/>
      <c r="K52" s="988"/>
      <c r="L52" s="990"/>
      <c r="M52" s="988"/>
      <c r="N52" s="220"/>
      <c r="O52" s="992"/>
      <c r="P52" s="220"/>
      <c r="Q52" s="988"/>
      <c r="R52" s="220"/>
      <c r="S52" s="988"/>
    </row>
    <row r="53" spans="1:19" s="22" customFormat="1" ht="43.5">
      <c r="A53" s="348"/>
      <c r="B53" s="682" t="s">
        <v>100</v>
      </c>
      <c r="C53" s="699"/>
      <c r="D53" s="1205" t="s">
        <v>387</v>
      </c>
      <c r="E53" s="1341"/>
      <c r="F53" s="1205" t="s">
        <v>389</v>
      </c>
      <c r="G53" s="1341"/>
      <c r="H53" s="1208" t="s">
        <v>295</v>
      </c>
      <c r="I53" s="1209" t="s">
        <v>388</v>
      </c>
      <c r="J53" s="1342"/>
      <c r="K53" s="1124" t="s">
        <v>318</v>
      </c>
      <c r="L53" s="1343"/>
      <c r="M53" s="1125" t="s">
        <v>319</v>
      </c>
      <c r="N53" s="1344"/>
      <c r="O53" s="1205" t="s">
        <v>455</v>
      </c>
      <c r="P53" s="1344"/>
      <c r="Q53" s="1205" t="s">
        <v>320</v>
      </c>
      <c r="R53" s="1344"/>
      <c r="S53" s="1209" t="s">
        <v>321</v>
      </c>
    </row>
    <row r="54" spans="1:19" s="22" customFormat="1" ht="15.75" hidden="1">
      <c r="A54" s="23"/>
      <c r="B54" s="368" t="str">
        <f>'Questions - Fragen'!$A$71</f>
        <v>6.1.1</v>
      </c>
      <c r="C54" s="21"/>
      <c r="D54" s="716" t="str">
        <f>'Questions - Fragen'!$A$72</f>
        <v>PS1</v>
      </c>
      <c r="E54" s="693"/>
      <c r="F54" s="717" t="str">
        <f>'Questions - Fragen'!E72</f>
        <v>No weak points identified</v>
      </c>
      <c r="G54" s="220"/>
      <c r="H54" s="363">
        <f>'Questions - Fragen'!D72</f>
        <v>10</v>
      </c>
      <c r="I54" s="1171" t="str">
        <f>IF('Questions - Fragen'!F72="","",'Questions - Fragen'!F72)</f>
        <v/>
      </c>
      <c r="J54" s="220"/>
      <c r="K54" s="985"/>
      <c r="L54" s="1059"/>
      <c r="M54" s="985"/>
      <c r="N54" s="220"/>
      <c r="O54" s="991"/>
      <c r="P54" s="220"/>
      <c r="Q54" s="985"/>
      <c r="R54" s="220"/>
      <c r="S54" s="985"/>
    </row>
    <row r="55" spans="1:19" s="22" customFormat="1" ht="15.75" hidden="1">
      <c r="A55" s="23"/>
      <c r="B55" s="368" t="str">
        <f>'Questions - Fragen'!$A$71</f>
        <v>6.1.1</v>
      </c>
      <c r="C55" s="21"/>
      <c r="D55" s="716" t="str">
        <f>'Questions - Fragen'!$A$73</f>
        <v>PS2</v>
      </c>
      <c r="E55" s="693"/>
      <c r="F55" s="694" t="str">
        <f>'Questions - Fragen'!E73</f>
        <v>No weak points identified</v>
      </c>
      <c r="G55" s="220"/>
      <c r="H55" s="363">
        <f>'Questions - Fragen'!D73</f>
        <v>10</v>
      </c>
      <c r="I55" s="1171" t="str">
        <f>IF('Questions - Fragen'!F73="","",'Questions - Fragen'!F73)</f>
        <v/>
      </c>
      <c r="J55" s="220"/>
      <c r="K55" s="985"/>
      <c r="L55" s="988"/>
      <c r="M55" s="985"/>
      <c r="N55" s="220"/>
      <c r="O55" s="991"/>
      <c r="P55" s="220"/>
      <c r="Q55" s="985"/>
      <c r="R55" s="220"/>
      <c r="S55" s="985"/>
    </row>
    <row r="56" spans="1:19" s="22" customFormat="1" ht="15.75" hidden="1">
      <c r="A56" s="23"/>
      <c r="B56" s="368" t="str">
        <f>'Questions - Fragen'!$A$71</f>
        <v>6.1.1</v>
      </c>
      <c r="C56" s="21"/>
      <c r="D56" s="716" t="str">
        <f>'Questions - Fragen'!$A$74</f>
        <v>PS3</v>
      </c>
      <c r="E56" s="693"/>
      <c r="F56" s="694" t="str">
        <f>'Questions - Fragen'!E74</f>
        <v>Enter text</v>
      </c>
      <c r="G56" s="220"/>
      <c r="H56" s="363" t="str">
        <f>'Questions - Fragen'!D74</f>
        <v>n.e.</v>
      </c>
      <c r="I56" s="1171" t="str">
        <f>IF('Questions - Fragen'!F74="","",'Questions - Fragen'!F74)</f>
        <v/>
      </c>
      <c r="J56" s="220"/>
      <c r="K56" s="985"/>
      <c r="L56" s="988"/>
      <c r="M56" s="985"/>
      <c r="N56" s="220"/>
      <c r="O56" s="991"/>
      <c r="P56" s="220"/>
      <c r="Q56" s="985"/>
      <c r="R56" s="220"/>
      <c r="S56" s="985"/>
    </row>
    <row r="57" spans="1:19" s="22" customFormat="1" ht="15.75" hidden="1">
      <c r="A57" s="23"/>
      <c r="B57" s="368" t="str">
        <f>'Questions - Fragen'!$A$71</f>
        <v>6.1.1</v>
      </c>
      <c r="C57" s="21"/>
      <c r="D57" s="716" t="str">
        <f>'Questions - Fragen'!$A$75</f>
        <v>PS4</v>
      </c>
      <c r="E57" s="693"/>
      <c r="F57" s="694" t="str">
        <f>'Questions - Fragen'!E75</f>
        <v>Enter text</v>
      </c>
      <c r="G57" s="220"/>
      <c r="H57" s="363" t="str">
        <f>'Questions - Fragen'!D75</f>
        <v>n.e.</v>
      </c>
      <c r="I57" s="1171"/>
      <c r="J57" s="220"/>
      <c r="K57" s="985"/>
      <c r="L57" s="988"/>
      <c r="M57" s="985"/>
      <c r="N57" s="220"/>
      <c r="O57" s="991"/>
      <c r="P57" s="220"/>
      <c r="Q57" s="985"/>
      <c r="R57" s="220"/>
      <c r="S57" s="985"/>
    </row>
    <row r="58" spans="1:19" s="22" customFormat="1" ht="15.75" hidden="1">
      <c r="A58" s="23"/>
      <c r="B58" s="368" t="str">
        <f>'Questions - Fragen'!$A$71</f>
        <v>6.1.1</v>
      </c>
      <c r="C58" s="21"/>
      <c r="D58" s="716" t="str">
        <f>'Questions - Fragen'!$A$76</f>
        <v>PS5</v>
      </c>
      <c r="E58" s="693"/>
      <c r="F58" s="694" t="str">
        <f>'Questions - Fragen'!E76</f>
        <v>Enter text</v>
      </c>
      <c r="G58" s="220"/>
      <c r="H58" s="363" t="str">
        <f>'Questions - Fragen'!D76</f>
        <v>n.e.</v>
      </c>
      <c r="I58" s="1171"/>
      <c r="J58" s="220"/>
      <c r="K58" s="985"/>
      <c r="L58" s="988"/>
      <c r="M58" s="985"/>
      <c r="N58" s="220"/>
      <c r="O58" s="991"/>
      <c r="P58" s="220"/>
      <c r="Q58" s="985"/>
      <c r="R58" s="220"/>
      <c r="S58" s="985"/>
    </row>
    <row r="59" spans="1:19" s="22" customFormat="1" ht="15.75" hidden="1">
      <c r="A59" s="23"/>
      <c r="B59" s="368" t="str">
        <f>'Questions - Fragen'!$A$71</f>
        <v>6.1.1</v>
      </c>
      <c r="C59" s="21"/>
      <c r="D59" s="716" t="str">
        <f>'Questions - Fragen'!$A$77</f>
        <v>PS6</v>
      </c>
      <c r="E59" s="693"/>
      <c r="F59" s="694" t="str">
        <f>'Questions - Fragen'!E77</f>
        <v>Enter text</v>
      </c>
      <c r="G59" s="220"/>
      <c r="H59" s="363" t="str">
        <f>'Questions - Fragen'!D77</f>
        <v>n.e.</v>
      </c>
      <c r="I59" s="1171"/>
      <c r="J59" s="220"/>
      <c r="K59" s="985"/>
      <c r="L59" s="988"/>
      <c r="M59" s="985"/>
      <c r="N59" s="220"/>
      <c r="O59" s="991"/>
      <c r="P59" s="220"/>
      <c r="Q59" s="985"/>
      <c r="R59" s="220"/>
      <c r="S59" s="985"/>
    </row>
    <row r="60" spans="1:19" s="22" customFormat="1" ht="15.75" hidden="1">
      <c r="A60" s="23"/>
      <c r="B60" s="368" t="str">
        <f>'Questions - Fragen'!$A$71</f>
        <v>6.1.1</v>
      </c>
      <c r="C60" s="21"/>
      <c r="D60" s="716" t="str">
        <f>'Questions - Fragen'!$A$78</f>
        <v>PS7</v>
      </c>
      <c r="E60" s="693"/>
      <c r="F60" s="694" t="str">
        <f>'Questions - Fragen'!E78</f>
        <v>Enter text</v>
      </c>
      <c r="G60" s="220"/>
      <c r="H60" s="363" t="str">
        <f>'Questions - Fragen'!D78</f>
        <v>n.e.</v>
      </c>
      <c r="I60" s="1171"/>
      <c r="J60" s="220"/>
      <c r="K60" s="985"/>
      <c r="L60" s="988"/>
      <c r="M60" s="985"/>
      <c r="N60" s="220"/>
      <c r="O60" s="991"/>
      <c r="P60" s="220"/>
      <c r="Q60" s="985"/>
      <c r="R60" s="220"/>
      <c r="S60" s="985"/>
    </row>
    <row r="61" spans="1:19" s="22" customFormat="1" ht="15.75" hidden="1">
      <c r="A61" s="23"/>
      <c r="B61" s="368" t="str">
        <f>'Questions - Fragen'!$A$71</f>
        <v>6.1.1</v>
      </c>
      <c r="C61" s="21"/>
      <c r="D61" s="716" t="str">
        <f>'Questions - Fragen'!$A$79</f>
        <v>PS8</v>
      </c>
      <c r="E61" s="693"/>
      <c r="F61" s="694" t="str">
        <f>'Questions - Fragen'!E79</f>
        <v>Enter text</v>
      </c>
      <c r="G61" s="220"/>
      <c r="H61" s="363" t="str">
        <f>'Questions - Fragen'!D79</f>
        <v>n.e.</v>
      </c>
      <c r="I61" s="1171"/>
      <c r="J61" s="220"/>
      <c r="K61" s="985"/>
      <c r="L61" s="988"/>
      <c r="M61" s="985"/>
      <c r="N61" s="220"/>
      <c r="O61" s="991"/>
      <c r="P61" s="220"/>
      <c r="Q61" s="985"/>
      <c r="R61" s="220"/>
      <c r="S61" s="985"/>
    </row>
    <row r="62" spans="1:19" s="22" customFormat="1" ht="15.75" hidden="1">
      <c r="A62" s="23"/>
      <c r="B62" s="368" t="str">
        <f>'Questions - Fragen'!$A$71</f>
        <v>6.1.1</v>
      </c>
      <c r="C62" s="21"/>
      <c r="D62" s="716" t="str">
        <f>'Questions - Fragen'!$A$80</f>
        <v>PS9</v>
      </c>
      <c r="E62" s="693"/>
      <c r="F62" s="694" t="str">
        <f>'Questions - Fragen'!E80</f>
        <v>Enter text</v>
      </c>
      <c r="G62" s="220"/>
      <c r="H62" s="363" t="str">
        <f>'Questions - Fragen'!D80</f>
        <v>n.e.</v>
      </c>
      <c r="I62" s="1171"/>
      <c r="J62" s="220"/>
      <c r="K62" s="985"/>
      <c r="L62" s="988"/>
      <c r="M62" s="985"/>
      <c r="N62" s="220"/>
      <c r="O62" s="991"/>
      <c r="P62" s="220"/>
      <c r="Q62" s="985"/>
      <c r="R62" s="220"/>
      <c r="S62" s="985"/>
    </row>
    <row r="63" spans="1:19" s="22" customFormat="1" ht="15.75" hidden="1">
      <c r="A63" s="23"/>
      <c r="B63" s="368" t="str">
        <f>'Questions - Fragen'!$A$71</f>
        <v>6.1.1</v>
      </c>
      <c r="C63" s="21"/>
      <c r="D63" s="716" t="str">
        <f>'Questions - Fragen'!$A$81</f>
        <v>PS10</v>
      </c>
      <c r="E63" s="693"/>
      <c r="F63" s="694" t="str">
        <f>'Questions - Fragen'!E81</f>
        <v>Enter text</v>
      </c>
      <c r="G63" s="220"/>
      <c r="H63" s="363" t="str">
        <f>'Questions - Fragen'!D81</f>
        <v>n.e.</v>
      </c>
      <c r="I63" s="1171"/>
      <c r="J63" s="220"/>
      <c r="K63" s="985"/>
      <c r="L63" s="988"/>
      <c r="M63" s="985"/>
      <c r="N63" s="220"/>
      <c r="O63" s="991"/>
      <c r="P63" s="220"/>
      <c r="Q63" s="985"/>
      <c r="R63" s="220"/>
      <c r="S63" s="985"/>
    </row>
    <row r="64" spans="1:19" s="22" customFormat="1" ht="30" hidden="1">
      <c r="A64" s="23"/>
      <c r="B64" s="381" t="str">
        <f>'Questions - Fragen'!$A$82</f>
        <v>6.1.2</v>
      </c>
      <c r="C64" s="382"/>
      <c r="D64" s="718" t="str">
        <f>D54</f>
        <v>PS1</v>
      </c>
      <c r="E64" s="719"/>
      <c r="F64" s="721" t="str">
        <f>'Questions - Fragen'!E83</f>
        <v xml:space="preserve">There is enough amount of Spare Parts stored in Moldshop Warehouse </v>
      </c>
      <c r="G64" s="383"/>
      <c r="H64" s="384">
        <f>'Questions - Fragen'!D83</f>
        <v>10</v>
      </c>
      <c r="I64" s="1179" t="str">
        <f>IF('Questions - Fragen'!F83="","",'Questions - Fragen'!F83)</f>
        <v/>
      </c>
      <c r="J64" s="383"/>
      <c r="K64" s="987"/>
      <c r="L64" s="988"/>
      <c r="M64" s="987"/>
      <c r="N64" s="383"/>
      <c r="O64" s="996"/>
      <c r="P64" s="383"/>
      <c r="Q64" s="987"/>
      <c r="R64" s="383"/>
      <c r="S64" s="987"/>
    </row>
    <row r="65" spans="1:19" s="22" customFormat="1" ht="15.75" hidden="1">
      <c r="A65" s="23"/>
      <c r="B65" s="368" t="str">
        <f>'Questions - Fragen'!$A$82</f>
        <v>6.1.2</v>
      </c>
      <c r="C65" s="21"/>
      <c r="D65" s="716" t="str">
        <f>D55</f>
        <v>PS2</v>
      </c>
      <c r="E65" s="693"/>
      <c r="F65" s="721" t="str">
        <f>'Questions - Fragen'!E84</f>
        <v>Packing material i place</v>
      </c>
      <c r="G65" s="220"/>
      <c r="H65" s="384">
        <f>'Questions - Fragen'!D84</f>
        <v>10</v>
      </c>
      <c r="I65" s="1171" t="str">
        <f>IF('Questions - Fragen'!F84="","",'Questions - Fragen'!F84)</f>
        <v/>
      </c>
      <c r="J65" s="220"/>
      <c r="K65" s="985"/>
      <c r="L65" s="988"/>
      <c r="M65" s="985"/>
      <c r="N65" s="220"/>
      <c r="O65" s="991"/>
      <c r="P65" s="220"/>
      <c r="Q65" s="985"/>
      <c r="R65" s="220"/>
      <c r="S65" s="985"/>
    </row>
    <row r="66" spans="1:19" s="22" customFormat="1" ht="15.75" hidden="1">
      <c r="A66" s="23"/>
      <c r="B66" s="368" t="str">
        <f>'Questions - Fragen'!$A$82</f>
        <v>6.1.2</v>
      </c>
      <c r="C66" s="21"/>
      <c r="D66" s="716" t="str">
        <f>D56</f>
        <v>PS3</v>
      </c>
      <c r="E66" s="693"/>
      <c r="F66" s="721" t="str">
        <f>'Questions - Fragen'!E85</f>
        <v>Enter text</v>
      </c>
      <c r="G66" s="220"/>
      <c r="H66" s="384" t="str">
        <f>'Questions - Fragen'!D85</f>
        <v>n.e.</v>
      </c>
      <c r="I66" s="1171" t="str">
        <f>IF('Questions - Fragen'!F85="","",'Questions - Fragen'!F85)</f>
        <v/>
      </c>
      <c r="J66" s="220"/>
      <c r="K66" s="985"/>
      <c r="L66" s="988"/>
      <c r="M66" s="985"/>
      <c r="N66" s="220"/>
      <c r="O66" s="991"/>
      <c r="P66" s="220"/>
      <c r="Q66" s="985"/>
      <c r="R66" s="220"/>
      <c r="S66" s="985"/>
    </row>
    <row r="67" spans="1:19" s="22" customFormat="1" ht="15.75" hidden="1">
      <c r="A67" s="23"/>
      <c r="B67" s="368" t="str">
        <f>'Questions - Fragen'!$A$82</f>
        <v>6.1.2</v>
      </c>
      <c r="C67" s="21"/>
      <c r="D67" s="716" t="str">
        <f t="shared" ref="D67:D73" si="0">D57</f>
        <v>PS4</v>
      </c>
      <c r="E67" s="693"/>
      <c r="F67" s="721" t="str">
        <f>'Questions - Fragen'!E86</f>
        <v>Enter text</v>
      </c>
      <c r="G67" s="220"/>
      <c r="H67" s="384" t="str">
        <f>'Questions - Fragen'!D86</f>
        <v>n.e.</v>
      </c>
      <c r="I67" s="1171"/>
      <c r="J67" s="220"/>
      <c r="K67" s="985"/>
      <c r="L67" s="988"/>
      <c r="M67" s="985"/>
      <c r="N67" s="220"/>
      <c r="O67" s="991"/>
      <c r="P67" s="220"/>
      <c r="Q67" s="985"/>
      <c r="R67" s="220"/>
      <c r="S67" s="985"/>
    </row>
    <row r="68" spans="1:19" s="22" customFormat="1" ht="15.75" hidden="1">
      <c r="A68" s="23"/>
      <c r="B68" s="368" t="str">
        <f>'Questions - Fragen'!$A$82</f>
        <v>6.1.2</v>
      </c>
      <c r="C68" s="21"/>
      <c r="D68" s="716" t="str">
        <f t="shared" si="0"/>
        <v>PS5</v>
      </c>
      <c r="E68" s="693"/>
      <c r="F68" s="721" t="str">
        <f>'Questions - Fragen'!E87</f>
        <v>Enter text</v>
      </c>
      <c r="G68" s="220"/>
      <c r="H68" s="384" t="str">
        <f>'Questions - Fragen'!D87</f>
        <v>n.e.</v>
      </c>
      <c r="I68" s="1171"/>
      <c r="J68" s="220"/>
      <c r="K68" s="985"/>
      <c r="L68" s="988"/>
      <c r="M68" s="985"/>
      <c r="N68" s="220"/>
      <c r="O68" s="991"/>
      <c r="P68" s="220"/>
      <c r="Q68" s="985"/>
      <c r="R68" s="220"/>
      <c r="S68" s="985"/>
    </row>
    <row r="69" spans="1:19" s="22" customFormat="1" ht="15.75" hidden="1">
      <c r="A69" s="23"/>
      <c r="B69" s="368" t="str">
        <f>'Questions - Fragen'!$A$82</f>
        <v>6.1.2</v>
      </c>
      <c r="C69" s="21"/>
      <c r="D69" s="716" t="str">
        <f t="shared" si="0"/>
        <v>PS6</v>
      </c>
      <c r="E69" s="693"/>
      <c r="F69" s="721" t="str">
        <f>'Questions - Fragen'!E88</f>
        <v>Enter text</v>
      </c>
      <c r="G69" s="220"/>
      <c r="H69" s="384" t="str">
        <f>'Questions - Fragen'!D88</f>
        <v>n.e.</v>
      </c>
      <c r="I69" s="1171"/>
      <c r="J69" s="220"/>
      <c r="K69" s="985"/>
      <c r="L69" s="988"/>
      <c r="M69" s="985"/>
      <c r="N69" s="220"/>
      <c r="O69" s="991"/>
      <c r="P69" s="220"/>
      <c r="Q69" s="985"/>
      <c r="R69" s="220"/>
      <c r="S69" s="985"/>
    </row>
    <row r="70" spans="1:19" s="22" customFormat="1" ht="15.75" hidden="1">
      <c r="A70" s="23"/>
      <c r="B70" s="368" t="str">
        <f>'Questions - Fragen'!$A$82</f>
        <v>6.1.2</v>
      </c>
      <c r="C70" s="21"/>
      <c r="D70" s="716" t="str">
        <f t="shared" si="0"/>
        <v>PS7</v>
      </c>
      <c r="E70" s="693"/>
      <c r="F70" s="721" t="str">
        <f>'Questions - Fragen'!E89</f>
        <v>Enter text</v>
      </c>
      <c r="G70" s="220"/>
      <c r="H70" s="384" t="str">
        <f>'Questions - Fragen'!D89</f>
        <v>n.e.</v>
      </c>
      <c r="I70" s="1171"/>
      <c r="J70" s="220"/>
      <c r="K70" s="985"/>
      <c r="L70" s="988"/>
      <c r="M70" s="985"/>
      <c r="N70" s="220"/>
      <c r="O70" s="991"/>
      <c r="P70" s="220"/>
      <c r="Q70" s="985"/>
      <c r="R70" s="220"/>
      <c r="S70" s="985"/>
    </row>
    <row r="71" spans="1:19" s="22" customFormat="1" ht="15.75" hidden="1">
      <c r="A71" s="23"/>
      <c r="B71" s="368" t="str">
        <f>'Questions - Fragen'!$A$82</f>
        <v>6.1.2</v>
      </c>
      <c r="C71" s="21"/>
      <c r="D71" s="716" t="str">
        <f t="shared" si="0"/>
        <v>PS8</v>
      </c>
      <c r="E71" s="693"/>
      <c r="F71" s="721" t="str">
        <f>'Questions - Fragen'!E90</f>
        <v>Enter text</v>
      </c>
      <c r="G71" s="220"/>
      <c r="H71" s="384" t="str">
        <f>'Questions - Fragen'!D90</f>
        <v>n.e.</v>
      </c>
      <c r="I71" s="1171"/>
      <c r="J71" s="220"/>
      <c r="K71" s="985"/>
      <c r="L71" s="988"/>
      <c r="M71" s="985"/>
      <c r="N71" s="220"/>
      <c r="O71" s="991"/>
      <c r="P71" s="220"/>
      <c r="Q71" s="985"/>
      <c r="R71" s="220"/>
      <c r="S71" s="985"/>
    </row>
    <row r="72" spans="1:19" s="22" customFormat="1" ht="15.75" hidden="1">
      <c r="A72" s="23"/>
      <c r="B72" s="368" t="str">
        <f>'Questions - Fragen'!$A$82</f>
        <v>6.1.2</v>
      </c>
      <c r="C72" s="21"/>
      <c r="D72" s="716" t="str">
        <f t="shared" si="0"/>
        <v>PS9</v>
      </c>
      <c r="E72" s="693"/>
      <c r="F72" s="721" t="str">
        <f>'Questions - Fragen'!E91</f>
        <v>Enter text</v>
      </c>
      <c r="G72" s="220"/>
      <c r="H72" s="384" t="str">
        <f>'Questions - Fragen'!D91</f>
        <v>n.e.</v>
      </c>
      <c r="I72" s="1171"/>
      <c r="J72" s="220"/>
      <c r="K72" s="985"/>
      <c r="L72" s="988"/>
      <c r="M72" s="985"/>
      <c r="N72" s="220"/>
      <c r="O72" s="991"/>
      <c r="P72" s="220"/>
      <c r="Q72" s="985"/>
      <c r="R72" s="220"/>
      <c r="S72" s="985"/>
    </row>
    <row r="73" spans="1:19" s="22" customFormat="1" ht="15.75" hidden="1">
      <c r="A73" s="23"/>
      <c r="B73" s="368" t="str">
        <f>'Questions - Fragen'!$A$82</f>
        <v>6.1.2</v>
      </c>
      <c r="C73" s="21"/>
      <c r="D73" s="716" t="str">
        <f t="shared" si="0"/>
        <v>PS10</v>
      </c>
      <c r="E73" s="693"/>
      <c r="F73" s="721" t="str">
        <f>'Questions - Fragen'!E92</f>
        <v>Enter text</v>
      </c>
      <c r="G73" s="220"/>
      <c r="H73" s="384" t="str">
        <f>'Questions - Fragen'!D92</f>
        <v>n.e.</v>
      </c>
      <c r="I73" s="1171"/>
      <c r="J73" s="220"/>
      <c r="K73" s="985"/>
      <c r="L73" s="988"/>
      <c r="M73" s="985"/>
      <c r="N73" s="220"/>
      <c r="O73" s="991"/>
      <c r="P73" s="220"/>
      <c r="Q73" s="985"/>
      <c r="R73" s="220"/>
      <c r="S73" s="985"/>
    </row>
    <row r="74" spans="1:19" s="22" customFormat="1" ht="30" hidden="1">
      <c r="A74" s="23"/>
      <c r="B74" s="381" t="str">
        <f>'Questions - Fragen'!$A$93</f>
        <v>6.1.3</v>
      </c>
      <c r="C74" s="382"/>
      <c r="D74" s="718" t="str">
        <f>D64</f>
        <v>PS1</v>
      </c>
      <c r="E74" s="719"/>
      <c r="F74" s="721" t="str">
        <f>'Questions - Fragen'!E94</f>
        <v>Bone Ash was stored inside controlled Tent with Temperature and Humidity within range</v>
      </c>
      <c r="G74" s="383"/>
      <c r="H74" s="384">
        <f>'Questions - Fragen'!D94</f>
        <v>10</v>
      </c>
      <c r="I74" s="1179" t="str">
        <f>IF('Questions - Fragen'!F94="","",'Questions - Fragen'!F94)</f>
        <v/>
      </c>
      <c r="J74" s="383"/>
      <c r="K74" s="987"/>
      <c r="L74" s="988"/>
      <c r="M74" s="987"/>
      <c r="N74" s="383"/>
      <c r="O74" s="996"/>
      <c r="P74" s="383"/>
      <c r="Q74" s="987"/>
      <c r="R74" s="383"/>
      <c r="S74" s="987"/>
    </row>
    <row r="75" spans="1:19" s="22" customFormat="1" ht="15.75" hidden="1">
      <c r="A75" s="23"/>
      <c r="B75" s="368" t="str">
        <f>'Questions - Fragen'!$A$93</f>
        <v>6.1.3</v>
      </c>
      <c r="C75" s="21"/>
      <c r="D75" s="716" t="str">
        <f>D65</f>
        <v>PS2</v>
      </c>
      <c r="E75" s="693"/>
      <c r="F75" s="694" t="str">
        <f>'Questions - Fragen'!E95</f>
        <v>According to Customer specification</v>
      </c>
      <c r="G75" s="220"/>
      <c r="H75" s="384">
        <f>'Questions - Fragen'!D95</f>
        <v>10</v>
      </c>
      <c r="I75" s="1171" t="str">
        <f>IF('Questions - Fragen'!F95="","",'Questions - Fragen'!F95)</f>
        <v/>
      </c>
      <c r="J75" s="220"/>
      <c r="K75" s="985"/>
      <c r="L75" s="988"/>
      <c r="M75" s="985"/>
      <c r="N75" s="220"/>
      <c r="O75" s="991"/>
      <c r="P75" s="220"/>
      <c r="Q75" s="985"/>
      <c r="R75" s="220"/>
      <c r="S75" s="985"/>
    </row>
    <row r="76" spans="1:19" s="22" customFormat="1" ht="15.75" hidden="1">
      <c r="A76" s="23"/>
      <c r="B76" s="368" t="str">
        <f>'Questions - Fragen'!$A$93</f>
        <v>6.1.3</v>
      </c>
      <c r="C76" s="21"/>
      <c r="D76" s="716" t="str">
        <f>D66</f>
        <v>PS3</v>
      </c>
      <c r="E76" s="693"/>
      <c r="F76" s="694" t="str">
        <f>'Questions - Fragen'!E96</f>
        <v>Enter text</v>
      </c>
      <c r="G76" s="220"/>
      <c r="H76" s="384" t="str">
        <f>'Questions - Fragen'!D96</f>
        <v>n.e.</v>
      </c>
      <c r="I76" s="1171" t="str">
        <f>IF('Questions - Fragen'!F96="","",'Questions - Fragen'!F96)</f>
        <v/>
      </c>
      <c r="J76" s="220"/>
      <c r="K76" s="985"/>
      <c r="L76" s="988"/>
      <c r="M76" s="985"/>
      <c r="N76" s="220"/>
      <c r="O76" s="991"/>
      <c r="P76" s="220"/>
      <c r="Q76" s="985"/>
      <c r="R76" s="220"/>
      <c r="S76" s="985"/>
    </row>
    <row r="77" spans="1:19" s="22" customFormat="1" ht="15.75" hidden="1">
      <c r="A77" s="23"/>
      <c r="B77" s="368" t="str">
        <f>'Questions - Fragen'!$A$93</f>
        <v>6.1.3</v>
      </c>
      <c r="C77" s="21"/>
      <c r="D77" s="716" t="str">
        <f t="shared" ref="D77:D83" si="1">D67</f>
        <v>PS4</v>
      </c>
      <c r="E77" s="693"/>
      <c r="F77" s="694" t="str">
        <f>'Questions - Fragen'!E97</f>
        <v>Enter text</v>
      </c>
      <c r="G77" s="220"/>
      <c r="H77" s="384" t="str">
        <f>'Questions - Fragen'!D97</f>
        <v>n.e.</v>
      </c>
      <c r="I77" s="1171"/>
      <c r="J77" s="220"/>
      <c r="K77" s="985"/>
      <c r="L77" s="988"/>
      <c r="M77" s="985"/>
      <c r="N77" s="220"/>
      <c r="O77" s="991"/>
      <c r="P77" s="220"/>
      <c r="Q77" s="985"/>
      <c r="R77" s="220"/>
      <c r="S77" s="985"/>
    </row>
    <row r="78" spans="1:19" s="22" customFormat="1" ht="15.75" hidden="1">
      <c r="A78" s="23"/>
      <c r="B78" s="368" t="str">
        <f>'Questions - Fragen'!$A$93</f>
        <v>6.1.3</v>
      </c>
      <c r="C78" s="21"/>
      <c r="D78" s="716" t="str">
        <f t="shared" si="1"/>
        <v>PS5</v>
      </c>
      <c r="E78" s="693"/>
      <c r="F78" s="694" t="str">
        <f>'Questions - Fragen'!E98</f>
        <v>Enter text</v>
      </c>
      <c r="G78" s="220"/>
      <c r="H78" s="384" t="str">
        <f>'Questions - Fragen'!D98</f>
        <v>n.e.</v>
      </c>
      <c r="I78" s="1171"/>
      <c r="J78" s="220"/>
      <c r="K78" s="985"/>
      <c r="L78" s="988"/>
      <c r="M78" s="985"/>
      <c r="N78" s="220"/>
      <c r="O78" s="991"/>
      <c r="P78" s="220"/>
      <c r="Q78" s="985"/>
      <c r="R78" s="220"/>
      <c r="S78" s="985"/>
    </row>
    <row r="79" spans="1:19" s="22" customFormat="1" ht="15.75" hidden="1">
      <c r="A79" s="23"/>
      <c r="B79" s="368" t="str">
        <f>'Questions - Fragen'!$A$93</f>
        <v>6.1.3</v>
      </c>
      <c r="C79" s="21"/>
      <c r="D79" s="716" t="str">
        <f t="shared" si="1"/>
        <v>PS6</v>
      </c>
      <c r="E79" s="693"/>
      <c r="F79" s="694" t="str">
        <f>'Questions - Fragen'!E99</f>
        <v>Enter text</v>
      </c>
      <c r="G79" s="220"/>
      <c r="H79" s="384" t="str">
        <f>'Questions - Fragen'!D99</f>
        <v>n.e.</v>
      </c>
      <c r="I79" s="1171"/>
      <c r="J79" s="220"/>
      <c r="K79" s="985"/>
      <c r="L79" s="988"/>
      <c r="M79" s="985"/>
      <c r="N79" s="220"/>
      <c r="O79" s="991"/>
      <c r="P79" s="220"/>
      <c r="Q79" s="985"/>
      <c r="R79" s="220"/>
      <c r="S79" s="985"/>
    </row>
    <row r="80" spans="1:19" s="22" customFormat="1" ht="15.75" hidden="1">
      <c r="A80" s="23"/>
      <c r="B80" s="368" t="str">
        <f>'Questions - Fragen'!$A$93</f>
        <v>6.1.3</v>
      </c>
      <c r="C80" s="21"/>
      <c r="D80" s="716" t="str">
        <f t="shared" si="1"/>
        <v>PS7</v>
      </c>
      <c r="E80" s="693"/>
      <c r="F80" s="694" t="str">
        <f>'Questions - Fragen'!E100</f>
        <v>Enter text</v>
      </c>
      <c r="G80" s="220"/>
      <c r="H80" s="384" t="str">
        <f>'Questions - Fragen'!D100</f>
        <v>n.e.</v>
      </c>
      <c r="I80" s="1171"/>
      <c r="J80" s="220"/>
      <c r="K80" s="985"/>
      <c r="L80" s="988"/>
      <c r="M80" s="985"/>
      <c r="N80" s="220"/>
      <c r="O80" s="991"/>
      <c r="P80" s="220"/>
      <c r="Q80" s="985"/>
      <c r="R80" s="220"/>
      <c r="S80" s="985"/>
    </row>
    <row r="81" spans="1:19" s="22" customFormat="1" ht="15.75" hidden="1">
      <c r="A81" s="23"/>
      <c r="B81" s="368" t="str">
        <f>'Questions - Fragen'!$A$93</f>
        <v>6.1.3</v>
      </c>
      <c r="C81" s="21"/>
      <c r="D81" s="716" t="str">
        <f t="shared" si="1"/>
        <v>PS8</v>
      </c>
      <c r="E81" s="693"/>
      <c r="F81" s="694" t="str">
        <f>'Questions - Fragen'!E101</f>
        <v>Enter text</v>
      </c>
      <c r="G81" s="220"/>
      <c r="H81" s="384" t="str">
        <f>'Questions - Fragen'!D101</f>
        <v>n.e.</v>
      </c>
      <c r="I81" s="1171"/>
      <c r="J81" s="220"/>
      <c r="K81" s="985"/>
      <c r="L81" s="988"/>
      <c r="M81" s="985"/>
      <c r="N81" s="220"/>
      <c r="O81" s="991"/>
      <c r="P81" s="220"/>
      <c r="Q81" s="985"/>
      <c r="R81" s="220"/>
      <c r="S81" s="985"/>
    </row>
    <row r="82" spans="1:19" s="22" customFormat="1" ht="15.75" hidden="1">
      <c r="A82" s="23"/>
      <c r="B82" s="368" t="str">
        <f>'Questions - Fragen'!$A$93</f>
        <v>6.1.3</v>
      </c>
      <c r="C82" s="21"/>
      <c r="D82" s="716" t="str">
        <f t="shared" si="1"/>
        <v>PS9</v>
      </c>
      <c r="E82" s="693"/>
      <c r="F82" s="694" t="str">
        <f>'Questions - Fragen'!E102</f>
        <v>Enter text</v>
      </c>
      <c r="G82" s="220"/>
      <c r="H82" s="384" t="str">
        <f>'Questions - Fragen'!D102</f>
        <v>n.e.</v>
      </c>
      <c r="I82" s="1171"/>
      <c r="J82" s="220"/>
      <c r="K82" s="985"/>
      <c r="L82" s="988"/>
      <c r="M82" s="985"/>
      <c r="N82" s="220"/>
      <c r="O82" s="991"/>
      <c r="P82" s="220"/>
      <c r="Q82" s="985"/>
      <c r="R82" s="220"/>
      <c r="S82" s="985"/>
    </row>
    <row r="83" spans="1:19" s="22" customFormat="1" ht="15.75" hidden="1">
      <c r="A83" s="23"/>
      <c r="B83" s="368" t="str">
        <f>'Questions - Fragen'!$A$93</f>
        <v>6.1.3</v>
      </c>
      <c r="C83" s="21"/>
      <c r="D83" s="716" t="str">
        <f t="shared" si="1"/>
        <v>PS10</v>
      </c>
      <c r="E83" s="693"/>
      <c r="F83" s="694" t="str">
        <f>'Questions - Fragen'!E103</f>
        <v>Enter text</v>
      </c>
      <c r="G83" s="220"/>
      <c r="H83" s="384" t="str">
        <f>'Questions - Fragen'!D103</f>
        <v>n.e.</v>
      </c>
      <c r="I83" s="1171"/>
      <c r="J83" s="220"/>
      <c r="K83" s="985"/>
      <c r="L83" s="988"/>
      <c r="M83" s="985"/>
      <c r="N83" s="220"/>
      <c r="O83" s="991"/>
      <c r="P83" s="220"/>
      <c r="Q83" s="985"/>
      <c r="R83" s="220"/>
      <c r="S83" s="985"/>
    </row>
    <row r="84" spans="1:19" s="22" customFormat="1" ht="15.75" hidden="1">
      <c r="A84" s="23"/>
      <c r="B84" s="381" t="str">
        <f>'Questions - Fragen'!$A$104</f>
        <v>6.1.4</v>
      </c>
      <c r="C84" s="382"/>
      <c r="D84" s="718" t="str">
        <f>D74</f>
        <v>PS1</v>
      </c>
      <c r="E84" s="719"/>
      <c r="F84" s="721" t="str">
        <f>'Questions - Fragen'!E105</f>
        <v>No weak points identified</v>
      </c>
      <c r="G84" s="383"/>
      <c r="H84" s="384">
        <f>'Questions - Fragen'!D105</f>
        <v>10</v>
      </c>
      <c r="I84" s="1179" t="str">
        <f>IF('Questions - Fragen'!F105="","",'Questions - Fragen'!F105)</f>
        <v/>
      </c>
      <c r="J84" s="383"/>
      <c r="K84" s="987"/>
      <c r="L84" s="988"/>
      <c r="M84" s="987"/>
      <c r="N84" s="383"/>
      <c r="O84" s="996"/>
      <c r="P84" s="383"/>
      <c r="Q84" s="987"/>
      <c r="R84" s="383"/>
      <c r="S84" s="987"/>
    </row>
    <row r="85" spans="1:19" s="22" customFormat="1" ht="75" hidden="1">
      <c r="A85" s="23"/>
      <c r="B85" s="368" t="str">
        <f>'Questions - Fragen'!$A$104</f>
        <v>6.1.4</v>
      </c>
      <c r="C85" s="21"/>
      <c r="D85" s="716" t="str">
        <f>D75</f>
        <v>PS2</v>
      </c>
      <c r="E85" s="693"/>
      <c r="F85" s="694" t="str">
        <f>'Questions - Fragen'!E106</f>
        <v xml:space="preserve">All approved Billets had DMC Code and Laser marking with: Charge number and Alloy on end plane  of each Bundle. Every Bundle had Ink marking on long side (front / back) with information:  KUBAL, Alloy, dimension and weight for Bundle (kg)   </v>
      </c>
      <c r="G85" s="220"/>
      <c r="H85" s="384">
        <f>'Questions - Fragen'!D106</f>
        <v>10</v>
      </c>
      <c r="I85" s="1171" t="str">
        <f>IF('Questions - Fragen'!F106="","",'Questions - Fragen'!F106)</f>
        <v/>
      </c>
      <c r="J85" s="220"/>
      <c r="K85" s="985"/>
      <c r="L85" s="988"/>
      <c r="M85" s="985"/>
      <c r="N85" s="220"/>
      <c r="O85" s="991"/>
      <c r="P85" s="220"/>
      <c r="Q85" s="985"/>
      <c r="R85" s="220"/>
      <c r="S85" s="985"/>
    </row>
    <row r="86" spans="1:19" s="22" customFormat="1" ht="15.75" hidden="1">
      <c r="A86" s="23"/>
      <c r="B86" s="368" t="str">
        <f>'Questions - Fragen'!$A$104</f>
        <v>6.1.4</v>
      </c>
      <c r="C86" s="21"/>
      <c r="D86" s="716" t="str">
        <f>D76</f>
        <v>PS3</v>
      </c>
      <c r="E86" s="693"/>
      <c r="F86" s="694" t="str">
        <f>'Questions - Fragen'!E107</f>
        <v>Enter text</v>
      </c>
      <c r="G86" s="220"/>
      <c r="H86" s="384" t="str">
        <f>'Questions - Fragen'!D107</f>
        <v>n.e.</v>
      </c>
      <c r="I86" s="1171" t="str">
        <f>IF('Questions - Fragen'!F107="","",'Questions - Fragen'!F107)</f>
        <v/>
      </c>
      <c r="J86" s="220"/>
      <c r="K86" s="985"/>
      <c r="L86" s="988"/>
      <c r="M86" s="985"/>
      <c r="N86" s="220"/>
      <c r="O86" s="991"/>
      <c r="P86" s="220"/>
      <c r="Q86" s="985"/>
      <c r="R86" s="220"/>
      <c r="S86" s="985"/>
    </row>
    <row r="87" spans="1:19" s="22" customFormat="1" ht="15.75" hidden="1">
      <c r="A87" s="23"/>
      <c r="B87" s="368" t="str">
        <f>'Questions - Fragen'!$A$104</f>
        <v>6.1.4</v>
      </c>
      <c r="C87" s="21"/>
      <c r="D87" s="716" t="str">
        <f t="shared" ref="D87:D93" si="2">D77</f>
        <v>PS4</v>
      </c>
      <c r="E87" s="697"/>
      <c r="F87" s="694" t="str">
        <f>'Questions - Fragen'!E108</f>
        <v>Enter text</v>
      </c>
      <c r="G87" s="220"/>
      <c r="H87" s="384" t="str">
        <f>'Questions - Fragen'!D108</f>
        <v>n.e.</v>
      </c>
      <c r="I87" s="1171"/>
      <c r="J87" s="220"/>
      <c r="K87" s="985"/>
      <c r="L87" s="988"/>
      <c r="M87" s="985"/>
      <c r="N87" s="220"/>
      <c r="O87" s="991"/>
      <c r="P87" s="220"/>
      <c r="Q87" s="985"/>
      <c r="R87" s="220"/>
      <c r="S87" s="985"/>
    </row>
    <row r="88" spans="1:19" s="22" customFormat="1" ht="15.75" hidden="1">
      <c r="A88" s="23"/>
      <c r="B88" s="368" t="str">
        <f>'Questions - Fragen'!$A$104</f>
        <v>6.1.4</v>
      </c>
      <c r="C88" s="21"/>
      <c r="D88" s="716" t="str">
        <f t="shared" si="2"/>
        <v>PS5</v>
      </c>
      <c r="E88" s="697"/>
      <c r="F88" s="694" t="str">
        <f>'Questions - Fragen'!E109</f>
        <v>Enter text</v>
      </c>
      <c r="G88" s="220"/>
      <c r="H88" s="384" t="str">
        <f>'Questions - Fragen'!D109</f>
        <v>n.e.</v>
      </c>
      <c r="I88" s="1171"/>
      <c r="J88" s="220"/>
      <c r="K88" s="985"/>
      <c r="L88" s="988"/>
      <c r="M88" s="985"/>
      <c r="N88" s="220"/>
      <c r="O88" s="991"/>
      <c r="P88" s="220"/>
      <c r="Q88" s="985"/>
      <c r="R88" s="220"/>
      <c r="S88" s="985"/>
    </row>
    <row r="89" spans="1:19" s="22" customFormat="1" ht="15.75" hidden="1">
      <c r="A89" s="23"/>
      <c r="B89" s="368" t="str">
        <f>'Questions - Fragen'!$A$104</f>
        <v>6.1.4</v>
      </c>
      <c r="C89" s="21"/>
      <c r="D89" s="716" t="str">
        <f t="shared" si="2"/>
        <v>PS6</v>
      </c>
      <c r="E89" s="697"/>
      <c r="F89" s="694" t="str">
        <f>'Questions - Fragen'!E110</f>
        <v>Enter text</v>
      </c>
      <c r="G89" s="220"/>
      <c r="H89" s="384" t="str">
        <f>'Questions - Fragen'!D110</f>
        <v>n.e.</v>
      </c>
      <c r="I89" s="1171"/>
      <c r="J89" s="220"/>
      <c r="K89" s="985"/>
      <c r="L89" s="988"/>
      <c r="M89" s="985"/>
      <c r="N89" s="220"/>
      <c r="O89" s="991"/>
      <c r="P89" s="220"/>
      <c r="Q89" s="985"/>
      <c r="R89" s="220"/>
      <c r="S89" s="985"/>
    </row>
    <row r="90" spans="1:19" s="22" customFormat="1" ht="15.75" hidden="1">
      <c r="A90" s="23"/>
      <c r="B90" s="368" t="str">
        <f>'Questions - Fragen'!$A$104</f>
        <v>6.1.4</v>
      </c>
      <c r="C90" s="21"/>
      <c r="D90" s="716" t="str">
        <f t="shared" si="2"/>
        <v>PS7</v>
      </c>
      <c r="E90" s="697"/>
      <c r="F90" s="694" t="str">
        <f>'Questions - Fragen'!E111</f>
        <v>Enter text</v>
      </c>
      <c r="G90" s="220"/>
      <c r="H90" s="384" t="str">
        <f>'Questions - Fragen'!D111</f>
        <v>n.e.</v>
      </c>
      <c r="I90" s="1171"/>
      <c r="J90" s="220"/>
      <c r="K90" s="985"/>
      <c r="L90" s="988"/>
      <c r="M90" s="985"/>
      <c r="N90" s="220"/>
      <c r="O90" s="991"/>
      <c r="P90" s="220"/>
      <c r="Q90" s="985"/>
      <c r="R90" s="220"/>
      <c r="S90" s="985"/>
    </row>
    <row r="91" spans="1:19" s="22" customFormat="1" ht="15.75" hidden="1">
      <c r="A91" s="23"/>
      <c r="B91" s="368" t="str">
        <f>'Questions - Fragen'!$A$104</f>
        <v>6.1.4</v>
      </c>
      <c r="C91" s="21"/>
      <c r="D91" s="716" t="str">
        <f t="shared" si="2"/>
        <v>PS8</v>
      </c>
      <c r="E91" s="697"/>
      <c r="F91" s="694" t="str">
        <f>'Questions - Fragen'!E112</f>
        <v>Enter text</v>
      </c>
      <c r="G91" s="220"/>
      <c r="H91" s="384" t="str">
        <f>'Questions - Fragen'!D112</f>
        <v>n.e.</v>
      </c>
      <c r="I91" s="1171"/>
      <c r="J91" s="220"/>
      <c r="K91" s="985"/>
      <c r="L91" s="988"/>
      <c r="M91" s="985"/>
      <c r="N91" s="220"/>
      <c r="O91" s="991"/>
      <c r="P91" s="220"/>
      <c r="Q91" s="985"/>
      <c r="R91" s="220"/>
      <c r="S91" s="985"/>
    </row>
    <row r="92" spans="1:19" s="22" customFormat="1" ht="15.75" hidden="1">
      <c r="A92" s="23"/>
      <c r="B92" s="368" t="str">
        <f>'Questions - Fragen'!$A$104</f>
        <v>6.1.4</v>
      </c>
      <c r="C92" s="21"/>
      <c r="D92" s="716" t="str">
        <f t="shared" si="2"/>
        <v>PS9</v>
      </c>
      <c r="E92" s="697"/>
      <c r="F92" s="694" t="str">
        <f>'Questions - Fragen'!E113</f>
        <v>Enter text</v>
      </c>
      <c r="G92" s="220"/>
      <c r="H92" s="384" t="str">
        <f>'Questions - Fragen'!D113</f>
        <v>n.e.</v>
      </c>
      <c r="I92" s="1171"/>
      <c r="J92" s="220"/>
      <c r="K92" s="985"/>
      <c r="L92" s="988"/>
      <c r="M92" s="985"/>
      <c r="N92" s="220"/>
      <c r="O92" s="991"/>
      <c r="P92" s="220"/>
      <c r="Q92" s="985"/>
      <c r="R92" s="220"/>
      <c r="S92" s="985"/>
    </row>
    <row r="93" spans="1:19" s="22" customFormat="1" ht="15.75" hidden="1">
      <c r="A93" s="23"/>
      <c r="B93" s="368" t="str">
        <f>'Questions - Fragen'!$A$104</f>
        <v>6.1.4</v>
      </c>
      <c r="C93" s="21"/>
      <c r="D93" s="716" t="str">
        <f t="shared" si="2"/>
        <v>PS10</v>
      </c>
      <c r="E93" s="697"/>
      <c r="F93" s="694" t="str">
        <f>'Questions - Fragen'!E114</f>
        <v>Enter text</v>
      </c>
      <c r="G93" s="220"/>
      <c r="H93" s="384" t="str">
        <f>'Questions - Fragen'!D114</f>
        <v>n.e.</v>
      </c>
      <c r="I93" s="1171"/>
      <c r="J93" s="220"/>
      <c r="K93" s="985"/>
      <c r="L93" s="988"/>
      <c r="M93" s="985"/>
      <c r="N93" s="220"/>
      <c r="O93" s="991"/>
      <c r="P93" s="220"/>
      <c r="Q93" s="985"/>
      <c r="R93" s="220"/>
      <c r="S93" s="985"/>
    </row>
    <row r="94" spans="1:19" s="22" customFormat="1" ht="15.75" hidden="1">
      <c r="A94" s="23"/>
      <c r="B94" s="381" t="str">
        <f>'Questions - Fragen'!$A$115</f>
        <v>6.1.5</v>
      </c>
      <c r="C94" s="382"/>
      <c r="D94" s="718" t="str">
        <f>D84</f>
        <v>PS1</v>
      </c>
      <c r="E94" s="719"/>
      <c r="F94" s="721" t="str">
        <f>'Questions - Fragen'!E116</f>
        <v>Enter text</v>
      </c>
      <c r="G94" s="383"/>
      <c r="H94" s="384" t="str">
        <f>'Questions - Fragen'!D116</f>
        <v>n.e.</v>
      </c>
      <c r="I94" s="1179" t="str">
        <f>IF('Questions - Fragen'!F116="","",'Questions - Fragen'!F116)</f>
        <v/>
      </c>
      <c r="J94" s="383"/>
      <c r="K94" s="987"/>
      <c r="L94" s="988"/>
      <c r="M94" s="987"/>
      <c r="N94" s="383"/>
      <c r="O94" s="996"/>
      <c r="P94" s="383"/>
      <c r="Q94" s="987"/>
      <c r="R94" s="383"/>
      <c r="S94" s="987"/>
    </row>
    <row r="95" spans="1:19" s="22" customFormat="1" ht="15.75" hidden="1">
      <c r="A95" s="23"/>
      <c r="B95" s="368" t="str">
        <f>'Questions - Fragen'!$A$115</f>
        <v>6.1.5</v>
      </c>
      <c r="C95" s="21"/>
      <c r="D95" s="716" t="str">
        <f>D85</f>
        <v>PS2</v>
      </c>
      <c r="E95" s="693"/>
      <c r="F95" s="694" t="str">
        <f>'Questions - Fragen'!E117</f>
        <v>Enter text</v>
      </c>
      <c r="G95" s="220"/>
      <c r="H95" s="384" t="str">
        <f>'Questions - Fragen'!D117</f>
        <v>n.e.</v>
      </c>
      <c r="I95" s="1171" t="str">
        <f>IF('Questions - Fragen'!F117="","",'Questions - Fragen'!F117)</f>
        <v/>
      </c>
      <c r="J95" s="220"/>
      <c r="K95" s="985"/>
      <c r="L95" s="988"/>
      <c r="M95" s="985"/>
      <c r="N95" s="220"/>
      <c r="O95" s="991"/>
      <c r="P95" s="220"/>
      <c r="Q95" s="985"/>
      <c r="R95" s="220"/>
      <c r="S95" s="985"/>
    </row>
    <row r="96" spans="1:19" s="22" customFormat="1" ht="15.75" hidden="1">
      <c r="A96" s="23"/>
      <c r="B96" s="368" t="str">
        <f>'Questions - Fragen'!$A$115</f>
        <v>6.1.5</v>
      </c>
      <c r="C96" s="21"/>
      <c r="D96" s="716" t="str">
        <f>D86</f>
        <v>PS3</v>
      </c>
      <c r="E96" s="693"/>
      <c r="F96" s="694" t="str">
        <f>'Questions - Fragen'!E118</f>
        <v>Enter text</v>
      </c>
      <c r="G96" s="220"/>
      <c r="H96" s="384" t="str">
        <f>'Questions - Fragen'!D118</f>
        <v>n.e.</v>
      </c>
      <c r="I96" s="1171" t="str">
        <f>IF('Questions - Fragen'!F118="","",'Questions - Fragen'!F118)</f>
        <v/>
      </c>
      <c r="J96" s="220"/>
      <c r="K96" s="985"/>
      <c r="L96" s="988"/>
      <c r="M96" s="985"/>
      <c r="N96" s="220"/>
      <c r="O96" s="991"/>
      <c r="P96" s="220"/>
      <c r="Q96" s="985"/>
      <c r="R96" s="220"/>
      <c r="S96" s="985"/>
    </row>
    <row r="97" spans="1:19" s="22" customFormat="1" ht="15.75" hidden="1">
      <c r="A97" s="23"/>
      <c r="B97" s="368" t="str">
        <f>'Questions - Fragen'!$A$115</f>
        <v>6.1.5</v>
      </c>
      <c r="C97" s="21"/>
      <c r="D97" s="716" t="str">
        <f t="shared" ref="D97:D103" si="3">D87</f>
        <v>PS4</v>
      </c>
      <c r="E97" s="697"/>
      <c r="F97" s="694" t="str">
        <f>'Questions - Fragen'!E119</f>
        <v>Enter text</v>
      </c>
      <c r="G97" s="220"/>
      <c r="H97" s="384" t="str">
        <f>'Questions - Fragen'!D119</f>
        <v>n.e.</v>
      </c>
      <c r="I97" s="1171"/>
      <c r="J97" s="220"/>
      <c r="K97" s="985"/>
      <c r="L97" s="988"/>
      <c r="M97" s="985"/>
      <c r="N97" s="220"/>
      <c r="O97" s="991"/>
      <c r="P97" s="220"/>
      <c r="Q97" s="985"/>
      <c r="R97" s="220"/>
      <c r="S97" s="985"/>
    </row>
    <row r="98" spans="1:19" s="22" customFormat="1" ht="15.75" hidden="1">
      <c r="A98" s="23"/>
      <c r="B98" s="368" t="str">
        <f>'Questions - Fragen'!$A$115</f>
        <v>6.1.5</v>
      </c>
      <c r="C98" s="21"/>
      <c r="D98" s="716" t="str">
        <f t="shared" si="3"/>
        <v>PS5</v>
      </c>
      <c r="E98" s="697"/>
      <c r="F98" s="694" t="str">
        <f>'Questions - Fragen'!E120</f>
        <v>Enter text</v>
      </c>
      <c r="G98" s="220"/>
      <c r="H98" s="384" t="str">
        <f>'Questions - Fragen'!D120</f>
        <v>n.e.</v>
      </c>
      <c r="I98" s="1171"/>
      <c r="J98" s="220"/>
      <c r="K98" s="985"/>
      <c r="L98" s="988"/>
      <c r="M98" s="985"/>
      <c r="N98" s="220"/>
      <c r="O98" s="991"/>
      <c r="P98" s="220"/>
      <c r="Q98" s="985"/>
      <c r="R98" s="220"/>
      <c r="S98" s="985"/>
    </row>
    <row r="99" spans="1:19" s="22" customFormat="1" ht="15.75" hidden="1">
      <c r="A99" s="23"/>
      <c r="B99" s="368" t="str">
        <f>'Questions - Fragen'!$A$115</f>
        <v>6.1.5</v>
      </c>
      <c r="C99" s="21"/>
      <c r="D99" s="716" t="str">
        <f t="shared" si="3"/>
        <v>PS6</v>
      </c>
      <c r="E99" s="697"/>
      <c r="F99" s="694" t="str">
        <f>'Questions - Fragen'!E121</f>
        <v>Enter text</v>
      </c>
      <c r="G99" s="220"/>
      <c r="H99" s="384" t="str">
        <f>'Questions - Fragen'!D121</f>
        <v>n.e.</v>
      </c>
      <c r="I99" s="1171"/>
      <c r="J99" s="220"/>
      <c r="K99" s="985"/>
      <c r="L99" s="988"/>
      <c r="M99" s="985"/>
      <c r="N99" s="220"/>
      <c r="O99" s="991"/>
      <c r="P99" s="220"/>
      <c r="Q99" s="985"/>
      <c r="R99" s="220"/>
      <c r="S99" s="985"/>
    </row>
    <row r="100" spans="1:19" s="22" customFormat="1" ht="15.75" hidden="1">
      <c r="A100" s="23"/>
      <c r="B100" s="368" t="str">
        <f>'Questions - Fragen'!$A$115</f>
        <v>6.1.5</v>
      </c>
      <c r="C100" s="21"/>
      <c r="D100" s="716" t="str">
        <f t="shared" si="3"/>
        <v>PS7</v>
      </c>
      <c r="E100" s="697"/>
      <c r="F100" s="694" t="str">
        <f>'Questions - Fragen'!E122</f>
        <v>Enter text</v>
      </c>
      <c r="G100" s="220"/>
      <c r="H100" s="384" t="str">
        <f>'Questions - Fragen'!D122</f>
        <v>n.e.</v>
      </c>
      <c r="I100" s="1171"/>
      <c r="J100" s="220"/>
      <c r="K100" s="985"/>
      <c r="L100" s="988"/>
      <c r="M100" s="985"/>
      <c r="N100" s="220"/>
      <c r="O100" s="991"/>
      <c r="P100" s="220"/>
      <c r="Q100" s="985"/>
      <c r="R100" s="220"/>
      <c r="S100" s="985"/>
    </row>
    <row r="101" spans="1:19" s="22" customFormat="1" ht="15.75" hidden="1">
      <c r="A101" s="23"/>
      <c r="B101" s="368" t="str">
        <f>'Questions - Fragen'!$A$115</f>
        <v>6.1.5</v>
      </c>
      <c r="C101" s="21"/>
      <c r="D101" s="716" t="str">
        <f t="shared" si="3"/>
        <v>PS8</v>
      </c>
      <c r="E101" s="697"/>
      <c r="F101" s="694" t="str">
        <f>'Questions - Fragen'!E123</f>
        <v>Enter text</v>
      </c>
      <c r="G101" s="220"/>
      <c r="H101" s="384" t="str">
        <f>'Questions - Fragen'!D123</f>
        <v>n.e.</v>
      </c>
      <c r="I101" s="1171"/>
      <c r="J101" s="220"/>
      <c r="K101" s="985"/>
      <c r="L101" s="988"/>
      <c r="M101" s="985"/>
      <c r="N101" s="220"/>
      <c r="O101" s="991"/>
      <c r="P101" s="220"/>
      <c r="Q101" s="985"/>
      <c r="R101" s="220"/>
      <c r="S101" s="985"/>
    </row>
    <row r="102" spans="1:19" s="22" customFormat="1" ht="15.75" hidden="1">
      <c r="A102" s="23"/>
      <c r="B102" s="368" t="str">
        <f>'Questions - Fragen'!$A$115</f>
        <v>6.1.5</v>
      </c>
      <c r="C102" s="21"/>
      <c r="D102" s="716" t="str">
        <f t="shared" si="3"/>
        <v>PS9</v>
      </c>
      <c r="E102" s="697"/>
      <c r="F102" s="694" t="str">
        <f>'Questions - Fragen'!E124</f>
        <v>Enter text</v>
      </c>
      <c r="G102" s="220"/>
      <c r="H102" s="384" t="str">
        <f>'Questions - Fragen'!D124</f>
        <v>n.e.</v>
      </c>
      <c r="I102" s="1171"/>
      <c r="J102" s="220"/>
      <c r="K102" s="985"/>
      <c r="L102" s="988"/>
      <c r="M102" s="985"/>
      <c r="N102" s="220"/>
      <c r="O102" s="991"/>
      <c r="P102" s="220"/>
      <c r="Q102" s="985"/>
      <c r="R102" s="220"/>
      <c r="S102" s="985"/>
    </row>
    <row r="103" spans="1:19" s="22" customFormat="1" ht="15.75" hidden="1">
      <c r="A103" s="23"/>
      <c r="B103" s="368" t="str">
        <f>'Questions - Fragen'!$A$115</f>
        <v>6.1.5</v>
      </c>
      <c r="C103" s="21"/>
      <c r="D103" s="716" t="str">
        <f t="shared" si="3"/>
        <v>PS10</v>
      </c>
      <c r="E103" s="697"/>
      <c r="F103" s="694" t="str">
        <f>'Questions - Fragen'!E125</f>
        <v>Enter text</v>
      </c>
      <c r="G103" s="220"/>
      <c r="H103" s="384" t="str">
        <f>'Questions - Fragen'!D125</f>
        <v>n.e.</v>
      </c>
      <c r="I103" s="1171"/>
      <c r="J103" s="220"/>
      <c r="K103" s="985"/>
      <c r="L103" s="988"/>
      <c r="M103" s="985"/>
      <c r="N103" s="220"/>
      <c r="O103" s="991"/>
      <c r="P103" s="220"/>
      <c r="Q103" s="985"/>
      <c r="R103" s="220"/>
      <c r="S103" s="985"/>
    </row>
    <row r="104" spans="1:19" s="22" customFormat="1" ht="15.75" hidden="1">
      <c r="A104" s="23"/>
      <c r="B104" s="368" t="str">
        <f>'Questions - Fragen'!$A$127</f>
        <v>6.2.1</v>
      </c>
      <c r="C104" s="1216"/>
      <c r="D104" s="716" t="str">
        <f>D94</f>
        <v>PS1</v>
      </c>
      <c r="E104" s="697"/>
      <c r="F104" s="694" t="str">
        <f>'Questions - Fragen'!E128</f>
        <v>Enter text</v>
      </c>
      <c r="G104" s="220"/>
      <c r="H104" s="384" t="str">
        <f>'Questions - Fragen'!D128</f>
        <v>n.e.</v>
      </c>
      <c r="I104" s="1171" t="str">
        <f>IF('Questions - Fragen'!F128="","",'Questions - Fragen'!F128)</f>
        <v/>
      </c>
      <c r="J104" s="220"/>
      <c r="K104" s="985"/>
      <c r="L104" s="988"/>
      <c r="M104" s="985"/>
      <c r="N104" s="220"/>
      <c r="O104" s="991"/>
      <c r="P104" s="220"/>
      <c r="Q104" s="985"/>
      <c r="R104" s="220"/>
      <c r="S104" s="985"/>
    </row>
    <row r="105" spans="1:19" s="22" customFormat="1" ht="15.75" hidden="1">
      <c r="A105" s="23"/>
      <c r="B105" s="368" t="str">
        <f>'Questions - Fragen'!$A$127</f>
        <v>6.2.1</v>
      </c>
      <c r="C105" s="21"/>
      <c r="D105" s="716" t="str">
        <f>D95</f>
        <v>PS2</v>
      </c>
      <c r="E105" s="697"/>
      <c r="F105" s="694" t="str">
        <f>'Questions - Fragen'!E129</f>
        <v>Enter text</v>
      </c>
      <c r="G105" s="220"/>
      <c r="H105" s="384" t="str">
        <f>'Questions - Fragen'!D129</f>
        <v>n.e.</v>
      </c>
      <c r="I105" s="1171" t="str">
        <f>IF('Questions - Fragen'!F129="","",'Questions - Fragen'!F129)</f>
        <v/>
      </c>
      <c r="J105" s="220"/>
      <c r="K105" s="985"/>
      <c r="L105" s="988"/>
      <c r="M105" s="985"/>
      <c r="N105" s="220"/>
      <c r="O105" s="991"/>
      <c r="P105" s="220"/>
      <c r="Q105" s="985"/>
      <c r="R105" s="220"/>
      <c r="S105" s="985"/>
    </row>
    <row r="106" spans="1:19" s="22" customFormat="1" ht="15.75" hidden="1">
      <c r="A106" s="23"/>
      <c r="B106" s="368" t="str">
        <f>'Questions - Fragen'!$A$127</f>
        <v>6.2.1</v>
      </c>
      <c r="C106" s="21"/>
      <c r="D106" s="716" t="str">
        <f>D96</f>
        <v>PS3</v>
      </c>
      <c r="E106" s="697"/>
      <c r="F106" s="694" t="str">
        <f>'Questions - Fragen'!E130</f>
        <v>Enter text</v>
      </c>
      <c r="G106" s="220"/>
      <c r="H106" s="384" t="str">
        <f>'Questions - Fragen'!D130</f>
        <v>n.e.</v>
      </c>
      <c r="I106" s="1171" t="str">
        <f>IF('Questions - Fragen'!F130="","",'Questions - Fragen'!F130)</f>
        <v/>
      </c>
      <c r="J106" s="220"/>
      <c r="K106" s="985"/>
      <c r="L106" s="988"/>
      <c r="M106" s="985"/>
      <c r="N106" s="220"/>
      <c r="O106" s="991"/>
      <c r="P106" s="220"/>
      <c r="Q106" s="985"/>
      <c r="R106" s="220"/>
      <c r="S106" s="985"/>
    </row>
    <row r="107" spans="1:19" s="22" customFormat="1" ht="15.75" hidden="1">
      <c r="A107" s="23"/>
      <c r="B107" s="368" t="str">
        <f>'Questions - Fragen'!$A$127</f>
        <v>6.2.1</v>
      </c>
      <c r="C107" s="21"/>
      <c r="D107" s="716" t="str">
        <f t="shared" ref="D107:D113" si="4">D97</f>
        <v>PS4</v>
      </c>
      <c r="E107" s="697"/>
      <c r="F107" s="694" t="str">
        <f>'Questions - Fragen'!E131</f>
        <v>Enter text</v>
      </c>
      <c r="G107" s="220"/>
      <c r="H107" s="384" t="str">
        <f>'Questions - Fragen'!D131</f>
        <v>n.e.</v>
      </c>
      <c r="I107" s="1171"/>
      <c r="J107" s="220"/>
      <c r="K107" s="985"/>
      <c r="L107" s="988"/>
      <c r="M107" s="985"/>
      <c r="N107" s="220"/>
      <c r="O107" s="991"/>
      <c r="P107" s="220"/>
      <c r="Q107" s="985"/>
      <c r="R107" s="220"/>
      <c r="S107" s="985"/>
    </row>
    <row r="108" spans="1:19" s="22" customFormat="1" ht="15.75" hidden="1">
      <c r="A108" s="23"/>
      <c r="B108" s="368" t="str">
        <f>'Questions - Fragen'!$A$127</f>
        <v>6.2.1</v>
      </c>
      <c r="C108" s="21"/>
      <c r="D108" s="716" t="str">
        <f t="shared" si="4"/>
        <v>PS5</v>
      </c>
      <c r="E108" s="697"/>
      <c r="F108" s="694" t="str">
        <f>'Questions - Fragen'!E132</f>
        <v>Enter text</v>
      </c>
      <c r="G108" s="220"/>
      <c r="H108" s="384" t="str">
        <f>'Questions - Fragen'!D132</f>
        <v>n.e.</v>
      </c>
      <c r="I108" s="1171"/>
      <c r="J108" s="220"/>
      <c r="K108" s="985"/>
      <c r="L108" s="988"/>
      <c r="M108" s="985"/>
      <c r="N108" s="220"/>
      <c r="O108" s="991"/>
      <c r="P108" s="220"/>
      <c r="Q108" s="985"/>
      <c r="R108" s="220"/>
      <c r="S108" s="985"/>
    </row>
    <row r="109" spans="1:19" s="22" customFormat="1" ht="15.75" hidden="1">
      <c r="A109" s="23"/>
      <c r="B109" s="368" t="str">
        <f>'Questions - Fragen'!$A$127</f>
        <v>6.2.1</v>
      </c>
      <c r="C109" s="21"/>
      <c r="D109" s="716" t="str">
        <f t="shared" si="4"/>
        <v>PS6</v>
      </c>
      <c r="E109" s="697"/>
      <c r="F109" s="694" t="str">
        <f>'Questions - Fragen'!E133</f>
        <v>Enter text</v>
      </c>
      <c r="G109" s="220"/>
      <c r="H109" s="384" t="str">
        <f>'Questions - Fragen'!D133</f>
        <v>n.e.</v>
      </c>
      <c r="I109" s="1171"/>
      <c r="J109" s="220"/>
      <c r="K109" s="985"/>
      <c r="L109" s="988"/>
      <c r="M109" s="985"/>
      <c r="N109" s="220"/>
      <c r="O109" s="991"/>
      <c r="P109" s="220"/>
      <c r="Q109" s="985"/>
      <c r="R109" s="220"/>
      <c r="S109" s="985"/>
    </row>
    <row r="110" spans="1:19" s="22" customFormat="1" ht="15.75" hidden="1">
      <c r="A110" s="23"/>
      <c r="B110" s="368" t="str">
        <f>'Questions - Fragen'!$A$127</f>
        <v>6.2.1</v>
      </c>
      <c r="C110" s="21"/>
      <c r="D110" s="716" t="str">
        <f t="shared" si="4"/>
        <v>PS7</v>
      </c>
      <c r="E110" s="697"/>
      <c r="F110" s="694" t="str">
        <f>'Questions - Fragen'!E134</f>
        <v>Enter text</v>
      </c>
      <c r="G110" s="220"/>
      <c r="H110" s="384" t="str">
        <f>'Questions - Fragen'!D134</f>
        <v>n.e.</v>
      </c>
      <c r="I110" s="1171"/>
      <c r="J110" s="220"/>
      <c r="K110" s="985"/>
      <c r="L110" s="988"/>
      <c r="M110" s="985"/>
      <c r="N110" s="220"/>
      <c r="O110" s="991"/>
      <c r="P110" s="220"/>
      <c r="Q110" s="985"/>
      <c r="R110" s="220"/>
      <c r="S110" s="985"/>
    </row>
    <row r="111" spans="1:19" s="22" customFormat="1" ht="15.75" hidden="1">
      <c r="A111" s="23"/>
      <c r="B111" s="368" t="str">
        <f>'Questions - Fragen'!$A$127</f>
        <v>6.2.1</v>
      </c>
      <c r="C111" s="21"/>
      <c r="D111" s="716" t="str">
        <f t="shared" si="4"/>
        <v>PS8</v>
      </c>
      <c r="E111" s="697"/>
      <c r="F111" s="694" t="str">
        <f>'Questions - Fragen'!E135</f>
        <v>Enter text</v>
      </c>
      <c r="G111" s="220"/>
      <c r="H111" s="384" t="str">
        <f>'Questions - Fragen'!D135</f>
        <v>n.e.</v>
      </c>
      <c r="I111" s="1171"/>
      <c r="J111" s="220"/>
      <c r="K111" s="985"/>
      <c r="L111" s="988"/>
      <c r="M111" s="985"/>
      <c r="N111" s="220"/>
      <c r="O111" s="991"/>
      <c r="P111" s="220"/>
      <c r="Q111" s="985"/>
      <c r="R111" s="220"/>
      <c r="S111" s="985"/>
    </row>
    <row r="112" spans="1:19" s="22" customFormat="1" ht="15.75" hidden="1">
      <c r="A112" s="23"/>
      <c r="B112" s="368" t="str">
        <f>'Questions - Fragen'!$A$127</f>
        <v>6.2.1</v>
      </c>
      <c r="C112" s="21"/>
      <c r="D112" s="716" t="str">
        <f t="shared" si="4"/>
        <v>PS9</v>
      </c>
      <c r="E112" s="697"/>
      <c r="F112" s="694" t="str">
        <f>'Questions - Fragen'!E136</f>
        <v>Enter text</v>
      </c>
      <c r="G112" s="220"/>
      <c r="H112" s="384" t="str">
        <f>'Questions - Fragen'!D136</f>
        <v>n.e.</v>
      </c>
      <c r="I112" s="1171"/>
      <c r="J112" s="220"/>
      <c r="K112" s="985"/>
      <c r="L112" s="988"/>
      <c r="M112" s="985"/>
      <c r="N112" s="220"/>
      <c r="O112" s="991"/>
      <c r="P112" s="220"/>
      <c r="Q112" s="985"/>
      <c r="R112" s="220"/>
      <c r="S112" s="985"/>
    </row>
    <row r="113" spans="1:19" s="22" customFormat="1" ht="15.75" hidden="1">
      <c r="A113" s="23"/>
      <c r="B113" s="368" t="str">
        <f>'Questions - Fragen'!$A$127</f>
        <v>6.2.1</v>
      </c>
      <c r="C113" s="21"/>
      <c r="D113" s="716" t="str">
        <f t="shared" si="4"/>
        <v>PS10</v>
      </c>
      <c r="E113" s="697"/>
      <c r="F113" s="694" t="str">
        <f>'Questions - Fragen'!E137</f>
        <v>Enter text</v>
      </c>
      <c r="G113" s="220"/>
      <c r="H113" s="384" t="str">
        <f>'Questions - Fragen'!D137</f>
        <v>n.e.</v>
      </c>
      <c r="I113" s="1171"/>
      <c r="J113" s="220"/>
      <c r="K113" s="985"/>
      <c r="L113" s="988"/>
      <c r="M113" s="985"/>
      <c r="N113" s="220"/>
      <c r="O113" s="991"/>
      <c r="P113" s="220"/>
      <c r="Q113" s="985"/>
      <c r="R113" s="220"/>
      <c r="S113" s="985"/>
    </row>
    <row r="114" spans="1:19" s="22" customFormat="1" ht="15.75" hidden="1">
      <c r="A114" s="24"/>
      <c r="B114" s="381" t="str">
        <f>'Questions - Fragen'!$A$138</f>
        <v>6.2.2</v>
      </c>
      <c r="C114" s="382"/>
      <c r="D114" s="718" t="str">
        <f>D104</f>
        <v>PS1</v>
      </c>
      <c r="E114" s="385"/>
      <c r="F114" s="721" t="str">
        <f>'Questions - Fragen'!E139</f>
        <v>Enter text</v>
      </c>
      <c r="G114" s="386"/>
      <c r="H114" s="384" t="str">
        <f>'Questions - Fragen'!D139</f>
        <v>n.e.</v>
      </c>
      <c r="I114" s="1179" t="str">
        <f>IF('Questions - Fragen'!F139="","",'Questions - Fragen'!F139)</f>
        <v/>
      </c>
      <c r="J114" s="386"/>
      <c r="K114" s="987"/>
      <c r="L114" s="988"/>
      <c r="M114" s="987"/>
      <c r="N114" s="386"/>
      <c r="O114" s="996"/>
      <c r="P114" s="386"/>
      <c r="Q114" s="987"/>
      <c r="R114" s="386"/>
      <c r="S114" s="987"/>
    </row>
    <row r="115" spans="1:19" s="22" customFormat="1" ht="15.75" hidden="1">
      <c r="A115" s="24"/>
      <c r="B115" s="368" t="str">
        <f>'Questions - Fragen'!$A$138</f>
        <v>6.2.2</v>
      </c>
      <c r="C115" s="21"/>
      <c r="D115" s="716" t="str">
        <f>D105</f>
        <v>PS2</v>
      </c>
      <c r="E115" s="112"/>
      <c r="F115" s="694" t="str">
        <f>'Questions - Fragen'!E140</f>
        <v>Enter text</v>
      </c>
      <c r="G115" s="113"/>
      <c r="H115" s="384" t="str">
        <f>'Questions - Fragen'!D140</f>
        <v>n.e.</v>
      </c>
      <c r="I115" s="1171" t="str">
        <f>IF('Questions - Fragen'!F140="","",'Questions - Fragen'!F140)</f>
        <v/>
      </c>
      <c r="J115" s="113"/>
      <c r="K115" s="987"/>
      <c r="L115" s="988"/>
      <c r="M115" s="987"/>
      <c r="N115" s="113"/>
      <c r="O115" s="991"/>
      <c r="P115" s="113"/>
      <c r="Q115" s="985"/>
      <c r="R115" s="113"/>
      <c r="S115" s="985"/>
    </row>
    <row r="116" spans="1:19" s="22" customFormat="1" ht="15.75" hidden="1">
      <c r="A116" s="24"/>
      <c r="B116" s="368" t="str">
        <f>'Questions - Fragen'!$A$138</f>
        <v>6.2.2</v>
      </c>
      <c r="C116" s="21"/>
      <c r="D116" s="716" t="str">
        <f>D106</f>
        <v>PS3</v>
      </c>
      <c r="E116" s="112"/>
      <c r="F116" s="694" t="str">
        <f>'Questions - Fragen'!E141</f>
        <v>Enter text</v>
      </c>
      <c r="G116" s="113"/>
      <c r="H116" s="384" t="str">
        <f>'Questions - Fragen'!D141</f>
        <v>n.e.</v>
      </c>
      <c r="I116" s="1171" t="str">
        <f>IF('Questions - Fragen'!F141="","",'Questions - Fragen'!F141)</f>
        <v/>
      </c>
      <c r="J116" s="113"/>
      <c r="K116" s="985"/>
      <c r="L116" s="988"/>
      <c r="M116" s="985"/>
      <c r="N116" s="113"/>
      <c r="O116" s="991"/>
      <c r="P116" s="113"/>
      <c r="Q116" s="985"/>
      <c r="R116" s="113"/>
      <c r="S116" s="985"/>
    </row>
    <row r="117" spans="1:19" s="22" customFormat="1" ht="15.75" hidden="1">
      <c r="A117" s="24"/>
      <c r="B117" s="368" t="str">
        <f>'Questions - Fragen'!$A$138</f>
        <v>6.2.2</v>
      </c>
      <c r="C117" s="21"/>
      <c r="D117" s="716" t="str">
        <f t="shared" ref="D117:D123" si="5">D107</f>
        <v>PS4</v>
      </c>
      <c r="E117" s="112"/>
      <c r="F117" s="694" t="str">
        <f>'Questions - Fragen'!E142</f>
        <v>Enter text</v>
      </c>
      <c r="G117" s="113"/>
      <c r="H117" s="384" t="str">
        <f>'Questions - Fragen'!D142</f>
        <v>n.e.</v>
      </c>
      <c r="I117" s="1171"/>
      <c r="J117" s="113"/>
      <c r="K117" s="985"/>
      <c r="L117" s="988"/>
      <c r="M117" s="985"/>
      <c r="N117" s="113"/>
      <c r="O117" s="991"/>
      <c r="P117" s="113"/>
      <c r="Q117" s="985"/>
      <c r="R117" s="113"/>
      <c r="S117" s="985"/>
    </row>
    <row r="118" spans="1:19" s="22" customFormat="1" ht="15.75" hidden="1">
      <c r="A118" s="24"/>
      <c r="B118" s="368" t="str">
        <f>'Questions - Fragen'!$A$138</f>
        <v>6.2.2</v>
      </c>
      <c r="C118" s="21"/>
      <c r="D118" s="716" t="str">
        <f t="shared" si="5"/>
        <v>PS5</v>
      </c>
      <c r="E118" s="112"/>
      <c r="F118" s="694" t="str">
        <f>'Questions - Fragen'!E143</f>
        <v>Enter text</v>
      </c>
      <c r="G118" s="113"/>
      <c r="H118" s="384" t="str">
        <f>'Questions - Fragen'!D143</f>
        <v>n.e.</v>
      </c>
      <c r="I118" s="1171"/>
      <c r="J118" s="113"/>
      <c r="K118" s="985"/>
      <c r="L118" s="988"/>
      <c r="M118" s="985"/>
      <c r="N118" s="113"/>
      <c r="O118" s="991"/>
      <c r="P118" s="113"/>
      <c r="Q118" s="985"/>
      <c r="R118" s="113"/>
      <c r="S118" s="985"/>
    </row>
    <row r="119" spans="1:19" s="22" customFormat="1" ht="15.75" hidden="1">
      <c r="A119" s="24"/>
      <c r="B119" s="368" t="str">
        <f>'Questions - Fragen'!$A$138</f>
        <v>6.2.2</v>
      </c>
      <c r="C119" s="21"/>
      <c r="D119" s="716" t="str">
        <f t="shared" si="5"/>
        <v>PS6</v>
      </c>
      <c r="E119" s="112"/>
      <c r="F119" s="694" t="str">
        <f>'Questions - Fragen'!E144</f>
        <v>Enter text</v>
      </c>
      <c r="G119" s="113"/>
      <c r="H119" s="384" t="str">
        <f>'Questions - Fragen'!D144</f>
        <v>n.e.</v>
      </c>
      <c r="I119" s="1171"/>
      <c r="J119" s="113"/>
      <c r="K119" s="985"/>
      <c r="L119" s="988"/>
      <c r="M119" s="985"/>
      <c r="N119" s="113"/>
      <c r="O119" s="991"/>
      <c r="P119" s="113"/>
      <c r="Q119" s="985"/>
      <c r="R119" s="113"/>
      <c r="S119" s="985"/>
    </row>
    <row r="120" spans="1:19" s="22" customFormat="1" ht="15.75" hidden="1">
      <c r="A120" s="24"/>
      <c r="B120" s="368" t="str">
        <f>'Questions - Fragen'!$A$138</f>
        <v>6.2.2</v>
      </c>
      <c r="C120" s="21"/>
      <c r="D120" s="716" t="str">
        <f t="shared" si="5"/>
        <v>PS7</v>
      </c>
      <c r="E120" s="112"/>
      <c r="F120" s="694" t="str">
        <f>'Questions - Fragen'!E145</f>
        <v>Enter text</v>
      </c>
      <c r="G120" s="113"/>
      <c r="H120" s="384" t="str">
        <f>'Questions - Fragen'!D145</f>
        <v>n.e.</v>
      </c>
      <c r="I120" s="1171"/>
      <c r="J120" s="113"/>
      <c r="K120" s="985"/>
      <c r="L120" s="988"/>
      <c r="M120" s="985"/>
      <c r="N120" s="113"/>
      <c r="O120" s="991"/>
      <c r="P120" s="113"/>
      <c r="Q120" s="985"/>
      <c r="R120" s="113"/>
      <c r="S120" s="985"/>
    </row>
    <row r="121" spans="1:19" s="22" customFormat="1" ht="15.75" hidden="1">
      <c r="A121" s="24"/>
      <c r="B121" s="368" t="str">
        <f>'Questions - Fragen'!$A$138</f>
        <v>6.2.2</v>
      </c>
      <c r="C121" s="21"/>
      <c r="D121" s="716" t="str">
        <f t="shared" si="5"/>
        <v>PS8</v>
      </c>
      <c r="E121" s="112"/>
      <c r="F121" s="694" t="str">
        <f>'Questions - Fragen'!E146</f>
        <v>Enter text</v>
      </c>
      <c r="G121" s="113"/>
      <c r="H121" s="384" t="str">
        <f>'Questions - Fragen'!D146</f>
        <v>n.e.</v>
      </c>
      <c r="I121" s="1171"/>
      <c r="J121" s="113"/>
      <c r="K121" s="985"/>
      <c r="L121" s="988"/>
      <c r="M121" s="985"/>
      <c r="N121" s="113"/>
      <c r="O121" s="991"/>
      <c r="P121" s="113"/>
      <c r="Q121" s="985"/>
      <c r="R121" s="113"/>
      <c r="S121" s="985"/>
    </row>
    <row r="122" spans="1:19" s="22" customFormat="1" ht="15.75" hidden="1">
      <c r="A122" s="24"/>
      <c r="B122" s="368" t="str">
        <f>'Questions - Fragen'!$A$138</f>
        <v>6.2.2</v>
      </c>
      <c r="C122" s="21"/>
      <c r="D122" s="716" t="str">
        <f t="shared" si="5"/>
        <v>PS9</v>
      </c>
      <c r="E122" s="112"/>
      <c r="F122" s="694" t="str">
        <f>'Questions - Fragen'!E147</f>
        <v>Enter text</v>
      </c>
      <c r="G122" s="113"/>
      <c r="H122" s="384" t="str">
        <f>'Questions - Fragen'!D147</f>
        <v>n.e.</v>
      </c>
      <c r="I122" s="1171"/>
      <c r="J122" s="113"/>
      <c r="K122" s="985"/>
      <c r="L122" s="988"/>
      <c r="M122" s="985"/>
      <c r="N122" s="113"/>
      <c r="O122" s="991"/>
      <c r="P122" s="113"/>
      <c r="Q122" s="985"/>
      <c r="R122" s="113"/>
      <c r="S122" s="985"/>
    </row>
    <row r="123" spans="1:19" s="22" customFormat="1" ht="15.75" hidden="1">
      <c r="A123" s="24"/>
      <c r="B123" s="368" t="str">
        <f>'Questions - Fragen'!$A$138</f>
        <v>6.2.2</v>
      </c>
      <c r="C123" s="21"/>
      <c r="D123" s="716" t="str">
        <f t="shared" si="5"/>
        <v>PS10</v>
      </c>
      <c r="E123" s="112"/>
      <c r="F123" s="694" t="str">
        <f>'Questions - Fragen'!E148</f>
        <v>Enter text</v>
      </c>
      <c r="G123" s="113"/>
      <c r="H123" s="384" t="str">
        <f>'Questions - Fragen'!D148</f>
        <v>n.e.</v>
      </c>
      <c r="I123" s="1171"/>
      <c r="J123" s="113"/>
      <c r="K123" s="985"/>
      <c r="L123" s="988"/>
      <c r="M123" s="985"/>
      <c r="N123" s="113"/>
      <c r="O123" s="991"/>
      <c r="P123" s="113"/>
      <c r="Q123" s="985"/>
      <c r="R123" s="113"/>
      <c r="S123" s="985"/>
    </row>
    <row r="124" spans="1:19" ht="15.75" hidden="1">
      <c r="A124" s="23"/>
      <c r="B124" s="381" t="str">
        <f>'Questions - Fragen'!$A$149</f>
        <v>6.2.3</v>
      </c>
      <c r="C124" s="382"/>
      <c r="D124" s="718" t="str">
        <f>D114</f>
        <v>PS1</v>
      </c>
      <c r="E124" s="719"/>
      <c r="F124" s="721" t="str">
        <f>'Questions - Fragen'!E150</f>
        <v>Enter text</v>
      </c>
      <c r="G124" s="383"/>
      <c r="H124" s="384" t="str">
        <f>'Questions - Fragen'!D150</f>
        <v>n.e.</v>
      </c>
      <c r="I124" s="1179" t="str">
        <f>IF('Questions - Fragen'!F150="","",'Questions - Fragen'!F150)</f>
        <v/>
      </c>
      <c r="J124" s="383"/>
      <c r="K124" s="987"/>
      <c r="L124" s="988"/>
      <c r="M124" s="987"/>
      <c r="N124" s="383"/>
      <c r="O124" s="996"/>
      <c r="P124" s="383"/>
      <c r="Q124" s="987"/>
      <c r="R124" s="383"/>
      <c r="S124" s="987"/>
    </row>
    <row r="125" spans="1:19" ht="15.75" hidden="1">
      <c r="A125" s="23"/>
      <c r="B125" s="368" t="str">
        <f>'Questions - Fragen'!$A$149</f>
        <v>6.2.3</v>
      </c>
      <c r="C125" s="21"/>
      <c r="D125" s="716" t="str">
        <f>D115</f>
        <v>PS2</v>
      </c>
      <c r="E125" s="693"/>
      <c r="F125" s="694" t="str">
        <f>'Questions - Fragen'!E151</f>
        <v>No weak points identified</v>
      </c>
      <c r="G125" s="220"/>
      <c r="H125" s="384">
        <f>'Questions - Fragen'!D151</f>
        <v>10</v>
      </c>
      <c r="I125" s="1171" t="str">
        <f>IF('Questions - Fragen'!F151="","",'Questions - Fragen'!F151)</f>
        <v/>
      </c>
      <c r="J125" s="220"/>
      <c r="K125" s="985"/>
      <c r="L125" s="988"/>
      <c r="M125" s="985"/>
      <c r="N125" s="220"/>
      <c r="O125" s="991"/>
      <c r="P125" s="220"/>
      <c r="Q125" s="985"/>
      <c r="R125" s="220"/>
      <c r="S125" s="985"/>
    </row>
    <row r="126" spans="1:19" ht="15.75" hidden="1">
      <c r="A126" s="23"/>
      <c r="B126" s="368" t="str">
        <f>'Questions - Fragen'!$A$149</f>
        <v>6.2.3</v>
      </c>
      <c r="C126" s="21"/>
      <c r="D126" s="716" t="str">
        <f>D116</f>
        <v>PS3</v>
      </c>
      <c r="E126" s="693"/>
      <c r="F126" s="694" t="str">
        <f>'Questions - Fragen'!E152</f>
        <v>Enter text</v>
      </c>
      <c r="G126" s="220"/>
      <c r="H126" s="384" t="str">
        <f>'Questions - Fragen'!D152</f>
        <v>n.e.</v>
      </c>
      <c r="I126" s="1171" t="str">
        <f>IF('Questions - Fragen'!F152="","",'Questions - Fragen'!F152)</f>
        <v/>
      </c>
      <c r="J126" s="220"/>
      <c r="K126" s="985"/>
      <c r="L126" s="988"/>
      <c r="M126" s="985"/>
      <c r="N126" s="220"/>
      <c r="O126" s="991"/>
      <c r="P126" s="220"/>
      <c r="Q126" s="985"/>
      <c r="R126" s="220"/>
      <c r="S126" s="985"/>
    </row>
    <row r="127" spans="1:19" ht="15.75" hidden="1">
      <c r="A127" s="23"/>
      <c r="B127" s="368" t="str">
        <f>'Questions - Fragen'!$A$149</f>
        <v>6.2.3</v>
      </c>
      <c r="C127" s="21"/>
      <c r="D127" s="716" t="str">
        <f t="shared" ref="D127:D133" si="6">D117</f>
        <v>PS4</v>
      </c>
      <c r="E127" s="693"/>
      <c r="F127" s="694" t="str">
        <f>'Questions - Fragen'!E153</f>
        <v>Enter text</v>
      </c>
      <c r="G127" s="220"/>
      <c r="H127" s="384" t="str">
        <f>'Questions - Fragen'!D153</f>
        <v>n.e.</v>
      </c>
      <c r="I127" s="1171"/>
      <c r="J127" s="220"/>
      <c r="K127" s="985"/>
      <c r="L127" s="988"/>
      <c r="M127" s="985"/>
      <c r="N127" s="220"/>
      <c r="O127" s="991"/>
      <c r="P127" s="220"/>
      <c r="Q127" s="985"/>
      <c r="R127" s="220"/>
      <c r="S127" s="985"/>
    </row>
    <row r="128" spans="1:19" ht="15.75" hidden="1">
      <c r="A128" s="23"/>
      <c r="B128" s="368" t="str">
        <f>'Questions - Fragen'!$A$149</f>
        <v>6.2.3</v>
      </c>
      <c r="C128" s="21"/>
      <c r="D128" s="716" t="str">
        <f t="shared" si="6"/>
        <v>PS5</v>
      </c>
      <c r="E128" s="693"/>
      <c r="F128" s="694" t="str">
        <f>'Questions - Fragen'!E154</f>
        <v>Enter text</v>
      </c>
      <c r="G128" s="220"/>
      <c r="H128" s="384" t="str">
        <f>'Questions - Fragen'!D154</f>
        <v>n.e.</v>
      </c>
      <c r="I128" s="1171"/>
      <c r="J128" s="220"/>
      <c r="K128" s="985"/>
      <c r="L128" s="988"/>
      <c r="M128" s="985"/>
      <c r="N128" s="220"/>
      <c r="O128" s="991"/>
      <c r="P128" s="220"/>
      <c r="Q128" s="985"/>
      <c r="R128" s="220"/>
      <c r="S128" s="985"/>
    </row>
    <row r="129" spans="1:19" ht="15.75" hidden="1">
      <c r="A129" s="23"/>
      <c r="B129" s="368" t="str">
        <f>'Questions - Fragen'!$A$149</f>
        <v>6.2.3</v>
      </c>
      <c r="C129" s="21"/>
      <c r="D129" s="716" t="str">
        <f t="shared" si="6"/>
        <v>PS6</v>
      </c>
      <c r="E129" s="693"/>
      <c r="F129" s="694" t="str">
        <f>'Questions - Fragen'!E155</f>
        <v>Enter text</v>
      </c>
      <c r="G129" s="220"/>
      <c r="H129" s="384" t="str">
        <f>'Questions - Fragen'!D155</f>
        <v>n.e.</v>
      </c>
      <c r="I129" s="1171"/>
      <c r="J129" s="220"/>
      <c r="K129" s="985"/>
      <c r="L129" s="988"/>
      <c r="M129" s="985"/>
      <c r="N129" s="220"/>
      <c r="O129" s="991"/>
      <c r="P129" s="220"/>
      <c r="Q129" s="985"/>
      <c r="R129" s="220"/>
      <c r="S129" s="985"/>
    </row>
    <row r="130" spans="1:19" ht="15.75" hidden="1">
      <c r="A130" s="23"/>
      <c r="B130" s="368" t="str">
        <f>'Questions - Fragen'!$A$149</f>
        <v>6.2.3</v>
      </c>
      <c r="C130" s="21"/>
      <c r="D130" s="716" t="str">
        <f t="shared" si="6"/>
        <v>PS7</v>
      </c>
      <c r="E130" s="693"/>
      <c r="F130" s="694" t="str">
        <f>'Questions - Fragen'!E156</f>
        <v>Enter text</v>
      </c>
      <c r="G130" s="220"/>
      <c r="H130" s="384" t="str">
        <f>'Questions - Fragen'!D156</f>
        <v>n.e.</v>
      </c>
      <c r="I130" s="1171"/>
      <c r="J130" s="220"/>
      <c r="K130" s="985"/>
      <c r="L130" s="988"/>
      <c r="M130" s="985"/>
      <c r="N130" s="220"/>
      <c r="O130" s="991"/>
      <c r="P130" s="220"/>
      <c r="Q130" s="985"/>
      <c r="R130" s="220"/>
      <c r="S130" s="985"/>
    </row>
    <row r="131" spans="1:19" ht="15.75" hidden="1">
      <c r="A131" s="23"/>
      <c r="B131" s="368" t="str">
        <f>'Questions - Fragen'!$A$149</f>
        <v>6.2.3</v>
      </c>
      <c r="C131" s="21"/>
      <c r="D131" s="716" t="str">
        <f t="shared" si="6"/>
        <v>PS8</v>
      </c>
      <c r="E131" s="693"/>
      <c r="F131" s="694" t="str">
        <f>'Questions - Fragen'!E157</f>
        <v>Enter text</v>
      </c>
      <c r="G131" s="220"/>
      <c r="H131" s="384" t="str">
        <f>'Questions - Fragen'!D157</f>
        <v>n.e.</v>
      </c>
      <c r="I131" s="1171"/>
      <c r="J131" s="220"/>
      <c r="K131" s="985"/>
      <c r="L131" s="988"/>
      <c r="M131" s="985"/>
      <c r="N131" s="220"/>
      <c r="O131" s="991"/>
      <c r="P131" s="220"/>
      <c r="Q131" s="985"/>
      <c r="R131" s="220"/>
      <c r="S131" s="985"/>
    </row>
    <row r="132" spans="1:19" ht="15.75" hidden="1">
      <c r="A132" s="23"/>
      <c r="B132" s="368" t="str">
        <f>'Questions - Fragen'!$A$149</f>
        <v>6.2.3</v>
      </c>
      <c r="C132" s="21"/>
      <c r="D132" s="716" t="str">
        <f t="shared" si="6"/>
        <v>PS9</v>
      </c>
      <c r="E132" s="693"/>
      <c r="F132" s="694" t="str">
        <f>'Questions - Fragen'!E158</f>
        <v>Enter text</v>
      </c>
      <c r="G132" s="220"/>
      <c r="H132" s="384" t="str">
        <f>'Questions - Fragen'!D158</f>
        <v>n.e.</v>
      </c>
      <c r="I132" s="1171"/>
      <c r="J132" s="220"/>
      <c r="K132" s="985"/>
      <c r="L132" s="988"/>
      <c r="M132" s="985"/>
      <c r="N132" s="220"/>
      <c r="O132" s="991"/>
      <c r="P132" s="220"/>
      <c r="Q132" s="985"/>
      <c r="R132" s="220"/>
      <c r="S132" s="985"/>
    </row>
    <row r="133" spans="1:19" ht="15.75" hidden="1">
      <c r="A133" s="23"/>
      <c r="B133" s="368" t="str">
        <f>'Questions - Fragen'!$A$149</f>
        <v>6.2.3</v>
      </c>
      <c r="C133" s="21"/>
      <c r="D133" s="716" t="str">
        <f t="shared" si="6"/>
        <v>PS10</v>
      </c>
      <c r="E133" s="693"/>
      <c r="F133" s="694" t="str">
        <f>'Questions - Fragen'!E159</f>
        <v>Enter text</v>
      </c>
      <c r="G133" s="220"/>
      <c r="H133" s="384" t="str">
        <f>'Questions - Fragen'!D159</f>
        <v>n.e.</v>
      </c>
      <c r="I133" s="1171"/>
      <c r="J133" s="220"/>
      <c r="K133" s="985"/>
      <c r="L133" s="988"/>
      <c r="M133" s="985"/>
      <c r="N133" s="220"/>
      <c r="O133" s="991"/>
      <c r="P133" s="220"/>
      <c r="Q133" s="985"/>
      <c r="R133" s="220"/>
      <c r="S133" s="985"/>
    </row>
    <row r="134" spans="1:19" ht="30" hidden="1">
      <c r="A134" s="23"/>
      <c r="B134" s="381" t="str">
        <f>'Questions - Fragen'!$A$160</f>
        <v>6.2.4</v>
      </c>
      <c r="C134" s="382"/>
      <c r="D134" s="718" t="str">
        <f>D124</f>
        <v>PS1</v>
      </c>
      <c r="E134" s="719"/>
      <c r="F134" s="721" t="str">
        <f>'Questions - Fragen'!E161</f>
        <v>Defetct Parts are exchanged and registret in Moldshop Dashboard "Reservdelar sheet"</v>
      </c>
      <c r="G134" s="383"/>
      <c r="H134" s="384">
        <f>'Questions - Fragen'!D161</f>
        <v>10</v>
      </c>
      <c r="I134" s="1179" t="str">
        <f>IF('Questions - Fragen'!F161="","",'Questions - Fragen'!F161)</f>
        <v/>
      </c>
      <c r="J134" s="383"/>
      <c r="K134" s="987"/>
      <c r="L134" s="988"/>
      <c r="M134" s="987"/>
      <c r="N134" s="383"/>
      <c r="O134" s="996"/>
      <c r="P134" s="383"/>
      <c r="Q134" s="987"/>
      <c r="R134" s="383"/>
      <c r="S134" s="987"/>
    </row>
    <row r="135" spans="1:19" ht="15.75" hidden="1">
      <c r="A135" s="23"/>
      <c r="B135" s="368" t="str">
        <f>'Questions - Fragen'!$A$160</f>
        <v>6.2.4</v>
      </c>
      <c r="C135" s="21"/>
      <c r="D135" s="716" t="str">
        <f>D125</f>
        <v>PS2</v>
      </c>
      <c r="E135" s="693"/>
      <c r="F135" s="694" t="str">
        <f>'Questions - Fragen'!E162</f>
        <v>No weak points identified</v>
      </c>
      <c r="G135" s="220"/>
      <c r="H135" s="384">
        <f>'Questions - Fragen'!D162</f>
        <v>10</v>
      </c>
      <c r="I135" s="1171" t="str">
        <f>IF('Questions - Fragen'!F162="","",'Questions - Fragen'!F162)</f>
        <v/>
      </c>
      <c r="J135" s="220"/>
      <c r="K135" s="985"/>
      <c r="L135" s="988"/>
      <c r="M135" s="985"/>
      <c r="N135" s="220"/>
      <c r="O135" s="991"/>
      <c r="P135" s="220"/>
      <c r="Q135" s="985"/>
      <c r="R135" s="220"/>
      <c r="S135" s="985"/>
    </row>
    <row r="136" spans="1:19" ht="60" hidden="1">
      <c r="A136" s="23"/>
      <c r="B136" s="368" t="str">
        <f>'Questions - Fragen'!$A$160</f>
        <v>6.2.4</v>
      </c>
      <c r="C136" s="21"/>
      <c r="D136" s="716" t="str">
        <f>D126</f>
        <v>PS3</v>
      </c>
      <c r="E136" s="693"/>
      <c r="F136" s="694" t="str">
        <f>'Questions - Fragen'!E163</f>
        <v xml:space="preserve">Not approved Billets according to customers specification was identified and removed from production Line and Put in designated and marked Area for remelting. </v>
      </c>
      <c r="G136" s="220"/>
      <c r="H136" s="384">
        <f>'Questions - Fragen'!D163</f>
        <v>10</v>
      </c>
      <c r="I136" s="1171" t="str">
        <f>IF('Questions - Fragen'!F163="","",'Questions - Fragen'!F163)</f>
        <v/>
      </c>
      <c r="J136" s="220"/>
      <c r="K136" s="985"/>
      <c r="L136" s="988"/>
      <c r="M136" s="985"/>
      <c r="N136" s="220"/>
      <c r="O136" s="991"/>
      <c r="P136" s="220"/>
      <c r="Q136" s="985"/>
      <c r="R136" s="220"/>
      <c r="S136" s="985"/>
    </row>
    <row r="137" spans="1:19" ht="30" hidden="1">
      <c r="A137" s="23"/>
      <c r="B137" s="368" t="str">
        <f>'Questions - Fragen'!$A$160</f>
        <v>6.2.4</v>
      </c>
      <c r="C137" s="21"/>
      <c r="D137" s="716" t="str">
        <f t="shared" ref="D137:D143" si="7">D127</f>
        <v>PS4</v>
      </c>
      <c r="E137" s="693"/>
      <c r="F137" s="694" t="str">
        <f>'Questions - Fragen'!E164</f>
        <v>Deviation Products/Billets was sorted out for not entering the Homogenization Furnace</v>
      </c>
      <c r="G137" s="220"/>
      <c r="H137" s="384">
        <f>'Questions - Fragen'!D164</f>
        <v>10</v>
      </c>
      <c r="I137" s="1171"/>
      <c r="J137" s="220"/>
      <c r="K137" s="985"/>
      <c r="L137" s="988"/>
      <c r="M137" s="985"/>
      <c r="N137" s="220"/>
      <c r="O137" s="991"/>
      <c r="P137" s="220"/>
      <c r="Q137" s="985"/>
      <c r="R137" s="220"/>
      <c r="S137" s="985"/>
    </row>
    <row r="138" spans="1:19" ht="15.75" hidden="1">
      <c r="A138" s="23"/>
      <c r="B138" s="368" t="str">
        <f>'Questions - Fragen'!$A$160</f>
        <v>6.2.4</v>
      </c>
      <c r="C138" s="21"/>
      <c r="D138" s="716" t="str">
        <f t="shared" si="7"/>
        <v>PS5</v>
      </c>
      <c r="E138" s="693"/>
      <c r="F138" s="694" t="str">
        <f>'Questions - Fragen'!E165</f>
        <v>No weak points identified</v>
      </c>
      <c r="G138" s="220"/>
      <c r="H138" s="384">
        <f>'Questions - Fragen'!D165</f>
        <v>10</v>
      </c>
      <c r="I138" s="1171"/>
      <c r="J138" s="220"/>
      <c r="K138" s="985"/>
      <c r="L138" s="988"/>
      <c r="M138" s="985"/>
      <c r="N138" s="220"/>
      <c r="O138" s="991"/>
      <c r="P138" s="220"/>
      <c r="Q138" s="985"/>
      <c r="R138" s="220"/>
      <c r="S138" s="985"/>
    </row>
    <row r="139" spans="1:19" ht="15.75" hidden="1">
      <c r="A139" s="23"/>
      <c r="B139" s="368" t="str">
        <f>'Questions - Fragen'!$A$160</f>
        <v>6.2.4</v>
      </c>
      <c r="C139" s="21"/>
      <c r="D139" s="716" t="str">
        <f t="shared" si="7"/>
        <v>PS6</v>
      </c>
      <c r="E139" s="693"/>
      <c r="F139" s="694" t="str">
        <f>'Questions - Fragen'!E166</f>
        <v>Enter text</v>
      </c>
      <c r="G139" s="220"/>
      <c r="H139" s="384" t="str">
        <f>'Questions - Fragen'!D166</f>
        <v>n.e.</v>
      </c>
      <c r="I139" s="1171"/>
      <c r="J139" s="220"/>
      <c r="K139" s="985"/>
      <c r="L139" s="988"/>
      <c r="M139" s="985"/>
      <c r="N139" s="220"/>
      <c r="O139" s="991"/>
      <c r="P139" s="220"/>
      <c r="Q139" s="985"/>
      <c r="R139" s="220"/>
      <c r="S139" s="985"/>
    </row>
    <row r="140" spans="1:19" ht="15.75" hidden="1">
      <c r="A140" s="23"/>
      <c r="B140" s="368" t="str">
        <f>'Questions - Fragen'!$A$160</f>
        <v>6.2.4</v>
      </c>
      <c r="C140" s="21"/>
      <c r="D140" s="716" t="str">
        <f t="shared" si="7"/>
        <v>PS7</v>
      </c>
      <c r="E140" s="693"/>
      <c r="F140" s="694" t="str">
        <f>'Questions - Fragen'!E167</f>
        <v>Enter text</v>
      </c>
      <c r="G140" s="220"/>
      <c r="H140" s="384" t="str">
        <f>'Questions - Fragen'!D167</f>
        <v>n.e.</v>
      </c>
      <c r="I140" s="1171"/>
      <c r="J140" s="220"/>
      <c r="K140" s="985"/>
      <c r="L140" s="988"/>
      <c r="M140" s="985"/>
      <c r="N140" s="220"/>
      <c r="O140" s="991"/>
      <c r="P140" s="220"/>
      <c r="Q140" s="985"/>
      <c r="R140" s="220"/>
      <c r="S140" s="985"/>
    </row>
    <row r="141" spans="1:19" ht="15.75" hidden="1">
      <c r="A141" s="23"/>
      <c r="B141" s="368" t="str">
        <f>'Questions - Fragen'!$A$160</f>
        <v>6.2.4</v>
      </c>
      <c r="C141" s="21"/>
      <c r="D141" s="716" t="str">
        <f t="shared" si="7"/>
        <v>PS8</v>
      </c>
      <c r="E141" s="693"/>
      <c r="F141" s="694" t="str">
        <f>'Questions - Fragen'!E168</f>
        <v>Enter text</v>
      </c>
      <c r="G141" s="220"/>
      <c r="H141" s="384" t="str">
        <f>'Questions - Fragen'!D168</f>
        <v>n.e.</v>
      </c>
      <c r="I141" s="1171"/>
      <c r="J141" s="220"/>
      <c r="K141" s="985"/>
      <c r="L141" s="988"/>
      <c r="M141" s="985"/>
      <c r="N141" s="220"/>
      <c r="O141" s="991"/>
      <c r="P141" s="220"/>
      <c r="Q141" s="985"/>
      <c r="R141" s="220"/>
      <c r="S141" s="985"/>
    </row>
    <row r="142" spans="1:19" ht="15.75" hidden="1">
      <c r="A142" s="23"/>
      <c r="B142" s="368" t="str">
        <f>'Questions - Fragen'!$A$160</f>
        <v>6.2.4</v>
      </c>
      <c r="C142" s="21"/>
      <c r="D142" s="716" t="str">
        <f t="shared" si="7"/>
        <v>PS9</v>
      </c>
      <c r="E142" s="693"/>
      <c r="F142" s="694" t="str">
        <f>'Questions - Fragen'!E169</f>
        <v>Enter text</v>
      </c>
      <c r="G142" s="220"/>
      <c r="H142" s="384" t="str">
        <f>'Questions - Fragen'!D169</f>
        <v>n.e.</v>
      </c>
      <c r="I142" s="1171"/>
      <c r="J142" s="220"/>
      <c r="K142" s="985"/>
      <c r="L142" s="988"/>
      <c r="M142" s="985"/>
      <c r="N142" s="220"/>
      <c r="O142" s="991"/>
      <c r="P142" s="220"/>
      <c r="Q142" s="985"/>
      <c r="R142" s="220"/>
      <c r="S142" s="985"/>
    </row>
    <row r="143" spans="1:19" ht="15.75" hidden="1">
      <c r="A143" s="23"/>
      <c r="B143" s="368" t="str">
        <f>'Questions - Fragen'!$A$160</f>
        <v>6.2.4</v>
      </c>
      <c r="C143" s="21"/>
      <c r="D143" s="716" t="str">
        <f t="shared" si="7"/>
        <v>PS10</v>
      </c>
      <c r="E143" s="693"/>
      <c r="F143" s="694" t="str">
        <f>'Questions - Fragen'!E170</f>
        <v>Enter text</v>
      </c>
      <c r="G143" s="220"/>
      <c r="H143" s="384" t="str">
        <f>'Questions - Fragen'!D170</f>
        <v>n.e.</v>
      </c>
      <c r="I143" s="1171"/>
      <c r="J143" s="220"/>
      <c r="K143" s="985"/>
      <c r="L143" s="988"/>
      <c r="M143" s="985"/>
      <c r="N143" s="220"/>
      <c r="O143" s="991"/>
      <c r="P143" s="220"/>
      <c r="Q143" s="985"/>
      <c r="R143" s="220"/>
      <c r="S143" s="985"/>
    </row>
    <row r="144" spans="1:19" ht="15.75" hidden="1">
      <c r="A144" s="23"/>
      <c r="B144" s="381" t="str">
        <f>'Questions - Fragen'!$A$171</f>
        <v>6.2.5</v>
      </c>
      <c r="C144" s="382"/>
      <c r="D144" s="718" t="str">
        <f>D134</f>
        <v>PS1</v>
      </c>
      <c r="E144" s="719"/>
      <c r="F144" s="721" t="str">
        <f>'Questions - Fragen'!E172</f>
        <v>Spare Parts are clearly marked in designated Area</v>
      </c>
      <c r="G144" s="383"/>
      <c r="H144" s="384">
        <f>'Questions - Fragen'!D172</f>
        <v>10</v>
      </c>
      <c r="I144" s="1179" t="str">
        <f>IF('Questions - Fragen'!F172="","",'Questions - Fragen'!F172)</f>
        <v/>
      </c>
      <c r="J144" s="383"/>
      <c r="K144" s="987"/>
      <c r="L144" s="988"/>
      <c r="M144" s="987"/>
      <c r="N144" s="383"/>
      <c r="O144" s="996"/>
      <c r="P144" s="383"/>
      <c r="Q144" s="987"/>
      <c r="R144" s="383"/>
      <c r="S144" s="987"/>
    </row>
    <row r="145" spans="1:19" ht="15.75" hidden="1">
      <c r="A145" s="23"/>
      <c r="B145" s="368" t="str">
        <f>'Questions - Fragen'!$A$171</f>
        <v>6.2.5</v>
      </c>
      <c r="C145" s="21"/>
      <c r="D145" s="716" t="str">
        <f>D135</f>
        <v>PS2</v>
      </c>
      <c r="E145" s="693"/>
      <c r="F145" s="694" t="str">
        <f>'Questions - Fragen'!E173</f>
        <v>No weak points identified</v>
      </c>
      <c r="G145" s="220"/>
      <c r="H145" s="384">
        <f>'Questions - Fragen'!D173</f>
        <v>10</v>
      </c>
      <c r="I145" s="1171" t="str">
        <f>IF('Questions - Fragen'!F173="","",'Questions - Fragen'!F173)</f>
        <v/>
      </c>
      <c r="J145" s="220"/>
      <c r="K145" s="985"/>
      <c r="L145" s="988"/>
      <c r="M145" s="985"/>
      <c r="N145" s="220"/>
      <c r="O145" s="991"/>
      <c r="P145" s="220"/>
      <c r="Q145" s="985"/>
      <c r="R145" s="220"/>
      <c r="S145" s="985"/>
    </row>
    <row r="146" spans="1:19" ht="15.75" hidden="1">
      <c r="A146" s="23"/>
      <c r="B146" s="368" t="str">
        <f>'Questions - Fragen'!$A$171</f>
        <v>6.2.5</v>
      </c>
      <c r="C146" s="21"/>
      <c r="D146" s="716" t="str">
        <f>D136</f>
        <v>PS3</v>
      </c>
      <c r="E146" s="693"/>
      <c r="F146" s="694">
        <f>'Questions - Fragen'!E174</f>
        <v>0</v>
      </c>
      <c r="G146" s="220"/>
      <c r="H146" s="384" t="str">
        <f>'Questions - Fragen'!D174</f>
        <v>n.e.</v>
      </c>
      <c r="I146" s="1171" t="str">
        <f>IF('Questions - Fragen'!F174="","",'Questions - Fragen'!F174)</f>
        <v/>
      </c>
      <c r="J146" s="220"/>
      <c r="K146" s="985"/>
      <c r="L146" s="988"/>
      <c r="M146" s="985"/>
      <c r="N146" s="220"/>
      <c r="O146" s="991"/>
      <c r="P146" s="220"/>
      <c r="Q146" s="985"/>
      <c r="R146" s="220"/>
      <c r="S146" s="985"/>
    </row>
    <row r="147" spans="1:19" ht="15.75" hidden="1">
      <c r="A147" s="23"/>
      <c r="B147" s="368" t="str">
        <f>'Questions - Fragen'!$A$171</f>
        <v>6.2.5</v>
      </c>
      <c r="C147" s="21"/>
      <c r="D147" s="716" t="str">
        <f t="shared" ref="D147:D153" si="8">D137</f>
        <v>PS4</v>
      </c>
      <c r="E147" s="693"/>
      <c r="F147" s="694" t="str">
        <f>'Questions - Fragen'!E175</f>
        <v>Enter text</v>
      </c>
      <c r="G147" s="220"/>
      <c r="H147" s="384" t="str">
        <f>'Questions - Fragen'!D175</f>
        <v>n.e.</v>
      </c>
      <c r="I147" s="1171"/>
      <c r="J147" s="220"/>
      <c r="K147" s="985"/>
      <c r="L147" s="988"/>
      <c r="M147" s="985"/>
      <c r="N147" s="220"/>
      <c r="O147" s="991"/>
      <c r="P147" s="220"/>
      <c r="Q147" s="985"/>
      <c r="R147" s="220"/>
      <c r="S147" s="985"/>
    </row>
    <row r="148" spans="1:19" ht="15.75" hidden="1">
      <c r="A148" s="23"/>
      <c r="B148" s="368" t="str">
        <f>'Questions - Fragen'!$A$171</f>
        <v>6.2.5</v>
      </c>
      <c r="C148" s="21"/>
      <c r="D148" s="716" t="str">
        <f t="shared" si="8"/>
        <v>PS5</v>
      </c>
      <c r="E148" s="693"/>
      <c r="F148" s="694" t="str">
        <f>'Questions - Fragen'!E176</f>
        <v>Enter text</v>
      </c>
      <c r="G148" s="220"/>
      <c r="H148" s="384" t="str">
        <f>'Questions - Fragen'!D176</f>
        <v>n.e.</v>
      </c>
      <c r="I148" s="1171"/>
      <c r="J148" s="220"/>
      <c r="K148" s="985"/>
      <c r="L148" s="988"/>
      <c r="M148" s="985"/>
      <c r="N148" s="220"/>
      <c r="O148" s="991"/>
      <c r="P148" s="220"/>
      <c r="Q148" s="985"/>
      <c r="R148" s="220"/>
      <c r="S148" s="985"/>
    </row>
    <row r="149" spans="1:19" ht="15.75" hidden="1">
      <c r="A149" s="23"/>
      <c r="B149" s="368" t="str">
        <f>'Questions - Fragen'!$A$171</f>
        <v>6.2.5</v>
      </c>
      <c r="C149" s="21"/>
      <c r="D149" s="716" t="str">
        <f t="shared" si="8"/>
        <v>PS6</v>
      </c>
      <c r="E149" s="693"/>
      <c r="F149" s="694" t="str">
        <f>'Questions - Fragen'!E177</f>
        <v>Enter text</v>
      </c>
      <c r="G149" s="220"/>
      <c r="H149" s="384" t="str">
        <f>'Questions - Fragen'!D177</f>
        <v>n.e.</v>
      </c>
      <c r="I149" s="1171"/>
      <c r="J149" s="220"/>
      <c r="K149" s="985"/>
      <c r="L149" s="988"/>
      <c r="M149" s="985"/>
      <c r="N149" s="220"/>
      <c r="O149" s="991"/>
      <c r="P149" s="220"/>
      <c r="Q149" s="985"/>
      <c r="R149" s="220"/>
      <c r="S149" s="985"/>
    </row>
    <row r="150" spans="1:19" ht="15.75" hidden="1">
      <c r="A150" s="23"/>
      <c r="B150" s="368" t="str">
        <f>'Questions - Fragen'!$A$171</f>
        <v>6.2.5</v>
      </c>
      <c r="C150" s="21"/>
      <c r="D150" s="716" t="str">
        <f t="shared" si="8"/>
        <v>PS7</v>
      </c>
      <c r="E150" s="693"/>
      <c r="F150" s="694" t="str">
        <f>'Questions - Fragen'!E178</f>
        <v>Enter text</v>
      </c>
      <c r="G150" s="220"/>
      <c r="H150" s="384" t="str">
        <f>'Questions - Fragen'!D178</f>
        <v>n.e.</v>
      </c>
      <c r="I150" s="1171"/>
      <c r="J150" s="220"/>
      <c r="K150" s="985"/>
      <c r="L150" s="988"/>
      <c r="M150" s="985"/>
      <c r="N150" s="220"/>
      <c r="O150" s="991"/>
      <c r="P150" s="220"/>
      <c r="Q150" s="985"/>
      <c r="R150" s="220"/>
      <c r="S150" s="985"/>
    </row>
    <row r="151" spans="1:19" ht="15.75" hidden="1">
      <c r="A151" s="23"/>
      <c r="B151" s="368" t="str">
        <f>'Questions - Fragen'!$A$171</f>
        <v>6.2.5</v>
      </c>
      <c r="C151" s="21"/>
      <c r="D151" s="716" t="str">
        <f t="shared" si="8"/>
        <v>PS8</v>
      </c>
      <c r="E151" s="693"/>
      <c r="F151" s="694" t="str">
        <f>'Questions - Fragen'!E179</f>
        <v>Enter text</v>
      </c>
      <c r="G151" s="220"/>
      <c r="H151" s="384" t="str">
        <f>'Questions - Fragen'!D179</f>
        <v>n.e.</v>
      </c>
      <c r="I151" s="1171"/>
      <c r="J151" s="220"/>
      <c r="K151" s="985"/>
      <c r="L151" s="988"/>
      <c r="M151" s="985"/>
      <c r="N151" s="220"/>
      <c r="O151" s="991"/>
      <c r="P151" s="220"/>
      <c r="Q151" s="985"/>
      <c r="R151" s="220"/>
      <c r="S151" s="985"/>
    </row>
    <row r="152" spans="1:19" ht="15.75" hidden="1">
      <c r="A152" s="23"/>
      <c r="B152" s="368" t="str">
        <f>'Questions - Fragen'!$A$171</f>
        <v>6.2.5</v>
      </c>
      <c r="C152" s="21"/>
      <c r="D152" s="716" t="str">
        <f t="shared" si="8"/>
        <v>PS9</v>
      </c>
      <c r="E152" s="693"/>
      <c r="F152" s="694" t="str">
        <f>'Questions - Fragen'!E180</f>
        <v>Enter text</v>
      </c>
      <c r="G152" s="220"/>
      <c r="H152" s="384" t="str">
        <f>'Questions - Fragen'!D180</f>
        <v>n.e.</v>
      </c>
      <c r="I152" s="1171"/>
      <c r="J152" s="220"/>
      <c r="K152" s="985"/>
      <c r="L152" s="988"/>
      <c r="M152" s="985"/>
      <c r="N152" s="220"/>
      <c r="O152" s="991"/>
      <c r="P152" s="220"/>
      <c r="Q152" s="985"/>
      <c r="R152" s="220"/>
      <c r="S152" s="985"/>
    </row>
    <row r="153" spans="1:19" ht="15.75" hidden="1">
      <c r="A153" s="23"/>
      <c r="B153" s="368" t="str">
        <f>'Questions - Fragen'!$A$171</f>
        <v>6.2.5</v>
      </c>
      <c r="C153" s="21"/>
      <c r="D153" s="716" t="str">
        <f t="shared" si="8"/>
        <v>PS10</v>
      </c>
      <c r="E153" s="693"/>
      <c r="F153" s="694" t="str">
        <f>'Questions - Fragen'!E181</f>
        <v>Enter text</v>
      </c>
      <c r="G153" s="220"/>
      <c r="H153" s="384" t="str">
        <f>'Questions - Fragen'!D181</f>
        <v>n.e.</v>
      </c>
      <c r="I153" s="1171"/>
      <c r="J153" s="220"/>
      <c r="K153" s="985"/>
      <c r="L153" s="988"/>
      <c r="M153" s="985"/>
      <c r="N153" s="220"/>
      <c r="O153" s="991"/>
      <c r="P153" s="220"/>
      <c r="Q153" s="985"/>
      <c r="R153" s="220"/>
      <c r="S153" s="985"/>
    </row>
    <row r="154" spans="1:19" ht="15.75" hidden="1">
      <c r="A154" s="23"/>
      <c r="B154" s="368" t="str">
        <f>'Questions - Fragen'!$A$183</f>
        <v>6.3.1</v>
      </c>
      <c r="C154" s="1216"/>
      <c r="D154" s="716" t="str">
        <f>D144</f>
        <v>PS1</v>
      </c>
      <c r="E154" s="693"/>
      <c r="F154" s="694" t="str">
        <f>'Questions - Fragen'!E184</f>
        <v>No weak points identified</v>
      </c>
      <c r="G154" s="220"/>
      <c r="H154" s="384">
        <f>'Questions - Fragen'!D184</f>
        <v>10</v>
      </c>
      <c r="I154" s="1171" t="str">
        <f>IF('Questions - Fragen'!F184="","",'Questions - Fragen'!F184)</f>
        <v/>
      </c>
      <c r="J154" s="220"/>
      <c r="K154" s="985"/>
      <c r="L154" s="988"/>
      <c r="M154" s="985"/>
      <c r="N154" s="220"/>
      <c r="O154" s="991"/>
      <c r="P154" s="220"/>
      <c r="Q154" s="985"/>
      <c r="R154" s="220"/>
      <c r="S154" s="985"/>
    </row>
    <row r="155" spans="1:19" ht="15.75" hidden="1">
      <c r="A155" s="23"/>
      <c r="B155" s="368" t="str">
        <f>'Questions - Fragen'!$A$183</f>
        <v>6.3.1</v>
      </c>
      <c r="C155" s="21"/>
      <c r="D155" s="716" t="str">
        <f>D145</f>
        <v>PS2</v>
      </c>
      <c r="E155" s="693"/>
      <c r="F155" s="694" t="str">
        <f>'Questions - Fragen'!E185</f>
        <v>No weak points identified</v>
      </c>
      <c r="G155" s="220"/>
      <c r="H155" s="384">
        <f>'Questions - Fragen'!D185</f>
        <v>10</v>
      </c>
      <c r="I155" s="1171" t="str">
        <f>IF('Questions - Fragen'!F185="","",'Questions - Fragen'!F185)</f>
        <v/>
      </c>
      <c r="J155" s="220"/>
      <c r="K155" s="985"/>
      <c r="L155" s="988"/>
      <c r="M155" s="985"/>
      <c r="N155" s="220"/>
      <c r="O155" s="991"/>
      <c r="P155" s="220"/>
      <c r="Q155" s="985"/>
      <c r="R155" s="220"/>
      <c r="S155" s="985"/>
    </row>
    <row r="156" spans="1:19" ht="15.75" hidden="1">
      <c r="A156" s="23"/>
      <c r="B156" s="368" t="str">
        <f>'Questions - Fragen'!$A$183</f>
        <v>6.3.1</v>
      </c>
      <c r="C156" s="21"/>
      <c r="D156" s="716" t="str">
        <f>D146</f>
        <v>PS3</v>
      </c>
      <c r="E156" s="693"/>
      <c r="F156" s="694" t="str">
        <f>'Questions - Fragen'!E186</f>
        <v>Enter text</v>
      </c>
      <c r="G156" s="220"/>
      <c r="H156" s="384" t="str">
        <f>'Questions - Fragen'!D186</f>
        <v>n.e.</v>
      </c>
      <c r="I156" s="1171" t="str">
        <f>IF('Questions - Fragen'!F186="","",'Questions - Fragen'!F186)</f>
        <v/>
      </c>
      <c r="J156" s="220"/>
      <c r="K156" s="985"/>
      <c r="L156" s="988"/>
      <c r="M156" s="985"/>
      <c r="N156" s="220"/>
      <c r="O156" s="991"/>
      <c r="P156" s="220"/>
      <c r="Q156" s="985"/>
      <c r="R156" s="220"/>
      <c r="S156" s="985"/>
    </row>
    <row r="157" spans="1:19" ht="15.75" hidden="1">
      <c r="A157" s="23"/>
      <c r="B157" s="368" t="str">
        <f>'Questions - Fragen'!$A$183</f>
        <v>6.3.1</v>
      </c>
      <c r="C157" s="21"/>
      <c r="D157" s="716" t="str">
        <f t="shared" ref="D157:D163" si="9">D147</f>
        <v>PS4</v>
      </c>
      <c r="E157" s="693"/>
      <c r="F157" s="694" t="str">
        <f>'Questions - Fragen'!E187</f>
        <v>Enter text</v>
      </c>
      <c r="G157" s="220"/>
      <c r="H157" s="384" t="str">
        <f>'Questions - Fragen'!D187</f>
        <v>n.e.</v>
      </c>
      <c r="I157" s="1171"/>
      <c r="J157" s="220"/>
      <c r="K157" s="985"/>
      <c r="L157" s="988"/>
      <c r="M157" s="985"/>
      <c r="N157" s="220"/>
      <c r="O157" s="991"/>
      <c r="P157" s="220"/>
      <c r="Q157" s="985"/>
      <c r="R157" s="220"/>
      <c r="S157" s="985"/>
    </row>
    <row r="158" spans="1:19" ht="15.75" hidden="1">
      <c r="A158" s="23"/>
      <c r="B158" s="368" t="str">
        <f>'Questions - Fragen'!$A$183</f>
        <v>6.3.1</v>
      </c>
      <c r="C158" s="21"/>
      <c r="D158" s="716" t="str">
        <f t="shared" si="9"/>
        <v>PS5</v>
      </c>
      <c r="E158" s="693"/>
      <c r="F158" s="694" t="str">
        <f>'Questions - Fragen'!E188</f>
        <v>Enter text</v>
      </c>
      <c r="G158" s="220"/>
      <c r="H158" s="384" t="str">
        <f>'Questions - Fragen'!D188</f>
        <v>n.e.</v>
      </c>
      <c r="I158" s="1171"/>
      <c r="J158" s="220"/>
      <c r="K158" s="985"/>
      <c r="L158" s="988"/>
      <c r="M158" s="985"/>
      <c r="N158" s="220"/>
      <c r="O158" s="991"/>
      <c r="P158" s="220"/>
      <c r="Q158" s="985"/>
      <c r="R158" s="220"/>
      <c r="S158" s="985"/>
    </row>
    <row r="159" spans="1:19" ht="15.75" hidden="1">
      <c r="A159" s="23"/>
      <c r="B159" s="368" t="str">
        <f>'Questions - Fragen'!$A$183</f>
        <v>6.3.1</v>
      </c>
      <c r="C159" s="21"/>
      <c r="D159" s="716" t="str">
        <f t="shared" si="9"/>
        <v>PS6</v>
      </c>
      <c r="E159" s="693"/>
      <c r="F159" s="694" t="str">
        <f>'Questions - Fragen'!E189</f>
        <v>Enter text</v>
      </c>
      <c r="G159" s="220"/>
      <c r="H159" s="384" t="str">
        <f>'Questions - Fragen'!D189</f>
        <v>n.e.</v>
      </c>
      <c r="I159" s="1171"/>
      <c r="J159" s="220"/>
      <c r="K159" s="985"/>
      <c r="L159" s="988"/>
      <c r="M159" s="985"/>
      <c r="N159" s="220"/>
      <c r="O159" s="991"/>
      <c r="P159" s="220"/>
      <c r="Q159" s="985"/>
      <c r="R159" s="220"/>
      <c r="S159" s="985"/>
    </row>
    <row r="160" spans="1:19" ht="15.75" hidden="1">
      <c r="A160" s="23"/>
      <c r="B160" s="368" t="str">
        <f>'Questions - Fragen'!$A$183</f>
        <v>6.3.1</v>
      </c>
      <c r="C160" s="21"/>
      <c r="D160" s="716" t="str">
        <f t="shared" si="9"/>
        <v>PS7</v>
      </c>
      <c r="E160" s="693"/>
      <c r="F160" s="694" t="str">
        <f>'Questions - Fragen'!E190</f>
        <v>Enter text</v>
      </c>
      <c r="G160" s="220"/>
      <c r="H160" s="384" t="str">
        <f>'Questions - Fragen'!D190</f>
        <v>n.e.</v>
      </c>
      <c r="I160" s="1171"/>
      <c r="J160" s="220"/>
      <c r="K160" s="985"/>
      <c r="L160" s="988"/>
      <c r="M160" s="985"/>
      <c r="N160" s="220"/>
      <c r="O160" s="991"/>
      <c r="P160" s="220"/>
      <c r="Q160" s="985"/>
      <c r="R160" s="220"/>
      <c r="S160" s="985"/>
    </row>
    <row r="161" spans="1:19" ht="15.75" hidden="1">
      <c r="A161" s="23"/>
      <c r="B161" s="368" t="str">
        <f>'Questions - Fragen'!$A$183</f>
        <v>6.3.1</v>
      </c>
      <c r="C161" s="21"/>
      <c r="D161" s="716" t="str">
        <f t="shared" si="9"/>
        <v>PS8</v>
      </c>
      <c r="E161" s="693"/>
      <c r="F161" s="694" t="str">
        <f>'Questions - Fragen'!E191</f>
        <v>Enter text</v>
      </c>
      <c r="G161" s="220"/>
      <c r="H161" s="384" t="str">
        <f>'Questions - Fragen'!D191</f>
        <v>n.e.</v>
      </c>
      <c r="I161" s="1171"/>
      <c r="J161" s="220"/>
      <c r="K161" s="985"/>
      <c r="L161" s="988"/>
      <c r="M161" s="985"/>
      <c r="N161" s="220"/>
      <c r="O161" s="991"/>
      <c r="P161" s="220"/>
      <c r="Q161" s="985"/>
      <c r="R161" s="220"/>
      <c r="S161" s="985"/>
    </row>
    <row r="162" spans="1:19" ht="15.75" hidden="1">
      <c r="A162" s="23"/>
      <c r="B162" s="368" t="str">
        <f>'Questions - Fragen'!$A$183</f>
        <v>6.3.1</v>
      </c>
      <c r="C162" s="21"/>
      <c r="D162" s="716" t="str">
        <f t="shared" si="9"/>
        <v>PS9</v>
      </c>
      <c r="E162" s="693"/>
      <c r="F162" s="694" t="str">
        <f>'Questions - Fragen'!E192</f>
        <v>Enter text</v>
      </c>
      <c r="G162" s="220"/>
      <c r="H162" s="384" t="str">
        <f>'Questions - Fragen'!D192</f>
        <v>n.e.</v>
      </c>
      <c r="I162" s="1171"/>
      <c r="J162" s="220"/>
      <c r="K162" s="985"/>
      <c r="L162" s="988"/>
      <c r="M162" s="985"/>
      <c r="N162" s="220"/>
      <c r="O162" s="991"/>
      <c r="P162" s="220"/>
      <c r="Q162" s="985"/>
      <c r="R162" s="220"/>
      <c r="S162" s="985"/>
    </row>
    <row r="163" spans="1:19" ht="15.75" hidden="1">
      <c r="A163" s="23"/>
      <c r="B163" s="368" t="str">
        <f>'Questions - Fragen'!$A$183</f>
        <v>6.3.1</v>
      </c>
      <c r="C163" s="21"/>
      <c r="D163" s="716" t="str">
        <f t="shared" si="9"/>
        <v>PS10</v>
      </c>
      <c r="E163" s="693"/>
      <c r="F163" s="694" t="str">
        <f>'Questions - Fragen'!E193</f>
        <v>Enter text</v>
      </c>
      <c r="G163" s="220"/>
      <c r="H163" s="384" t="str">
        <f>'Questions - Fragen'!D193</f>
        <v>n.e.</v>
      </c>
      <c r="I163" s="1171"/>
      <c r="J163" s="220"/>
      <c r="K163" s="985"/>
      <c r="L163" s="988"/>
      <c r="M163" s="985"/>
      <c r="N163" s="220"/>
      <c r="O163" s="991"/>
      <c r="P163" s="220"/>
      <c r="Q163" s="985"/>
      <c r="R163" s="220"/>
      <c r="S163" s="985"/>
    </row>
    <row r="164" spans="1:19" ht="30" hidden="1">
      <c r="A164" s="23"/>
      <c r="B164" s="381" t="str">
        <f>'Questions - Fragen'!$A$194</f>
        <v>6.3.2</v>
      </c>
      <c r="C164" s="382"/>
      <c r="D164" s="718" t="str">
        <f>D154</f>
        <v>PS1</v>
      </c>
      <c r="E164" s="719"/>
      <c r="F164" s="721" t="str">
        <f>'Questions - Fragen'!E195</f>
        <v xml:space="preserve">Personell have the required training, evidence avaible in Competence Matrix HR Department </v>
      </c>
      <c r="G164" s="383"/>
      <c r="H164" s="384">
        <f>'Questions - Fragen'!D195</f>
        <v>10</v>
      </c>
      <c r="I164" s="1179" t="str">
        <f>IF('Questions - Fragen'!F195="","",'Questions - Fragen'!F195)</f>
        <v/>
      </c>
      <c r="J164" s="383"/>
      <c r="K164" s="987"/>
      <c r="L164" s="988"/>
      <c r="M164" s="987"/>
      <c r="N164" s="383"/>
      <c r="O164" s="996"/>
      <c r="P164" s="383"/>
      <c r="Q164" s="987"/>
      <c r="R164" s="383"/>
      <c r="S164" s="987"/>
    </row>
    <row r="165" spans="1:19" ht="45" hidden="1">
      <c r="A165" s="23"/>
      <c r="B165" s="368" t="str">
        <f>'Questions - Fragen'!$A$194</f>
        <v>6.3.2</v>
      </c>
      <c r="C165" s="21"/>
      <c r="D165" s="716" t="str">
        <f>D155</f>
        <v>PS2</v>
      </c>
      <c r="E165" s="693"/>
      <c r="F165" s="694" t="str">
        <f>'Questions - Fragen'!E196</f>
        <v xml:space="preserve">Personell at all workstations have the required training, evidence avaible in Competence Matrix HR Department </v>
      </c>
      <c r="G165" s="220"/>
      <c r="H165" s="384">
        <f>'Questions - Fragen'!D196</f>
        <v>10</v>
      </c>
      <c r="I165" s="1171" t="str">
        <f>IF('Questions - Fragen'!F196="","",'Questions - Fragen'!F196)</f>
        <v/>
      </c>
      <c r="J165" s="220"/>
      <c r="K165" s="985"/>
      <c r="L165" s="988"/>
      <c r="M165" s="985"/>
      <c r="N165" s="220"/>
      <c r="O165" s="991"/>
      <c r="P165" s="220"/>
      <c r="Q165" s="985"/>
      <c r="R165" s="220"/>
      <c r="S165" s="985"/>
    </row>
    <row r="166" spans="1:19" ht="45" hidden="1">
      <c r="A166" s="23"/>
      <c r="B166" s="368" t="str">
        <f>'Questions - Fragen'!$A$194</f>
        <v>6.3.2</v>
      </c>
      <c r="C166" s="21"/>
      <c r="D166" s="716" t="str">
        <f>D156</f>
        <v>PS3</v>
      </c>
      <c r="E166" s="693"/>
      <c r="F166" s="694" t="str">
        <f>'Questions - Fragen'!E197</f>
        <v xml:space="preserve">Personell at all workstations have the required training, evidence avaible in Competence Matrix HR Department </v>
      </c>
      <c r="G166" s="220"/>
      <c r="H166" s="384">
        <f>'Questions - Fragen'!D197</f>
        <v>10</v>
      </c>
      <c r="I166" s="1171" t="str">
        <f>IF('Questions - Fragen'!F197="","",'Questions - Fragen'!F197)</f>
        <v/>
      </c>
      <c r="J166" s="220"/>
      <c r="K166" s="985"/>
      <c r="L166" s="988"/>
      <c r="M166" s="985"/>
      <c r="N166" s="220"/>
      <c r="O166" s="991"/>
      <c r="P166" s="220"/>
      <c r="Q166" s="985"/>
      <c r="R166" s="220"/>
      <c r="S166" s="985"/>
    </row>
    <row r="167" spans="1:19" ht="45" hidden="1">
      <c r="A167" s="23"/>
      <c r="B167" s="368" t="str">
        <f>'Questions - Fragen'!$A$194</f>
        <v>6.3.2</v>
      </c>
      <c r="C167" s="21"/>
      <c r="D167" s="716" t="str">
        <f t="shared" ref="D167:D173" si="10">D157</f>
        <v>PS4</v>
      </c>
      <c r="E167" s="697"/>
      <c r="F167" s="694" t="str">
        <f>'Questions - Fragen'!E198</f>
        <v xml:space="preserve">Personell at all workstations have the required training, evidence avaible in Competence Matrix HR Department </v>
      </c>
      <c r="G167" s="220"/>
      <c r="H167" s="384">
        <f>'Questions - Fragen'!D198</f>
        <v>10</v>
      </c>
      <c r="I167" s="1171"/>
      <c r="J167" s="220"/>
      <c r="K167" s="985"/>
      <c r="L167" s="988"/>
      <c r="M167" s="985"/>
      <c r="N167" s="220"/>
      <c r="O167" s="991"/>
      <c r="P167" s="220"/>
      <c r="Q167" s="985"/>
      <c r="R167" s="220"/>
      <c r="S167" s="985"/>
    </row>
    <row r="168" spans="1:19" ht="45" hidden="1">
      <c r="A168" s="23"/>
      <c r="B168" s="368" t="str">
        <f>'Questions - Fragen'!$A$194</f>
        <v>6.3.2</v>
      </c>
      <c r="C168" s="21"/>
      <c r="D168" s="716" t="str">
        <f t="shared" si="10"/>
        <v>PS5</v>
      </c>
      <c r="E168" s="697"/>
      <c r="F168" s="694" t="str">
        <f>'Questions - Fragen'!E199</f>
        <v xml:space="preserve">Personell at all workstations have the required training, evidence avaible in Competence Matrix HR Department </v>
      </c>
      <c r="G168" s="220"/>
      <c r="H168" s="384">
        <f>'Questions - Fragen'!D199</f>
        <v>10</v>
      </c>
      <c r="I168" s="1171"/>
      <c r="J168" s="220"/>
      <c r="K168" s="985"/>
      <c r="L168" s="988"/>
      <c r="M168" s="985"/>
      <c r="N168" s="220"/>
      <c r="O168" s="991"/>
      <c r="P168" s="220"/>
      <c r="Q168" s="985"/>
      <c r="R168" s="220"/>
      <c r="S168" s="985"/>
    </row>
    <row r="169" spans="1:19" ht="15.75" hidden="1">
      <c r="A169" s="23"/>
      <c r="B169" s="368" t="str">
        <f>'Questions - Fragen'!$A$194</f>
        <v>6.3.2</v>
      </c>
      <c r="C169" s="21"/>
      <c r="D169" s="716" t="str">
        <f t="shared" si="10"/>
        <v>PS6</v>
      </c>
      <c r="E169" s="697"/>
      <c r="F169" s="694" t="str">
        <f>'Questions - Fragen'!E200</f>
        <v>Enter text</v>
      </c>
      <c r="G169" s="220"/>
      <c r="H169" s="384" t="str">
        <f>'Questions - Fragen'!D200</f>
        <v>n.e.</v>
      </c>
      <c r="I169" s="1171"/>
      <c r="J169" s="220"/>
      <c r="K169" s="985"/>
      <c r="L169" s="988"/>
      <c r="M169" s="985"/>
      <c r="N169" s="220"/>
      <c r="O169" s="991"/>
      <c r="P169" s="220"/>
      <c r="Q169" s="985"/>
      <c r="R169" s="220"/>
      <c r="S169" s="985"/>
    </row>
    <row r="170" spans="1:19" ht="15.75" hidden="1">
      <c r="A170" s="23"/>
      <c r="B170" s="368" t="str">
        <f>'Questions - Fragen'!$A$194</f>
        <v>6.3.2</v>
      </c>
      <c r="C170" s="21"/>
      <c r="D170" s="716" t="str">
        <f t="shared" si="10"/>
        <v>PS7</v>
      </c>
      <c r="E170" s="697"/>
      <c r="F170" s="694" t="str">
        <f>'Questions - Fragen'!E201</f>
        <v>Enter text</v>
      </c>
      <c r="G170" s="220"/>
      <c r="H170" s="384" t="str">
        <f>'Questions - Fragen'!D201</f>
        <v>n.e.</v>
      </c>
      <c r="I170" s="1171"/>
      <c r="J170" s="220"/>
      <c r="K170" s="985"/>
      <c r="L170" s="988"/>
      <c r="M170" s="985"/>
      <c r="N170" s="220"/>
      <c r="O170" s="991"/>
      <c r="P170" s="220"/>
      <c r="Q170" s="985"/>
      <c r="R170" s="220"/>
      <c r="S170" s="985"/>
    </row>
    <row r="171" spans="1:19" ht="15.75" hidden="1">
      <c r="A171" s="23"/>
      <c r="B171" s="368" t="str">
        <f>'Questions - Fragen'!$A$194</f>
        <v>6.3.2</v>
      </c>
      <c r="C171" s="21"/>
      <c r="D171" s="716" t="str">
        <f t="shared" si="10"/>
        <v>PS8</v>
      </c>
      <c r="E171" s="697"/>
      <c r="F171" s="694" t="str">
        <f>'Questions - Fragen'!E202</f>
        <v>Enter text</v>
      </c>
      <c r="G171" s="220"/>
      <c r="H171" s="384" t="str">
        <f>'Questions - Fragen'!D202</f>
        <v>n.e.</v>
      </c>
      <c r="I171" s="1171"/>
      <c r="J171" s="220"/>
      <c r="K171" s="985"/>
      <c r="L171" s="988"/>
      <c r="M171" s="985"/>
      <c r="N171" s="220"/>
      <c r="O171" s="991"/>
      <c r="P171" s="220"/>
      <c r="Q171" s="985"/>
      <c r="R171" s="220"/>
      <c r="S171" s="985"/>
    </row>
    <row r="172" spans="1:19" ht="15.75" hidden="1">
      <c r="A172" s="23"/>
      <c r="B172" s="368" t="str">
        <f>'Questions - Fragen'!$A$194</f>
        <v>6.3.2</v>
      </c>
      <c r="C172" s="21"/>
      <c r="D172" s="716" t="str">
        <f t="shared" si="10"/>
        <v>PS9</v>
      </c>
      <c r="E172" s="697"/>
      <c r="F172" s="694" t="str">
        <f>'Questions - Fragen'!E203</f>
        <v>Enter text</v>
      </c>
      <c r="G172" s="220"/>
      <c r="H172" s="384" t="str">
        <f>'Questions - Fragen'!D203</f>
        <v>n.e.</v>
      </c>
      <c r="I172" s="1171"/>
      <c r="J172" s="220"/>
      <c r="K172" s="985"/>
      <c r="L172" s="988"/>
      <c r="M172" s="985"/>
      <c r="N172" s="220"/>
      <c r="O172" s="991"/>
      <c r="P172" s="220"/>
      <c r="Q172" s="985"/>
      <c r="R172" s="220"/>
      <c r="S172" s="985"/>
    </row>
    <row r="173" spans="1:19" ht="15.75" hidden="1">
      <c r="A173" s="23"/>
      <c r="B173" s="368" t="str">
        <f>'Questions - Fragen'!$A$194</f>
        <v>6.3.2</v>
      </c>
      <c r="C173" s="21"/>
      <c r="D173" s="716" t="str">
        <f t="shared" si="10"/>
        <v>PS10</v>
      </c>
      <c r="E173" s="697"/>
      <c r="F173" s="694" t="str">
        <f>'Questions - Fragen'!E204</f>
        <v>Enter text</v>
      </c>
      <c r="G173" s="220"/>
      <c r="H173" s="384" t="str">
        <f>'Questions - Fragen'!D204</f>
        <v>n.e.</v>
      </c>
      <c r="I173" s="1171"/>
      <c r="J173" s="220"/>
      <c r="K173" s="985"/>
      <c r="L173" s="988"/>
      <c r="M173" s="985"/>
      <c r="N173" s="220"/>
      <c r="O173" s="991"/>
      <c r="P173" s="220"/>
      <c r="Q173" s="985"/>
      <c r="R173" s="220"/>
      <c r="S173" s="985"/>
    </row>
    <row r="174" spans="1:19" ht="15.75" hidden="1">
      <c r="A174" s="23"/>
      <c r="B174" s="381" t="str">
        <f>'Questions - Fragen'!$A$205</f>
        <v>6.3.3</v>
      </c>
      <c r="C174" s="382"/>
      <c r="D174" s="718" t="str">
        <f>D164</f>
        <v>PS1</v>
      </c>
      <c r="E174" s="719"/>
      <c r="F174" s="721" t="str">
        <f>'Questions - Fragen'!E206</f>
        <v>No weak points identified</v>
      </c>
      <c r="G174" s="383"/>
      <c r="H174" s="384">
        <f>'Questions - Fragen'!D206</f>
        <v>10</v>
      </c>
      <c r="I174" s="1179" t="str">
        <f>IF('Questions - Fragen'!F206="","",'Questions - Fragen'!F206)</f>
        <v/>
      </c>
      <c r="J174" s="383"/>
      <c r="K174" s="987"/>
      <c r="L174" s="988"/>
      <c r="M174" s="987"/>
      <c r="N174" s="383"/>
      <c r="O174" s="996"/>
      <c r="P174" s="383"/>
      <c r="Q174" s="987"/>
      <c r="R174" s="383"/>
      <c r="S174" s="987"/>
    </row>
    <row r="175" spans="1:19" ht="15.75" hidden="1">
      <c r="A175" s="23"/>
      <c r="B175" s="368" t="str">
        <f>'Questions - Fragen'!$A$205</f>
        <v>6.3.3</v>
      </c>
      <c r="C175" s="21"/>
      <c r="D175" s="716" t="str">
        <f>D165</f>
        <v>PS2</v>
      </c>
      <c r="E175" s="693"/>
      <c r="F175" s="694" t="str">
        <f>'Questions - Fragen'!E207</f>
        <v>No weak points identified</v>
      </c>
      <c r="G175" s="220"/>
      <c r="H175" s="384">
        <f>'Questions - Fragen'!D207</f>
        <v>10</v>
      </c>
      <c r="I175" s="1171" t="str">
        <f>IF('Questions - Fragen'!F207="","",'Questions - Fragen'!F207)</f>
        <v/>
      </c>
      <c r="J175" s="220"/>
      <c r="K175" s="985"/>
      <c r="L175" s="988"/>
      <c r="M175" s="985"/>
      <c r="N175" s="220"/>
      <c r="O175" s="991"/>
      <c r="P175" s="220"/>
      <c r="Q175" s="985"/>
      <c r="R175" s="220"/>
      <c r="S175" s="985"/>
    </row>
    <row r="176" spans="1:19" ht="15.75" hidden="1">
      <c r="A176" s="23"/>
      <c r="B176" s="368" t="str">
        <f>'Questions - Fragen'!$A$205</f>
        <v>6.3.3</v>
      </c>
      <c r="C176" s="21"/>
      <c r="D176" s="716" t="str">
        <f>D166</f>
        <v>PS3</v>
      </c>
      <c r="E176" s="693"/>
      <c r="F176" s="694" t="str">
        <f>'Questions - Fragen'!E208</f>
        <v>Enter text</v>
      </c>
      <c r="G176" s="220"/>
      <c r="H176" s="384" t="str">
        <f>'Questions - Fragen'!D208</f>
        <v>n.e.</v>
      </c>
      <c r="I176" s="1171" t="str">
        <f>IF('Questions - Fragen'!F208="","",'Questions - Fragen'!F208)</f>
        <v/>
      </c>
      <c r="J176" s="220"/>
      <c r="K176" s="985"/>
      <c r="L176" s="988"/>
      <c r="M176" s="985"/>
      <c r="N176" s="220"/>
      <c r="O176" s="991"/>
      <c r="P176" s="220"/>
      <c r="Q176" s="985"/>
      <c r="R176" s="220"/>
      <c r="S176" s="985"/>
    </row>
    <row r="177" spans="1:19" ht="15.75" hidden="1">
      <c r="A177" s="23"/>
      <c r="B177" s="368" t="str">
        <f>'Questions - Fragen'!$A$205</f>
        <v>6.3.3</v>
      </c>
      <c r="C177" s="21"/>
      <c r="D177" s="716" t="str">
        <f t="shared" ref="D177:D183" si="11">D167</f>
        <v>PS4</v>
      </c>
      <c r="E177" s="697"/>
      <c r="F177" s="694" t="str">
        <f>'Questions - Fragen'!E209</f>
        <v>Enter text</v>
      </c>
      <c r="G177" s="220"/>
      <c r="H177" s="384" t="str">
        <f>'Questions - Fragen'!D209</f>
        <v>n.e.</v>
      </c>
      <c r="I177" s="1171"/>
      <c r="J177" s="220"/>
      <c r="K177" s="985"/>
      <c r="L177" s="988"/>
      <c r="M177" s="985"/>
      <c r="N177" s="220"/>
      <c r="O177" s="991"/>
      <c r="P177" s="220"/>
      <c r="Q177" s="985"/>
      <c r="R177" s="220"/>
      <c r="S177" s="985"/>
    </row>
    <row r="178" spans="1:19" ht="15.75" hidden="1">
      <c r="A178" s="23"/>
      <c r="B178" s="368" t="str">
        <f>'Questions - Fragen'!$A$205</f>
        <v>6.3.3</v>
      </c>
      <c r="C178" s="21"/>
      <c r="D178" s="716" t="str">
        <f t="shared" si="11"/>
        <v>PS5</v>
      </c>
      <c r="E178" s="697"/>
      <c r="F178" s="694" t="str">
        <f>'Questions - Fragen'!E210</f>
        <v>Enter text</v>
      </c>
      <c r="G178" s="220"/>
      <c r="H178" s="384" t="str">
        <f>'Questions - Fragen'!D210</f>
        <v>n.e.</v>
      </c>
      <c r="I178" s="1171"/>
      <c r="J178" s="220"/>
      <c r="K178" s="985"/>
      <c r="L178" s="988"/>
      <c r="M178" s="985"/>
      <c r="N178" s="220"/>
      <c r="O178" s="991"/>
      <c r="P178" s="220"/>
      <c r="Q178" s="985"/>
      <c r="R178" s="220"/>
      <c r="S178" s="985"/>
    </row>
    <row r="179" spans="1:19" ht="15.75" hidden="1">
      <c r="A179" s="23"/>
      <c r="B179" s="368" t="str">
        <f>'Questions - Fragen'!$A$205</f>
        <v>6.3.3</v>
      </c>
      <c r="C179" s="21"/>
      <c r="D179" s="716" t="str">
        <f t="shared" si="11"/>
        <v>PS6</v>
      </c>
      <c r="E179" s="697"/>
      <c r="F179" s="694" t="str">
        <f>'Questions - Fragen'!E211</f>
        <v>Enter text</v>
      </c>
      <c r="G179" s="220"/>
      <c r="H179" s="384" t="str">
        <f>'Questions - Fragen'!D211</f>
        <v>n.e.</v>
      </c>
      <c r="I179" s="1171"/>
      <c r="J179" s="220"/>
      <c r="K179" s="985"/>
      <c r="L179" s="988"/>
      <c r="M179" s="985"/>
      <c r="N179" s="220"/>
      <c r="O179" s="991"/>
      <c r="P179" s="220"/>
      <c r="Q179" s="985"/>
      <c r="R179" s="220"/>
      <c r="S179" s="985"/>
    </row>
    <row r="180" spans="1:19" ht="15.75" hidden="1">
      <c r="A180" s="23"/>
      <c r="B180" s="368" t="str">
        <f>'Questions - Fragen'!$A$205</f>
        <v>6.3.3</v>
      </c>
      <c r="C180" s="21"/>
      <c r="D180" s="716" t="str">
        <f t="shared" si="11"/>
        <v>PS7</v>
      </c>
      <c r="E180" s="697"/>
      <c r="F180" s="694" t="str">
        <f>'Questions - Fragen'!E212</f>
        <v>Enter text</v>
      </c>
      <c r="G180" s="220"/>
      <c r="H180" s="384" t="str">
        <f>'Questions - Fragen'!D212</f>
        <v>n.e.</v>
      </c>
      <c r="I180" s="1171"/>
      <c r="J180" s="220"/>
      <c r="K180" s="985"/>
      <c r="L180" s="988"/>
      <c r="M180" s="985"/>
      <c r="N180" s="220"/>
      <c r="O180" s="991"/>
      <c r="P180" s="220"/>
      <c r="Q180" s="985"/>
      <c r="R180" s="220"/>
      <c r="S180" s="985"/>
    </row>
    <row r="181" spans="1:19" ht="15.75" hidden="1">
      <c r="A181" s="23"/>
      <c r="B181" s="368" t="str">
        <f>'Questions - Fragen'!$A$205</f>
        <v>6.3.3</v>
      </c>
      <c r="C181" s="21"/>
      <c r="D181" s="716" t="str">
        <f t="shared" si="11"/>
        <v>PS8</v>
      </c>
      <c r="E181" s="697"/>
      <c r="F181" s="694" t="str">
        <f>'Questions - Fragen'!E213</f>
        <v>Enter text</v>
      </c>
      <c r="G181" s="220"/>
      <c r="H181" s="384" t="str">
        <f>'Questions - Fragen'!D213</f>
        <v>n.e.</v>
      </c>
      <c r="I181" s="1171"/>
      <c r="J181" s="220"/>
      <c r="K181" s="985"/>
      <c r="L181" s="988"/>
      <c r="M181" s="985"/>
      <c r="N181" s="220"/>
      <c r="O181" s="991"/>
      <c r="P181" s="220"/>
      <c r="Q181" s="985"/>
      <c r="R181" s="220"/>
      <c r="S181" s="985"/>
    </row>
    <row r="182" spans="1:19" ht="15.75" hidden="1">
      <c r="A182" s="23"/>
      <c r="B182" s="368" t="str">
        <f>'Questions - Fragen'!$A$205</f>
        <v>6.3.3</v>
      </c>
      <c r="C182" s="21"/>
      <c r="D182" s="716" t="str">
        <f t="shared" si="11"/>
        <v>PS9</v>
      </c>
      <c r="E182" s="697"/>
      <c r="F182" s="694" t="str">
        <f>'Questions - Fragen'!E214</f>
        <v>Enter text</v>
      </c>
      <c r="G182" s="220"/>
      <c r="H182" s="384" t="str">
        <f>'Questions - Fragen'!D214</f>
        <v>n.e.</v>
      </c>
      <c r="I182" s="1171"/>
      <c r="J182" s="220"/>
      <c r="K182" s="985"/>
      <c r="L182" s="988"/>
      <c r="M182" s="985"/>
      <c r="N182" s="220"/>
      <c r="O182" s="991"/>
      <c r="P182" s="220"/>
      <c r="Q182" s="985"/>
      <c r="R182" s="220"/>
      <c r="S182" s="985"/>
    </row>
    <row r="183" spans="1:19" ht="15.75" hidden="1">
      <c r="A183" s="23"/>
      <c r="B183" s="368" t="str">
        <f>'Questions - Fragen'!$A$205</f>
        <v>6.3.3</v>
      </c>
      <c r="C183" s="21"/>
      <c r="D183" s="716" t="str">
        <f t="shared" si="11"/>
        <v>PS10</v>
      </c>
      <c r="E183" s="697"/>
      <c r="F183" s="694" t="str">
        <f>'Questions - Fragen'!E215</f>
        <v>Enter text</v>
      </c>
      <c r="G183" s="220"/>
      <c r="H183" s="384" t="str">
        <f>'Questions - Fragen'!D215</f>
        <v>n.e.</v>
      </c>
      <c r="I183" s="1171"/>
      <c r="J183" s="220"/>
      <c r="K183" s="985"/>
      <c r="L183" s="988"/>
      <c r="M183" s="985"/>
      <c r="N183" s="220"/>
      <c r="O183" s="991"/>
      <c r="P183" s="220"/>
      <c r="Q183" s="985"/>
      <c r="R183" s="220"/>
      <c r="S183" s="985"/>
    </row>
    <row r="184" spans="1:19" ht="15.75" hidden="1">
      <c r="A184" s="23"/>
      <c r="B184" s="368" t="str">
        <f>'Questions - Fragen'!$A$217</f>
        <v>6.4.1</v>
      </c>
      <c r="C184" s="1216"/>
      <c r="D184" s="716" t="str">
        <f>D174</f>
        <v>PS1</v>
      </c>
      <c r="E184" s="693"/>
      <c r="F184" s="694" t="str">
        <f>'Questions - Fragen'!E218</f>
        <v>Enter text</v>
      </c>
      <c r="G184" s="220"/>
      <c r="H184" s="384" t="str">
        <f>'Questions - Fragen'!D218</f>
        <v>n.e.</v>
      </c>
      <c r="I184" s="1171" t="str">
        <f>IF('Questions - Fragen'!F218="","",'Questions - Fragen'!F218)</f>
        <v/>
      </c>
      <c r="J184" s="220"/>
      <c r="K184" s="985"/>
      <c r="L184" s="988"/>
      <c r="M184" s="985"/>
      <c r="N184" s="220"/>
      <c r="O184" s="991"/>
      <c r="P184" s="220"/>
      <c r="Q184" s="985"/>
      <c r="R184" s="220"/>
      <c r="S184" s="985"/>
    </row>
    <row r="185" spans="1:19" ht="15.75" hidden="1">
      <c r="A185" s="23"/>
      <c r="B185" s="368" t="str">
        <f>'Questions - Fragen'!$A$217</f>
        <v>6.4.1</v>
      </c>
      <c r="C185" s="21"/>
      <c r="D185" s="716" t="str">
        <f>D175</f>
        <v>PS2</v>
      </c>
      <c r="E185" s="693"/>
      <c r="F185" s="694" t="str">
        <f>'Questions - Fragen'!E219</f>
        <v>No weak points identified</v>
      </c>
      <c r="G185" s="220"/>
      <c r="H185" s="384">
        <f>'Questions - Fragen'!D219</f>
        <v>10</v>
      </c>
      <c r="I185" s="1171" t="str">
        <f>IF('Questions - Fragen'!F219="","",'Questions - Fragen'!F219)</f>
        <v/>
      </c>
      <c r="J185" s="220"/>
      <c r="K185" s="985"/>
      <c r="L185" s="988"/>
      <c r="M185" s="985"/>
      <c r="N185" s="220"/>
      <c r="O185" s="991"/>
      <c r="P185" s="220"/>
      <c r="Q185" s="985"/>
      <c r="R185" s="220"/>
      <c r="S185" s="985"/>
    </row>
    <row r="186" spans="1:19" ht="15.75" hidden="1">
      <c r="A186" s="23"/>
      <c r="B186" s="368" t="str">
        <f>'Questions - Fragen'!$A$217</f>
        <v>6.4.1</v>
      </c>
      <c r="C186" s="21"/>
      <c r="D186" s="716" t="str">
        <f>D176</f>
        <v>PS3</v>
      </c>
      <c r="E186" s="693"/>
      <c r="F186" s="694" t="str">
        <f>'Questions - Fragen'!E220</f>
        <v>Enter text</v>
      </c>
      <c r="G186" s="220"/>
      <c r="H186" s="384" t="str">
        <f>'Questions - Fragen'!D220</f>
        <v>n.e.</v>
      </c>
      <c r="I186" s="1171" t="str">
        <f>IF('Questions - Fragen'!F220="","",'Questions - Fragen'!F220)</f>
        <v/>
      </c>
      <c r="J186" s="220"/>
      <c r="K186" s="985"/>
      <c r="L186" s="988"/>
      <c r="M186" s="985"/>
      <c r="N186" s="220"/>
      <c r="O186" s="991"/>
      <c r="P186" s="220"/>
      <c r="Q186" s="985"/>
      <c r="R186" s="220"/>
      <c r="S186" s="985"/>
    </row>
    <row r="187" spans="1:19" ht="15.75" hidden="1">
      <c r="A187" s="23"/>
      <c r="B187" s="368" t="str">
        <f>'Questions - Fragen'!$A$217</f>
        <v>6.4.1</v>
      </c>
      <c r="C187" s="21"/>
      <c r="D187" s="716" t="str">
        <f t="shared" ref="D187:D193" si="12">D177</f>
        <v>PS4</v>
      </c>
      <c r="E187" s="693"/>
      <c r="F187" s="694" t="str">
        <f>'Questions - Fragen'!E221</f>
        <v>Enter text</v>
      </c>
      <c r="G187" s="220"/>
      <c r="H187" s="384" t="str">
        <f>'Questions - Fragen'!D221</f>
        <v>n.e.</v>
      </c>
      <c r="I187" s="1171"/>
      <c r="J187" s="220"/>
      <c r="K187" s="985"/>
      <c r="L187" s="988"/>
      <c r="M187" s="985"/>
      <c r="N187" s="220"/>
      <c r="O187" s="991"/>
      <c r="P187" s="220"/>
      <c r="Q187" s="985"/>
      <c r="R187" s="220"/>
      <c r="S187" s="985"/>
    </row>
    <row r="188" spans="1:19" ht="15.75" hidden="1">
      <c r="A188" s="23"/>
      <c r="B188" s="368" t="str">
        <f>'Questions - Fragen'!$A$217</f>
        <v>6.4.1</v>
      </c>
      <c r="C188" s="21"/>
      <c r="D188" s="716" t="str">
        <f t="shared" si="12"/>
        <v>PS5</v>
      </c>
      <c r="E188" s="693"/>
      <c r="F188" s="694" t="str">
        <f>'Questions - Fragen'!E222</f>
        <v>Enter text</v>
      </c>
      <c r="G188" s="220"/>
      <c r="H188" s="384" t="str">
        <f>'Questions - Fragen'!D222</f>
        <v>n.e.</v>
      </c>
      <c r="I188" s="1171"/>
      <c r="J188" s="220"/>
      <c r="K188" s="985"/>
      <c r="L188" s="988"/>
      <c r="M188" s="985"/>
      <c r="N188" s="220"/>
      <c r="O188" s="991"/>
      <c r="P188" s="220"/>
      <c r="Q188" s="985"/>
      <c r="R188" s="220"/>
      <c r="S188" s="985"/>
    </row>
    <row r="189" spans="1:19" ht="15.75" hidden="1">
      <c r="A189" s="23"/>
      <c r="B189" s="368" t="str">
        <f>'Questions - Fragen'!$A$217</f>
        <v>6.4.1</v>
      </c>
      <c r="C189" s="21"/>
      <c r="D189" s="716" t="str">
        <f t="shared" si="12"/>
        <v>PS6</v>
      </c>
      <c r="E189" s="693"/>
      <c r="F189" s="694" t="str">
        <f>'Questions - Fragen'!E223</f>
        <v>Enter text</v>
      </c>
      <c r="G189" s="220"/>
      <c r="H189" s="384" t="str">
        <f>'Questions - Fragen'!D223</f>
        <v>n.e.</v>
      </c>
      <c r="I189" s="1171"/>
      <c r="J189" s="220"/>
      <c r="K189" s="985"/>
      <c r="L189" s="988"/>
      <c r="M189" s="985"/>
      <c r="N189" s="220"/>
      <c r="O189" s="991"/>
      <c r="P189" s="220"/>
      <c r="Q189" s="985"/>
      <c r="R189" s="220"/>
      <c r="S189" s="985"/>
    </row>
    <row r="190" spans="1:19" ht="15.75" hidden="1">
      <c r="A190" s="23"/>
      <c r="B190" s="368" t="str">
        <f>'Questions - Fragen'!$A$217</f>
        <v>6.4.1</v>
      </c>
      <c r="C190" s="21"/>
      <c r="D190" s="716" t="str">
        <f t="shared" si="12"/>
        <v>PS7</v>
      </c>
      <c r="E190" s="693"/>
      <c r="F190" s="694" t="str">
        <f>'Questions - Fragen'!E224</f>
        <v>Enter text</v>
      </c>
      <c r="G190" s="220"/>
      <c r="H190" s="384" t="str">
        <f>'Questions - Fragen'!D224</f>
        <v>n.e.</v>
      </c>
      <c r="I190" s="1171"/>
      <c r="J190" s="220"/>
      <c r="K190" s="985"/>
      <c r="L190" s="988"/>
      <c r="M190" s="985"/>
      <c r="N190" s="220"/>
      <c r="O190" s="991"/>
      <c r="P190" s="220"/>
      <c r="Q190" s="985"/>
      <c r="R190" s="220"/>
      <c r="S190" s="985"/>
    </row>
    <row r="191" spans="1:19" ht="15.75" hidden="1">
      <c r="A191" s="23"/>
      <c r="B191" s="368" t="str">
        <f>'Questions - Fragen'!$A$217</f>
        <v>6.4.1</v>
      </c>
      <c r="C191" s="21"/>
      <c r="D191" s="716" t="str">
        <f t="shared" si="12"/>
        <v>PS8</v>
      </c>
      <c r="E191" s="693"/>
      <c r="F191" s="694" t="str">
        <f>'Questions - Fragen'!E225</f>
        <v>Enter text</v>
      </c>
      <c r="G191" s="220"/>
      <c r="H191" s="384" t="str">
        <f>'Questions - Fragen'!D225</f>
        <v>n.e.</v>
      </c>
      <c r="I191" s="1171"/>
      <c r="J191" s="220"/>
      <c r="K191" s="985"/>
      <c r="L191" s="988"/>
      <c r="M191" s="985"/>
      <c r="N191" s="220"/>
      <c r="O191" s="991"/>
      <c r="P191" s="220"/>
      <c r="Q191" s="985"/>
      <c r="R191" s="220"/>
      <c r="S191" s="985"/>
    </row>
    <row r="192" spans="1:19" ht="15.75" hidden="1">
      <c r="A192" s="23"/>
      <c r="B192" s="368" t="str">
        <f>'Questions - Fragen'!$A$217</f>
        <v>6.4.1</v>
      </c>
      <c r="C192" s="21"/>
      <c r="D192" s="716" t="str">
        <f t="shared" si="12"/>
        <v>PS9</v>
      </c>
      <c r="E192" s="693"/>
      <c r="F192" s="694" t="str">
        <f>'Questions - Fragen'!E226</f>
        <v>Enter text</v>
      </c>
      <c r="G192" s="220"/>
      <c r="H192" s="384" t="str">
        <f>'Questions - Fragen'!D226</f>
        <v>n.e.</v>
      </c>
      <c r="I192" s="1171"/>
      <c r="J192" s="220"/>
      <c r="K192" s="985"/>
      <c r="L192" s="988"/>
      <c r="M192" s="985"/>
      <c r="N192" s="220"/>
      <c r="O192" s="991"/>
      <c r="P192" s="220"/>
      <c r="Q192" s="985"/>
      <c r="R192" s="220"/>
      <c r="S192" s="985"/>
    </row>
    <row r="193" spans="1:19" ht="15.75" hidden="1">
      <c r="A193" s="23"/>
      <c r="B193" s="368" t="str">
        <f>'Questions - Fragen'!$A$217</f>
        <v>6.4.1</v>
      </c>
      <c r="C193" s="21"/>
      <c r="D193" s="716" t="str">
        <f t="shared" si="12"/>
        <v>PS10</v>
      </c>
      <c r="E193" s="693"/>
      <c r="F193" s="694" t="str">
        <f>'Questions - Fragen'!E227</f>
        <v>Enter text</v>
      </c>
      <c r="G193" s="220"/>
      <c r="H193" s="384" t="str">
        <f>'Questions - Fragen'!D227</f>
        <v>n.e.</v>
      </c>
      <c r="I193" s="1171"/>
      <c r="J193" s="220"/>
      <c r="K193" s="985"/>
      <c r="L193" s="988"/>
      <c r="M193" s="985"/>
      <c r="N193" s="220"/>
      <c r="O193" s="991"/>
      <c r="P193" s="220"/>
      <c r="Q193" s="985"/>
      <c r="R193" s="220"/>
      <c r="S193" s="985"/>
    </row>
    <row r="194" spans="1:19" ht="45">
      <c r="A194" s="23"/>
      <c r="B194" s="1361" t="str">
        <f>'Questions - Fragen'!$A$228</f>
        <v>6.4.2</v>
      </c>
      <c r="C194" s="1362"/>
      <c r="D194" s="1366" t="str">
        <f>D184</f>
        <v>PS1</v>
      </c>
      <c r="E194" s="719"/>
      <c r="F194" s="721" t="str">
        <f>'Questions - Fragen'!E229</f>
        <v>Data for performed maintenace was missing in Moldshop Dashboard: Cast Table 178mm (black), 203mm (blue and Yellow) for january.</v>
      </c>
      <c r="G194" s="383"/>
      <c r="H194" s="1360">
        <f>'Questions - Fragen'!D229</f>
        <v>6</v>
      </c>
      <c r="I194" s="1375" t="str">
        <f>IF('Questions - Fragen'!F229="","",'Questions - Fragen'!F229)</f>
        <v>X</v>
      </c>
      <c r="J194" s="383"/>
      <c r="K194" s="987" t="s">
        <v>1026</v>
      </c>
      <c r="L194" s="988"/>
      <c r="M194" s="987" t="s">
        <v>1025</v>
      </c>
      <c r="N194" s="383"/>
      <c r="O194" s="1368">
        <v>45716</v>
      </c>
      <c r="P194" s="1369"/>
      <c r="Q194" s="1370" t="s">
        <v>1020</v>
      </c>
      <c r="R194" s="1369"/>
      <c r="S194" s="1370" t="s">
        <v>1021</v>
      </c>
    </row>
    <row r="195" spans="1:19" ht="15.75" hidden="1">
      <c r="A195" s="23"/>
      <c r="B195" s="1363" t="str">
        <f>'Questions - Fragen'!$A$228</f>
        <v>6.4.2</v>
      </c>
      <c r="C195" s="1364"/>
      <c r="D195" s="1367" t="str">
        <f>D185</f>
        <v>PS2</v>
      </c>
      <c r="E195" s="693"/>
      <c r="F195" s="694" t="str">
        <f>'Questions - Fragen'!E230</f>
        <v>No weak points identified</v>
      </c>
      <c r="G195" s="220"/>
      <c r="H195" s="1360">
        <f>'Questions - Fragen'!D230</f>
        <v>10</v>
      </c>
      <c r="I195" s="1376" t="str">
        <f>IF('Questions - Fragen'!F230="","",'Questions - Fragen'!F230)</f>
        <v/>
      </c>
      <c r="J195" s="220"/>
      <c r="K195" s="985"/>
      <c r="L195" s="988"/>
      <c r="M195" s="985"/>
      <c r="N195" s="220"/>
      <c r="O195" s="1371"/>
      <c r="P195" s="1372"/>
      <c r="Q195" s="1373"/>
      <c r="R195" s="1372"/>
      <c r="S195" s="1373"/>
    </row>
    <row r="196" spans="1:19" ht="15.75" hidden="1">
      <c r="A196" s="23"/>
      <c r="B196" s="1363" t="str">
        <f>'Questions - Fragen'!$A$228</f>
        <v>6.4.2</v>
      </c>
      <c r="C196" s="1364"/>
      <c r="D196" s="1367" t="str">
        <f>D186</f>
        <v>PS3</v>
      </c>
      <c r="E196" s="693"/>
      <c r="F196" s="694" t="str">
        <f>'Questions - Fragen'!E231</f>
        <v>No weak points identified</v>
      </c>
      <c r="G196" s="220"/>
      <c r="H196" s="1360">
        <f>'Questions - Fragen'!D231</f>
        <v>10</v>
      </c>
      <c r="I196" s="1376" t="str">
        <f>IF('Questions - Fragen'!F231="","",'Questions - Fragen'!F231)</f>
        <v/>
      </c>
      <c r="J196" s="220"/>
      <c r="K196" s="985"/>
      <c r="L196" s="988"/>
      <c r="M196" s="985"/>
      <c r="N196" s="220"/>
      <c r="O196" s="1371"/>
      <c r="P196" s="1372"/>
      <c r="Q196" s="1373"/>
      <c r="R196" s="1372"/>
      <c r="S196" s="1373"/>
    </row>
    <row r="197" spans="1:19" ht="15.75" hidden="1">
      <c r="A197" s="23"/>
      <c r="B197" s="1363" t="str">
        <f>'Questions - Fragen'!$A$228</f>
        <v>6.4.2</v>
      </c>
      <c r="C197" s="1364"/>
      <c r="D197" s="1367" t="str">
        <f t="shared" ref="D197:D203" si="13">D187</f>
        <v>PS4</v>
      </c>
      <c r="E197" s="693"/>
      <c r="F197" s="694" t="str">
        <f>'Questions - Fragen'!E232</f>
        <v>No weak points identified</v>
      </c>
      <c r="G197" s="220"/>
      <c r="H197" s="1360">
        <f>'Questions - Fragen'!D232</f>
        <v>10</v>
      </c>
      <c r="I197" s="1376"/>
      <c r="J197" s="220"/>
      <c r="K197" s="985"/>
      <c r="L197" s="988"/>
      <c r="M197" s="985"/>
      <c r="N197" s="220"/>
      <c r="O197" s="1371"/>
      <c r="P197" s="1372"/>
      <c r="Q197" s="1373"/>
      <c r="R197" s="1372"/>
      <c r="S197" s="1373"/>
    </row>
    <row r="198" spans="1:19" ht="15.75" hidden="1">
      <c r="A198" s="23"/>
      <c r="B198" s="1363" t="str">
        <f>'Questions - Fragen'!$A$228</f>
        <v>6.4.2</v>
      </c>
      <c r="C198" s="1364"/>
      <c r="D198" s="1367" t="str">
        <f t="shared" si="13"/>
        <v>PS5</v>
      </c>
      <c r="E198" s="693"/>
      <c r="F198" s="694" t="str">
        <f>'Questions - Fragen'!E233</f>
        <v>No weak points identified</v>
      </c>
      <c r="G198" s="220"/>
      <c r="H198" s="1360">
        <f>'Questions - Fragen'!D233</f>
        <v>10</v>
      </c>
      <c r="I198" s="1376"/>
      <c r="J198" s="220"/>
      <c r="K198" s="985"/>
      <c r="L198" s="988"/>
      <c r="M198" s="985"/>
      <c r="N198" s="220"/>
      <c r="O198" s="1371"/>
      <c r="P198" s="1372"/>
      <c r="Q198" s="1373"/>
      <c r="R198" s="1372"/>
      <c r="S198" s="1373"/>
    </row>
    <row r="199" spans="1:19" ht="15.75" hidden="1">
      <c r="A199" s="23"/>
      <c r="B199" s="1363" t="str">
        <f>'Questions - Fragen'!$A$228</f>
        <v>6.4.2</v>
      </c>
      <c r="C199" s="1364"/>
      <c r="D199" s="1367" t="str">
        <f t="shared" si="13"/>
        <v>PS6</v>
      </c>
      <c r="E199" s="693"/>
      <c r="F199" s="694" t="str">
        <f>'Questions - Fragen'!E234</f>
        <v>Enter text</v>
      </c>
      <c r="G199" s="220"/>
      <c r="H199" s="1360" t="str">
        <f>'Questions - Fragen'!D234</f>
        <v>n.e.</v>
      </c>
      <c r="I199" s="1376"/>
      <c r="J199" s="220"/>
      <c r="K199" s="985"/>
      <c r="L199" s="988"/>
      <c r="M199" s="985"/>
      <c r="N199" s="220"/>
      <c r="O199" s="1371"/>
      <c r="P199" s="1372"/>
      <c r="Q199" s="1373"/>
      <c r="R199" s="1372"/>
      <c r="S199" s="1373"/>
    </row>
    <row r="200" spans="1:19" ht="15.75" hidden="1">
      <c r="A200" s="23"/>
      <c r="B200" s="1363" t="str">
        <f>'Questions - Fragen'!$A$228</f>
        <v>6.4.2</v>
      </c>
      <c r="C200" s="1364"/>
      <c r="D200" s="1367" t="str">
        <f t="shared" si="13"/>
        <v>PS7</v>
      </c>
      <c r="E200" s="693"/>
      <c r="F200" s="694" t="str">
        <f>'Questions - Fragen'!E235</f>
        <v>Enter text</v>
      </c>
      <c r="G200" s="220"/>
      <c r="H200" s="1360" t="str">
        <f>'Questions - Fragen'!D235</f>
        <v>n.e.</v>
      </c>
      <c r="I200" s="1376"/>
      <c r="J200" s="220"/>
      <c r="K200" s="985"/>
      <c r="L200" s="988"/>
      <c r="M200" s="985"/>
      <c r="N200" s="220"/>
      <c r="O200" s="1371"/>
      <c r="P200" s="1372"/>
      <c r="Q200" s="1373"/>
      <c r="R200" s="1372"/>
      <c r="S200" s="1373"/>
    </row>
    <row r="201" spans="1:19" ht="15.75" hidden="1">
      <c r="A201" s="23"/>
      <c r="B201" s="1363" t="str">
        <f>'Questions - Fragen'!$A$228</f>
        <v>6.4.2</v>
      </c>
      <c r="C201" s="1364"/>
      <c r="D201" s="1367" t="str">
        <f t="shared" si="13"/>
        <v>PS8</v>
      </c>
      <c r="E201" s="693"/>
      <c r="F201" s="694" t="str">
        <f>'Questions - Fragen'!E236</f>
        <v>Enter text</v>
      </c>
      <c r="G201" s="220"/>
      <c r="H201" s="1360" t="str">
        <f>'Questions - Fragen'!D236</f>
        <v>n.e.</v>
      </c>
      <c r="I201" s="1376"/>
      <c r="J201" s="220"/>
      <c r="K201" s="985"/>
      <c r="L201" s="988"/>
      <c r="M201" s="985"/>
      <c r="N201" s="220"/>
      <c r="O201" s="1371"/>
      <c r="P201" s="1372"/>
      <c r="Q201" s="1373"/>
      <c r="R201" s="1372"/>
      <c r="S201" s="1373"/>
    </row>
    <row r="202" spans="1:19" ht="15.75" hidden="1">
      <c r="A202" s="23"/>
      <c r="B202" s="1363" t="str">
        <f>'Questions - Fragen'!$A$228</f>
        <v>6.4.2</v>
      </c>
      <c r="C202" s="1364"/>
      <c r="D202" s="1367" t="str">
        <f t="shared" si="13"/>
        <v>PS9</v>
      </c>
      <c r="E202" s="693"/>
      <c r="F202" s="694" t="str">
        <f>'Questions - Fragen'!E237</f>
        <v>Enter text</v>
      </c>
      <c r="G202" s="220"/>
      <c r="H202" s="1360" t="str">
        <f>'Questions - Fragen'!D237</f>
        <v>n.e.</v>
      </c>
      <c r="I202" s="1376"/>
      <c r="J202" s="220"/>
      <c r="K202" s="985"/>
      <c r="L202" s="988"/>
      <c r="M202" s="985"/>
      <c r="N202" s="220"/>
      <c r="O202" s="1371"/>
      <c r="P202" s="1372"/>
      <c r="Q202" s="1373"/>
      <c r="R202" s="1372"/>
      <c r="S202" s="1373"/>
    </row>
    <row r="203" spans="1:19" ht="15.75" hidden="1">
      <c r="A203" s="23"/>
      <c r="B203" s="1363" t="str">
        <f>'Questions - Fragen'!$A$228</f>
        <v>6.4.2</v>
      </c>
      <c r="C203" s="1364"/>
      <c r="D203" s="1367" t="str">
        <f t="shared" si="13"/>
        <v>PS10</v>
      </c>
      <c r="E203" s="693"/>
      <c r="F203" s="694" t="str">
        <f>'Questions - Fragen'!E238</f>
        <v>Enter text</v>
      </c>
      <c r="G203" s="220"/>
      <c r="H203" s="1360" t="str">
        <f>'Questions - Fragen'!D238</f>
        <v>n.e.</v>
      </c>
      <c r="I203" s="1376"/>
      <c r="J203" s="220"/>
      <c r="K203" s="985"/>
      <c r="L203" s="988"/>
      <c r="M203" s="985"/>
      <c r="N203" s="220"/>
      <c r="O203" s="1371"/>
      <c r="P203" s="1372"/>
      <c r="Q203" s="1373"/>
      <c r="R203" s="1372"/>
      <c r="S203" s="1373"/>
    </row>
    <row r="204" spans="1:19" ht="30" hidden="1">
      <c r="A204" s="23"/>
      <c r="B204" s="1361" t="str">
        <f>'Questions - Fragen'!$A$239</f>
        <v>6.4.3</v>
      </c>
      <c r="C204" s="1362"/>
      <c r="D204" s="1366" t="str">
        <f>D194</f>
        <v>PS1</v>
      </c>
      <c r="E204" s="719"/>
      <c r="F204" s="721" t="str">
        <f>'Questions - Fragen'!E240</f>
        <v>Calibrated measurement Tools with ID marking and date was in place</v>
      </c>
      <c r="G204" s="383"/>
      <c r="H204" s="1360">
        <f>'Questions - Fragen'!D240</f>
        <v>10</v>
      </c>
      <c r="I204" s="1375" t="str">
        <f>IF('Questions - Fragen'!F240="","",'Questions - Fragen'!F240)</f>
        <v/>
      </c>
      <c r="J204" s="383"/>
      <c r="K204" s="987"/>
      <c r="L204" s="988"/>
      <c r="M204" s="987"/>
      <c r="N204" s="383"/>
      <c r="O204" s="1368"/>
      <c r="P204" s="1369"/>
      <c r="Q204" s="1370"/>
      <c r="R204" s="1369"/>
      <c r="S204" s="1370"/>
    </row>
    <row r="205" spans="1:19" ht="30" hidden="1">
      <c r="A205" s="23"/>
      <c r="B205" s="1363" t="str">
        <f>'Questions - Fragen'!$A$239</f>
        <v>6.4.3</v>
      </c>
      <c r="C205" s="1364"/>
      <c r="D205" s="1367" t="str">
        <f>D195</f>
        <v>PS2</v>
      </c>
      <c r="E205" s="693"/>
      <c r="F205" s="694" t="str">
        <f>'Questions - Fragen'!E241</f>
        <v>Calibrated measurement Tools with ID marking and date was in place</v>
      </c>
      <c r="G205" s="220"/>
      <c r="H205" s="1360">
        <f>'Questions - Fragen'!D241</f>
        <v>10</v>
      </c>
      <c r="I205" s="1376" t="str">
        <f>IF('Questions - Fragen'!F241="","",'Questions - Fragen'!F241)</f>
        <v/>
      </c>
      <c r="J205" s="220"/>
      <c r="K205" s="985"/>
      <c r="L205" s="988"/>
      <c r="M205" s="985"/>
      <c r="N205" s="220"/>
      <c r="O205" s="1371"/>
      <c r="P205" s="1372"/>
      <c r="Q205" s="1373"/>
      <c r="R205" s="1372"/>
      <c r="S205" s="1373"/>
    </row>
    <row r="206" spans="1:19" ht="15.75" hidden="1">
      <c r="A206" s="23"/>
      <c r="B206" s="1363" t="str">
        <f>'Questions - Fragen'!$A$239</f>
        <v>6.4.3</v>
      </c>
      <c r="C206" s="1364"/>
      <c r="D206" s="1367" t="str">
        <f>D196</f>
        <v>PS3</v>
      </c>
      <c r="E206" s="693"/>
      <c r="F206" s="694">
        <f>'Questions - Fragen'!E242</f>
        <v>0</v>
      </c>
      <c r="G206" s="220"/>
      <c r="H206" s="1360" t="str">
        <f>'Questions - Fragen'!D242</f>
        <v>n.e.</v>
      </c>
      <c r="I206" s="1376" t="str">
        <f>IF('Questions - Fragen'!F242="","",'Questions - Fragen'!F242)</f>
        <v/>
      </c>
      <c r="J206" s="220"/>
      <c r="K206" s="985"/>
      <c r="L206" s="988"/>
      <c r="M206" s="985"/>
      <c r="N206" s="220"/>
      <c r="O206" s="1371"/>
      <c r="P206" s="1372"/>
      <c r="Q206" s="1373"/>
      <c r="R206" s="1372"/>
      <c r="S206" s="1373"/>
    </row>
    <row r="207" spans="1:19" ht="15.75" hidden="1">
      <c r="A207" s="23"/>
      <c r="B207" s="1363" t="str">
        <f>'Questions - Fragen'!$A$239</f>
        <v>6.4.3</v>
      </c>
      <c r="C207" s="1364"/>
      <c r="D207" s="1367" t="str">
        <f t="shared" ref="D207:D213" si="14">D197</f>
        <v>PS4</v>
      </c>
      <c r="E207" s="697"/>
      <c r="F207" s="694">
        <f>'Questions - Fragen'!E243</f>
        <v>0</v>
      </c>
      <c r="G207" s="220"/>
      <c r="H207" s="1360" t="str">
        <f>'Questions - Fragen'!D243</f>
        <v>n.e.</v>
      </c>
      <c r="I207" s="1376"/>
      <c r="J207" s="220"/>
      <c r="K207" s="985"/>
      <c r="L207" s="988"/>
      <c r="M207" s="985"/>
      <c r="N207" s="220"/>
      <c r="O207" s="1371"/>
      <c r="P207" s="1372"/>
      <c r="Q207" s="1373"/>
      <c r="R207" s="1372"/>
      <c r="S207" s="1373"/>
    </row>
    <row r="208" spans="1:19" ht="15.75" hidden="1">
      <c r="A208" s="23"/>
      <c r="B208" s="1363" t="str">
        <f>'Questions - Fragen'!$A$239</f>
        <v>6.4.3</v>
      </c>
      <c r="C208" s="1364"/>
      <c r="D208" s="1367" t="str">
        <f t="shared" si="14"/>
        <v>PS5</v>
      </c>
      <c r="E208" s="697"/>
      <c r="F208" s="694">
        <f>'Questions - Fragen'!E244</f>
        <v>0</v>
      </c>
      <c r="G208" s="220"/>
      <c r="H208" s="1360" t="str">
        <f>'Questions - Fragen'!D244</f>
        <v>n.e.</v>
      </c>
      <c r="I208" s="1376"/>
      <c r="J208" s="220"/>
      <c r="K208" s="985"/>
      <c r="L208" s="988"/>
      <c r="M208" s="985"/>
      <c r="N208" s="220"/>
      <c r="O208" s="1371"/>
      <c r="P208" s="1372"/>
      <c r="Q208" s="1373"/>
      <c r="R208" s="1372"/>
      <c r="S208" s="1373"/>
    </row>
    <row r="209" spans="1:19" ht="15.75" hidden="1">
      <c r="A209" s="23"/>
      <c r="B209" s="1363" t="str">
        <f>'Questions - Fragen'!$A$239</f>
        <v>6.4.3</v>
      </c>
      <c r="C209" s="1364"/>
      <c r="D209" s="1367" t="str">
        <f t="shared" si="14"/>
        <v>PS6</v>
      </c>
      <c r="E209" s="697"/>
      <c r="F209" s="694" t="str">
        <f>'Questions - Fragen'!E245</f>
        <v>Enter text</v>
      </c>
      <c r="G209" s="220"/>
      <c r="H209" s="1360" t="str">
        <f>'Questions - Fragen'!D245</f>
        <v>n.e.</v>
      </c>
      <c r="I209" s="1376"/>
      <c r="J209" s="220"/>
      <c r="K209" s="985"/>
      <c r="L209" s="988"/>
      <c r="M209" s="985"/>
      <c r="N209" s="220"/>
      <c r="O209" s="1371"/>
      <c r="P209" s="1372"/>
      <c r="Q209" s="1373"/>
      <c r="R209" s="1372"/>
      <c r="S209" s="1373"/>
    </row>
    <row r="210" spans="1:19" ht="15.75" hidden="1">
      <c r="A210" s="23"/>
      <c r="B210" s="1363" t="str">
        <f>'Questions - Fragen'!$A$239</f>
        <v>6.4.3</v>
      </c>
      <c r="C210" s="1364"/>
      <c r="D210" s="1367" t="str">
        <f t="shared" si="14"/>
        <v>PS7</v>
      </c>
      <c r="E210" s="697"/>
      <c r="F210" s="694" t="str">
        <f>'Questions - Fragen'!E246</f>
        <v>Enter text</v>
      </c>
      <c r="G210" s="220"/>
      <c r="H210" s="1360" t="str">
        <f>'Questions - Fragen'!D246</f>
        <v>n.e.</v>
      </c>
      <c r="I210" s="1376"/>
      <c r="J210" s="220"/>
      <c r="K210" s="985"/>
      <c r="L210" s="988"/>
      <c r="M210" s="985"/>
      <c r="N210" s="220"/>
      <c r="O210" s="1371"/>
      <c r="P210" s="1372"/>
      <c r="Q210" s="1373"/>
      <c r="R210" s="1372"/>
      <c r="S210" s="1373"/>
    </row>
    <row r="211" spans="1:19" ht="15.75" hidden="1">
      <c r="A211" s="23"/>
      <c r="B211" s="1363" t="str">
        <f>'Questions - Fragen'!$A$239</f>
        <v>6.4.3</v>
      </c>
      <c r="C211" s="1364"/>
      <c r="D211" s="1367" t="str">
        <f t="shared" si="14"/>
        <v>PS8</v>
      </c>
      <c r="E211" s="697"/>
      <c r="F211" s="694" t="str">
        <f>'Questions - Fragen'!E247</f>
        <v>Enter text</v>
      </c>
      <c r="G211" s="220"/>
      <c r="H211" s="1360" t="str">
        <f>'Questions - Fragen'!D247</f>
        <v>n.e.</v>
      </c>
      <c r="I211" s="1376"/>
      <c r="J211" s="220"/>
      <c r="K211" s="985"/>
      <c r="L211" s="988"/>
      <c r="M211" s="985"/>
      <c r="N211" s="220"/>
      <c r="O211" s="1371"/>
      <c r="P211" s="1372"/>
      <c r="Q211" s="1373"/>
      <c r="R211" s="1372"/>
      <c r="S211" s="1373"/>
    </row>
    <row r="212" spans="1:19" ht="15.75" hidden="1">
      <c r="A212" s="23"/>
      <c r="B212" s="1363" t="str">
        <f>'Questions - Fragen'!$A$239</f>
        <v>6.4.3</v>
      </c>
      <c r="C212" s="1364"/>
      <c r="D212" s="1367" t="str">
        <f t="shared" si="14"/>
        <v>PS9</v>
      </c>
      <c r="E212" s="697"/>
      <c r="F212" s="694" t="str">
        <f>'Questions - Fragen'!E248</f>
        <v>Enter text</v>
      </c>
      <c r="G212" s="220"/>
      <c r="H212" s="1360" t="str">
        <f>'Questions - Fragen'!D248</f>
        <v>n.e.</v>
      </c>
      <c r="I212" s="1376"/>
      <c r="J212" s="220"/>
      <c r="K212" s="985"/>
      <c r="L212" s="988"/>
      <c r="M212" s="985"/>
      <c r="N212" s="220"/>
      <c r="O212" s="1371"/>
      <c r="P212" s="1372"/>
      <c r="Q212" s="1373"/>
      <c r="R212" s="1372"/>
      <c r="S212" s="1373"/>
    </row>
    <row r="213" spans="1:19" ht="15.75" hidden="1">
      <c r="A213" s="23"/>
      <c r="B213" s="1363" t="str">
        <f>'Questions - Fragen'!$A$239</f>
        <v>6.4.3</v>
      </c>
      <c r="C213" s="1364"/>
      <c r="D213" s="1367" t="str">
        <f t="shared" si="14"/>
        <v>PS10</v>
      </c>
      <c r="E213" s="697"/>
      <c r="F213" s="694" t="str">
        <f>'Questions - Fragen'!E249</f>
        <v>Enter text</v>
      </c>
      <c r="G213" s="220"/>
      <c r="H213" s="1360" t="str">
        <f>'Questions - Fragen'!D249</f>
        <v>n.e.</v>
      </c>
      <c r="I213" s="1376"/>
      <c r="J213" s="220"/>
      <c r="K213" s="985"/>
      <c r="L213" s="988"/>
      <c r="M213" s="985"/>
      <c r="N213" s="220"/>
      <c r="O213" s="1371"/>
      <c r="P213" s="1372"/>
      <c r="Q213" s="1373"/>
      <c r="R213" s="1372"/>
      <c r="S213" s="1373"/>
    </row>
    <row r="214" spans="1:19" ht="75" hidden="1">
      <c r="A214" s="23"/>
      <c r="B214" s="1361" t="str">
        <f>'Questions - Fragen'!$A$250</f>
        <v>6.4.4</v>
      </c>
      <c r="C214" s="1362"/>
      <c r="D214" s="1366" t="str">
        <f>D204</f>
        <v>PS1</v>
      </c>
      <c r="E214" s="720"/>
      <c r="F214" s="721" t="str">
        <f>'Questions - Fragen'!E251</f>
        <v>Good ventilation and lightning</v>
      </c>
      <c r="G214" s="383"/>
      <c r="H214" s="1360">
        <f>'Questions - Fragen'!D251</f>
        <v>10</v>
      </c>
      <c r="I214" s="1375" t="str">
        <f>IF('Questions - Fragen'!F251="","",'Questions - Fragen'!F251)</f>
        <v/>
      </c>
      <c r="J214" s="383"/>
      <c r="K214" s="987" t="s">
        <v>1006</v>
      </c>
      <c r="L214" s="988"/>
      <c r="M214" s="987" t="s">
        <v>1007</v>
      </c>
      <c r="N214" s="383"/>
      <c r="O214" s="1368" t="s">
        <v>1008</v>
      </c>
      <c r="P214" s="1374"/>
      <c r="Q214" s="1370" t="s">
        <v>1009</v>
      </c>
      <c r="R214" s="1374"/>
      <c r="S214" s="1370" t="s">
        <v>1010</v>
      </c>
    </row>
    <row r="215" spans="1:19" ht="75" hidden="1">
      <c r="A215" s="23"/>
      <c r="B215" s="1363" t="str">
        <f>'Questions - Fragen'!$A$250</f>
        <v>6.4.4</v>
      </c>
      <c r="C215" s="1364"/>
      <c r="D215" s="1367" t="str">
        <f>D205</f>
        <v>PS2</v>
      </c>
      <c r="E215" s="697"/>
      <c r="F215" s="694">
        <f>'Questions - Fragen'!E252</f>
        <v>0</v>
      </c>
      <c r="G215" s="220"/>
      <c r="H215" s="1360" t="str">
        <f>'Questions - Fragen'!D252</f>
        <v>n.e.</v>
      </c>
      <c r="I215" s="1376" t="str">
        <f>IF('Questions - Fragen'!F252="","",'Questions - Fragen'!F252)</f>
        <v/>
      </c>
      <c r="J215" s="220"/>
      <c r="K215" s="987" t="s">
        <v>1006</v>
      </c>
      <c r="L215" s="988"/>
      <c r="M215" s="987" t="s">
        <v>1007</v>
      </c>
      <c r="N215" s="383"/>
      <c r="O215" s="1368" t="s">
        <v>1008</v>
      </c>
      <c r="P215" s="1374"/>
      <c r="Q215" s="1370" t="s">
        <v>1009</v>
      </c>
      <c r="R215" s="1374"/>
      <c r="S215" s="1370" t="s">
        <v>1010</v>
      </c>
    </row>
    <row r="216" spans="1:19" ht="15.75" hidden="1">
      <c r="A216" s="23"/>
      <c r="B216" s="1363" t="str">
        <f>'Questions - Fragen'!$A$250</f>
        <v>6.4.4</v>
      </c>
      <c r="C216" s="1364"/>
      <c r="D216" s="1367" t="str">
        <f>D206</f>
        <v>PS3</v>
      </c>
      <c r="E216" s="697"/>
      <c r="F216" s="694">
        <f>'Questions - Fragen'!E253</f>
        <v>0</v>
      </c>
      <c r="G216" s="220"/>
      <c r="H216" s="1360" t="str">
        <f>'Questions - Fragen'!D253</f>
        <v>n.e.</v>
      </c>
      <c r="I216" s="1376" t="str">
        <f>IF('Questions - Fragen'!F253="","",'Questions - Fragen'!F253)</f>
        <v/>
      </c>
      <c r="J216" s="220"/>
      <c r="K216" s="985"/>
      <c r="L216" s="988"/>
      <c r="M216" s="985"/>
      <c r="N216" s="220"/>
      <c r="O216" s="1371"/>
      <c r="P216" s="1372"/>
      <c r="Q216" s="1373"/>
      <c r="R216" s="1372"/>
      <c r="S216" s="1373"/>
    </row>
    <row r="217" spans="1:19" ht="15.75" hidden="1">
      <c r="A217" s="23"/>
      <c r="B217" s="1363" t="str">
        <f>'Questions - Fragen'!$A$250</f>
        <v>6.4.4</v>
      </c>
      <c r="C217" s="1364"/>
      <c r="D217" s="1367" t="str">
        <f t="shared" ref="D217:D223" si="15">D207</f>
        <v>PS4</v>
      </c>
      <c r="E217" s="697"/>
      <c r="F217" s="694" t="str">
        <f>'Questions - Fragen'!E254</f>
        <v>Enter text</v>
      </c>
      <c r="G217" s="220"/>
      <c r="H217" s="1360" t="str">
        <f>'Questions - Fragen'!D254</f>
        <v>n.e.</v>
      </c>
      <c r="I217" s="1376"/>
      <c r="J217" s="220"/>
      <c r="K217" s="985"/>
      <c r="L217" s="988"/>
      <c r="M217" s="985"/>
      <c r="N217" s="220"/>
      <c r="O217" s="1371"/>
      <c r="P217" s="1372"/>
      <c r="Q217" s="1373"/>
      <c r="R217" s="1372"/>
      <c r="S217" s="1373"/>
    </row>
    <row r="218" spans="1:19" ht="15.75" hidden="1">
      <c r="A218" s="23"/>
      <c r="B218" s="1363" t="str">
        <f>'Questions - Fragen'!$A$250</f>
        <v>6.4.4</v>
      </c>
      <c r="C218" s="1364"/>
      <c r="D218" s="1367" t="str">
        <f t="shared" si="15"/>
        <v>PS5</v>
      </c>
      <c r="E218" s="697"/>
      <c r="F218" s="694" t="str">
        <f>'Questions - Fragen'!E255</f>
        <v>Enter text</v>
      </c>
      <c r="G218" s="220"/>
      <c r="H218" s="1360" t="str">
        <f>'Questions - Fragen'!D255</f>
        <v>n.e.</v>
      </c>
      <c r="I218" s="1376"/>
      <c r="J218" s="220"/>
      <c r="K218" s="985"/>
      <c r="L218" s="988"/>
      <c r="M218" s="985"/>
      <c r="N218" s="220"/>
      <c r="O218" s="1371"/>
      <c r="P218" s="1372"/>
      <c r="Q218" s="1373"/>
      <c r="R218" s="1372"/>
      <c r="S218" s="1373"/>
    </row>
    <row r="219" spans="1:19" ht="15.75" hidden="1">
      <c r="A219" s="23"/>
      <c r="B219" s="1363" t="str">
        <f>'Questions - Fragen'!$A$250</f>
        <v>6.4.4</v>
      </c>
      <c r="C219" s="1364"/>
      <c r="D219" s="1367" t="str">
        <f t="shared" si="15"/>
        <v>PS6</v>
      </c>
      <c r="E219" s="697"/>
      <c r="F219" s="694" t="str">
        <f>'Questions - Fragen'!E256</f>
        <v>Enter text</v>
      </c>
      <c r="G219" s="220"/>
      <c r="H219" s="1360" t="str">
        <f>'Questions - Fragen'!D256</f>
        <v>n.e.</v>
      </c>
      <c r="I219" s="1376"/>
      <c r="J219" s="220"/>
      <c r="K219" s="985"/>
      <c r="L219" s="988"/>
      <c r="M219" s="985"/>
      <c r="N219" s="220"/>
      <c r="O219" s="1371"/>
      <c r="P219" s="1372"/>
      <c r="Q219" s="1373"/>
      <c r="R219" s="1372"/>
      <c r="S219" s="1373"/>
    </row>
    <row r="220" spans="1:19" ht="15.75" hidden="1">
      <c r="A220" s="23"/>
      <c r="B220" s="1363" t="str">
        <f>'Questions - Fragen'!$A$250</f>
        <v>6.4.4</v>
      </c>
      <c r="C220" s="1364"/>
      <c r="D220" s="1367" t="str">
        <f t="shared" si="15"/>
        <v>PS7</v>
      </c>
      <c r="E220" s="697"/>
      <c r="F220" s="694" t="str">
        <f>'Questions - Fragen'!E257</f>
        <v>Enter text</v>
      </c>
      <c r="G220" s="220"/>
      <c r="H220" s="1360" t="str">
        <f>'Questions - Fragen'!D257</f>
        <v>n.e.</v>
      </c>
      <c r="I220" s="1376"/>
      <c r="J220" s="220"/>
      <c r="K220" s="985"/>
      <c r="L220" s="988"/>
      <c r="M220" s="985"/>
      <c r="N220" s="220"/>
      <c r="O220" s="1371"/>
      <c r="P220" s="1372"/>
      <c r="Q220" s="1373"/>
      <c r="R220" s="1372"/>
      <c r="S220" s="1373"/>
    </row>
    <row r="221" spans="1:19" ht="15.75" hidden="1">
      <c r="A221" s="23"/>
      <c r="B221" s="1363" t="str">
        <f>'Questions - Fragen'!$A$250</f>
        <v>6.4.4</v>
      </c>
      <c r="C221" s="1364"/>
      <c r="D221" s="1367" t="str">
        <f t="shared" si="15"/>
        <v>PS8</v>
      </c>
      <c r="E221" s="697"/>
      <c r="F221" s="694" t="str">
        <f>'Questions - Fragen'!E258</f>
        <v>Enter text</v>
      </c>
      <c r="G221" s="220"/>
      <c r="H221" s="1360" t="str">
        <f>'Questions - Fragen'!D258</f>
        <v>n.e.</v>
      </c>
      <c r="I221" s="1376"/>
      <c r="J221" s="220"/>
      <c r="K221" s="985"/>
      <c r="L221" s="988"/>
      <c r="M221" s="985"/>
      <c r="N221" s="220"/>
      <c r="O221" s="1371"/>
      <c r="P221" s="1372"/>
      <c r="Q221" s="1373"/>
      <c r="R221" s="1372"/>
      <c r="S221" s="1373"/>
    </row>
    <row r="222" spans="1:19" ht="15.75" hidden="1">
      <c r="A222" s="23"/>
      <c r="B222" s="1363" t="str">
        <f>'Questions - Fragen'!$A$250</f>
        <v>6.4.4</v>
      </c>
      <c r="C222" s="1364"/>
      <c r="D222" s="1367" t="str">
        <f t="shared" si="15"/>
        <v>PS9</v>
      </c>
      <c r="E222" s="697"/>
      <c r="F222" s="694" t="str">
        <f>'Questions - Fragen'!E259</f>
        <v>Enter text</v>
      </c>
      <c r="G222" s="220"/>
      <c r="H222" s="1360" t="str">
        <f>'Questions - Fragen'!D259</f>
        <v>n.e.</v>
      </c>
      <c r="I222" s="1376"/>
      <c r="J222" s="220"/>
      <c r="K222" s="985"/>
      <c r="L222" s="988"/>
      <c r="M222" s="985"/>
      <c r="N222" s="220"/>
      <c r="O222" s="1371"/>
      <c r="P222" s="1372"/>
      <c r="Q222" s="1373"/>
      <c r="R222" s="1372"/>
      <c r="S222" s="1373"/>
    </row>
    <row r="223" spans="1:19" ht="15.75" hidden="1">
      <c r="A223" s="23"/>
      <c r="B223" s="1363" t="str">
        <f>'Questions - Fragen'!$A$250</f>
        <v>6.4.4</v>
      </c>
      <c r="C223" s="1364"/>
      <c r="D223" s="1367" t="str">
        <f t="shared" si="15"/>
        <v>PS10</v>
      </c>
      <c r="E223" s="697"/>
      <c r="F223" s="694" t="str">
        <f>'Questions - Fragen'!E260</f>
        <v>Enter text</v>
      </c>
      <c r="G223" s="220"/>
      <c r="H223" s="1360" t="str">
        <f>'Questions - Fragen'!D260</f>
        <v>n.e.</v>
      </c>
      <c r="I223" s="1376"/>
      <c r="J223" s="220"/>
      <c r="K223" s="985"/>
      <c r="L223" s="988"/>
      <c r="M223" s="985"/>
      <c r="N223" s="220"/>
      <c r="O223" s="1371"/>
      <c r="P223" s="1372"/>
      <c r="Q223" s="1373"/>
      <c r="R223" s="1372"/>
      <c r="S223" s="1373"/>
    </row>
    <row r="224" spans="1:19" ht="15.75" hidden="1">
      <c r="A224" s="23"/>
      <c r="B224" s="1361" t="str">
        <f>'Questions - Fragen'!$A$261</f>
        <v>6.4.5</v>
      </c>
      <c r="C224" s="1362"/>
      <c r="D224" s="1366" t="str">
        <f>D214</f>
        <v>PS1</v>
      </c>
      <c r="E224" s="720"/>
      <c r="F224" s="721" t="str">
        <f>'Questions - Fragen'!E262</f>
        <v>No weak points identified</v>
      </c>
      <c r="G224" s="383"/>
      <c r="H224" s="1360">
        <f>'Questions - Fragen'!D262</f>
        <v>10</v>
      </c>
      <c r="I224" s="1375" t="str">
        <f>IF('Questions - Fragen'!F262="","",'Questions - Fragen'!F262)</f>
        <v/>
      </c>
      <c r="J224" s="383"/>
      <c r="K224" s="987"/>
      <c r="L224" s="988"/>
      <c r="M224" s="987"/>
      <c r="N224" s="383"/>
      <c r="O224" s="1368"/>
      <c r="P224" s="1369"/>
      <c r="Q224" s="1370"/>
      <c r="R224" s="1369"/>
      <c r="S224" s="1370"/>
    </row>
    <row r="225" spans="1:19" ht="15.75" hidden="1">
      <c r="A225" s="23"/>
      <c r="B225" s="1363" t="str">
        <f>'Questions - Fragen'!$A$261</f>
        <v>6.4.5</v>
      </c>
      <c r="C225" s="1364"/>
      <c r="D225" s="1367" t="str">
        <f>D215</f>
        <v>PS2</v>
      </c>
      <c r="E225" s="697"/>
      <c r="F225" s="694" t="str">
        <f>'Questions - Fragen'!E263</f>
        <v>No weak points identified</v>
      </c>
      <c r="G225" s="220"/>
      <c r="H225" s="1360">
        <f>'Questions - Fragen'!D263</f>
        <v>10</v>
      </c>
      <c r="I225" s="1376" t="str">
        <f>IF('Questions - Fragen'!F263="","",'Questions - Fragen'!F263)</f>
        <v/>
      </c>
      <c r="J225" s="220"/>
      <c r="K225" s="985"/>
      <c r="L225" s="988"/>
      <c r="M225" s="985"/>
      <c r="N225" s="220"/>
      <c r="O225" s="1371"/>
      <c r="P225" s="1372"/>
      <c r="Q225" s="1373"/>
      <c r="R225" s="1372"/>
      <c r="S225" s="1373"/>
    </row>
    <row r="226" spans="1:19" ht="15.75" hidden="1">
      <c r="A226" s="23"/>
      <c r="B226" s="1363" t="str">
        <f>'Questions - Fragen'!$A$261</f>
        <v>6.4.5</v>
      </c>
      <c r="C226" s="1364"/>
      <c r="D226" s="1367" t="str">
        <f>D216</f>
        <v>PS3</v>
      </c>
      <c r="E226" s="697"/>
      <c r="F226" s="694" t="str">
        <f>'Questions - Fragen'!E264</f>
        <v>Tools are stored in designated / marked Area</v>
      </c>
      <c r="G226" s="220"/>
      <c r="H226" s="1360" t="str">
        <f>'Questions - Fragen'!D264</f>
        <v>n.e.</v>
      </c>
      <c r="I226" s="1376" t="str">
        <f>IF('Questions - Fragen'!F264="","",'Questions - Fragen'!F264)</f>
        <v/>
      </c>
      <c r="J226" s="220"/>
      <c r="K226" s="985"/>
      <c r="L226" s="988"/>
      <c r="M226" s="985"/>
      <c r="N226" s="220"/>
      <c r="O226" s="1371"/>
      <c r="P226" s="1372"/>
      <c r="Q226" s="1373"/>
      <c r="R226" s="1372"/>
      <c r="S226" s="1373"/>
    </row>
    <row r="227" spans="1:19" ht="15.75" hidden="1">
      <c r="A227" s="23"/>
      <c r="B227" s="1363" t="str">
        <f>'Questions - Fragen'!$A$261</f>
        <v>6.4.5</v>
      </c>
      <c r="C227" s="1364"/>
      <c r="D227" s="1367" t="str">
        <f t="shared" ref="D227:D233" si="16">D217</f>
        <v>PS4</v>
      </c>
      <c r="E227" s="697"/>
      <c r="F227" s="694" t="str">
        <f>'Questions - Fragen'!E265</f>
        <v>Enter text</v>
      </c>
      <c r="G227" s="220"/>
      <c r="H227" s="1360" t="str">
        <f>'Questions - Fragen'!D265</f>
        <v>n.e.</v>
      </c>
      <c r="I227" s="1376"/>
      <c r="J227" s="220"/>
      <c r="K227" s="985"/>
      <c r="L227" s="988"/>
      <c r="M227" s="985"/>
      <c r="N227" s="220"/>
      <c r="O227" s="1371"/>
      <c r="P227" s="1372"/>
      <c r="Q227" s="1373"/>
      <c r="R227" s="1372"/>
      <c r="S227" s="1373"/>
    </row>
    <row r="228" spans="1:19" ht="15.75" hidden="1">
      <c r="A228" s="23"/>
      <c r="B228" s="1363" t="str">
        <f>'Questions - Fragen'!$A$261</f>
        <v>6.4.5</v>
      </c>
      <c r="C228" s="1364"/>
      <c r="D228" s="1367" t="str">
        <f t="shared" si="16"/>
        <v>PS5</v>
      </c>
      <c r="E228" s="697"/>
      <c r="F228" s="694" t="str">
        <f>'Questions - Fragen'!E266</f>
        <v>Tools are stored in designated / marked Area</v>
      </c>
      <c r="G228" s="220"/>
      <c r="H228" s="1360" t="str">
        <f>'Questions - Fragen'!D266</f>
        <v>n.e.</v>
      </c>
      <c r="I228" s="1376"/>
      <c r="J228" s="220"/>
      <c r="K228" s="985"/>
      <c r="L228" s="988"/>
      <c r="M228" s="985"/>
      <c r="N228" s="220"/>
      <c r="O228" s="1371"/>
      <c r="P228" s="1372"/>
      <c r="Q228" s="1373"/>
      <c r="R228" s="1372"/>
      <c r="S228" s="1373"/>
    </row>
    <row r="229" spans="1:19" ht="15.75" hidden="1">
      <c r="A229" s="23"/>
      <c r="B229" s="1363" t="str">
        <f>'Questions - Fragen'!$A$261</f>
        <v>6.4.5</v>
      </c>
      <c r="C229" s="1364"/>
      <c r="D229" s="1367" t="str">
        <f t="shared" si="16"/>
        <v>PS6</v>
      </c>
      <c r="E229" s="697"/>
      <c r="F229" s="694" t="str">
        <f>'Questions - Fragen'!E267</f>
        <v>Enter text</v>
      </c>
      <c r="G229" s="220"/>
      <c r="H229" s="1360" t="str">
        <f>'Questions - Fragen'!D267</f>
        <v>n.e.</v>
      </c>
      <c r="I229" s="1376"/>
      <c r="J229" s="220"/>
      <c r="K229" s="985"/>
      <c r="L229" s="988"/>
      <c r="M229" s="985"/>
      <c r="N229" s="220"/>
      <c r="O229" s="1371"/>
      <c r="P229" s="1372"/>
      <c r="Q229" s="1373"/>
      <c r="R229" s="1372"/>
      <c r="S229" s="1373"/>
    </row>
    <row r="230" spans="1:19" ht="15.75" hidden="1">
      <c r="A230" s="23"/>
      <c r="B230" s="1363" t="str">
        <f>'Questions - Fragen'!$A$261</f>
        <v>6.4.5</v>
      </c>
      <c r="C230" s="1364"/>
      <c r="D230" s="1367" t="str">
        <f t="shared" si="16"/>
        <v>PS7</v>
      </c>
      <c r="E230" s="697"/>
      <c r="F230" s="694" t="str">
        <f>'Questions - Fragen'!E268</f>
        <v>Enter text</v>
      </c>
      <c r="G230" s="220"/>
      <c r="H230" s="1360" t="str">
        <f>'Questions - Fragen'!D268</f>
        <v>n.e.</v>
      </c>
      <c r="I230" s="1376"/>
      <c r="J230" s="220"/>
      <c r="K230" s="985"/>
      <c r="L230" s="988"/>
      <c r="M230" s="985"/>
      <c r="N230" s="220"/>
      <c r="O230" s="1371"/>
      <c r="P230" s="1372"/>
      <c r="Q230" s="1373"/>
      <c r="R230" s="1372"/>
      <c r="S230" s="1373"/>
    </row>
    <row r="231" spans="1:19" ht="15.75" hidden="1">
      <c r="A231" s="23"/>
      <c r="B231" s="1363" t="str">
        <f>'Questions - Fragen'!$A$261</f>
        <v>6.4.5</v>
      </c>
      <c r="C231" s="1364"/>
      <c r="D231" s="1367" t="str">
        <f t="shared" si="16"/>
        <v>PS8</v>
      </c>
      <c r="E231" s="697"/>
      <c r="F231" s="694" t="str">
        <f>'Questions - Fragen'!E269</f>
        <v>Enter text</v>
      </c>
      <c r="G231" s="220"/>
      <c r="H231" s="1360" t="str">
        <f>'Questions - Fragen'!D269</f>
        <v>n.e.</v>
      </c>
      <c r="I231" s="1376"/>
      <c r="J231" s="220"/>
      <c r="K231" s="985"/>
      <c r="L231" s="988"/>
      <c r="M231" s="985"/>
      <c r="N231" s="220"/>
      <c r="O231" s="1371"/>
      <c r="P231" s="1372"/>
      <c r="Q231" s="1373"/>
      <c r="R231" s="1372"/>
      <c r="S231" s="1373"/>
    </row>
    <row r="232" spans="1:19" ht="15.75" hidden="1">
      <c r="A232" s="23"/>
      <c r="B232" s="1363" t="str">
        <f>'Questions - Fragen'!$A$261</f>
        <v>6.4.5</v>
      </c>
      <c r="C232" s="1364"/>
      <c r="D232" s="1367" t="str">
        <f t="shared" si="16"/>
        <v>PS9</v>
      </c>
      <c r="E232" s="697"/>
      <c r="F232" s="694" t="str">
        <f>'Questions - Fragen'!E270</f>
        <v>Enter text</v>
      </c>
      <c r="G232" s="220"/>
      <c r="H232" s="1360" t="str">
        <f>'Questions - Fragen'!D270</f>
        <v>n.e.</v>
      </c>
      <c r="I232" s="1376"/>
      <c r="J232" s="220"/>
      <c r="K232" s="985"/>
      <c r="L232" s="988"/>
      <c r="M232" s="985"/>
      <c r="N232" s="220"/>
      <c r="O232" s="1371"/>
      <c r="P232" s="1372"/>
      <c r="Q232" s="1373"/>
      <c r="R232" s="1372"/>
      <c r="S232" s="1373"/>
    </row>
    <row r="233" spans="1:19" ht="15.75" hidden="1">
      <c r="A233" s="23"/>
      <c r="B233" s="1363" t="str">
        <f>'Questions - Fragen'!$A$261</f>
        <v>6.4.5</v>
      </c>
      <c r="C233" s="1364"/>
      <c r="D233" s="1367" t="str">
        <f t="shared" si="16"/>
        <v>PS10</v>
      </c>
      <c r="E233" s="697"/>
      <c r="F233" s="694" t="str">
        <f>'Questions - Fragen'!E271</f>
        <v>Enter text</v>
      </c>
      <c r="G233" s="220"/>
      <c r="H233" s="1360" t="str">
        <f>'Questions - Fragen'!D271</f>
        <v>n.e.</v>
      </c>
      <c r="I233" s="1376"/>
      <c r="J233" s="220"/>
      <c r="K233" s="985"/>
      <c r="L233" s="988"/>
      <c r="M233" s="985"/>
      <c r="N233" s="220"/>
      <c r="O233" s="1371"/>
      <c r="P233" s="1372"/>
      <c r="Q233" s="1373"/>
      <c r="R233" s="1372"/>
      <c r="S233" s="1373"/>
    </row>
    <row r="234" spans="1:19" ht="15.75" hidden="1">
      <c r="A234" s="23"/>
      <c r="B234" s="1363" t="str">
        <f>'Questions - Fragen'!$A$273</f>
        <v>6.5.1</v>
      </c>
      <c r="C234" s="1365"/>
      <c r="D234" s="1367" t="str">
        <f>D224</f>
        <v>PS1</v>
      </c>
      <c r="E234" s="693"/>
      <c r="F234" s="694" t="str">
        <f>'Questions - Fragen'!E274</f>
        <v>No weak points identified</v>
      </c>
      <c r="G234" s="220"/>
      <c r="H234" s="1360">
        <f>'Questions - Fragen'!D274</f>
        <v>10</v>
      </c>
      <c r="I234" s="1376" t="str">
        <f>IF('Questions - Fragen'!F274="","",'Questions - Fragen'!F274)</f>
        <v/>
      </c>
      <c r="J234" s="220"/>
      <c r="K234" s="985"/>
      <c r="L234" s="988"/>
      <c r="M234" s="985"/>
      <c r="N234" s="220"/>
      <c r="O234" s="1371"/>
      <c r="P234" s="1372"/>
      <c r="Q234" s="1373"/>
      <c r="R234" s="1372"/>
      <c r="S234" s="1373"/>
    </row>
    <row r="235" spans="1:19" ht="15.75" hidden="1">
      <c r="A235" s="23"/>
      <c r="B235" s="1363" t="str">
        <f>'Questions - Fragen'!$A$273</f>
        <v>6.5.1</v>
      </c>
      <c r="C235" s="1364"/>
      <c r="D235" s="1367" t="str">
        <f>D225</f>
        <v>PS2</v>
      </c>
      <c r="E235" s="693"/>
      <c r="F235" s="694" t="str">
        <f>'Questions - Fragen'!E275</f>
        <v>No weak points identified</v>
      </c>
      <c r="G235" s="220"/>
      <c r="H235" s="1360">
        <f>'Questions - Fragen'!D275</f>
        <v>10</v>
      </c>
      <c r="I235" s="1376" t="str">
        <f>IF('Questions - Fragen'!F275="","",'Questions - Fragen'!F275)</f>
        <v/>
      </c>
      <c r="J235" s="220"/>
      <c r="K235" s="985"/>
      <c r="L235" s="988"/>
      <c r="M235" s="985"/>
      <c r="N235" s="220"/>
      <c r="O235" s="1371"/>
      <c r="P235" s="1372"/>
      <c r="Q235" s="1373"/>
      <c r="R235" s="1372"/>
      <c r="S235" s="1373"/>
    </row>
    <row r="236" spans="1:19" ht="15.75" hidden="1">
      <c r="A236" s="23"/>
      <c r="B236" s="1363" t="str">
        <f>'Questions - Fragen'!$A$273</f>
        <v>6.5.1</v>
      </c>
      <c r="C236" s="1364"/>
      <c r="D236" s="1367" t="str">
        <f>D226</f>
        <v>PS3</v>
      </c>
      <c r="E236" s="693"/>
      <c r="F236" s="694" t="str">
        <f>'Questions - Fragen'!E276</f>
        <v>Enter text</v>
      </c>
      <c r="G236" s="220"/>
      <c r="H236" s="1360" t="str">
        <f>'Questions - Fragen'!D276</f>
        <v>n.e.</v>
      </c>
      <c r="I236" s="1376" t="str">
        <f>IF('Questions - Fragen'!F276="","",'Questions - Fragen'!F276)</f>
        <v/>
      </c>
      <c r="J236" s="220"/>
      <c r="K236" s="985"/>
      <c r="L236" s="988"/>
      <c r="M236" s="985"/>
      <c r="N236" s="220"/>
      <c r="O236" s="1371"/>
      <c r="P236" s="1372"/>
      <c r="Q236" s="1373"/>
      <c r="R236" s="1372"/>
      <c r="S236" s="1373"/>
    </row>
    <row r="237" spans="1:19" ht="15.75" hidden="1">
      <c r="A237" s="23"/>
      <c r="B237" s="1363" t="str">
        <f>'Questions - Fragen'!$A$273</f>
        <v>6.5.1</v>
      </c>
      <c r="C237" s="1364"/>
      <c r="D237" s="1367" t="str">
        <f t="shared" ref="D237:D243" si="17">D227</f>
        <v>PS4</v>
      </c>
      <c r="E237" s="693"/>
      <c r="F237" s="694" t="str">
        <f>'Questions - Fragen'!E277</f>
        <v>Enter text</v>
      </c>
      <c r="G237" s="220"/>
      <c r="H237" s="1360" t="str">
        <f>'Questions - Fragen'!D277</f>
        <v>n.e.</v>
      </c>
      <c r="I237" s="1376"/>
      <c r="J237" s="220"/>
      <c r="K237" s="985"/>
      <c r="L237" s="988"/>
      <c r="M237" s="985"/>
      <c r="N237" s="220"/>
      <c r="O237" s="1371"/>
      <c r="P237" s="1372"/>
      <c r="Q237" s="1373"/>
      <c r="R237" s="1372"/>
      <c r="S237" s="1373"/>
    </row>
    <row r="238" spans="1:19" ht="15.75" hidden="1">
      <c r="A238" s="23"/>
      <c r="B238" s="1363" t="str">
        <f>'Questions - Fragen'!$A$273</f>
        <v>6.5.1</v>
      </c>
      <c r="C238" s="1364"/>
      <c r="D238" s="1367" t="str">
        <f t="shared" si="17"/>
        <v>PS5</v>
      </c>
      <c r="E238" s="693"/>
      <c r="F238" s="694" t="str">
        <f>'Questions - Fragen'!E278</f>
        <v>Enter text</v>
      </c>
      <c r="G238" s="220"/>
      <c r="H238" s="1360" t="str">
        <f>'Questions - Fragen'!D278</f>
        <v>n.e.</v>
      </c>
      <c r="I238" s="1376"/>
      <c r="J238" s="220"/>
      <c r="K238" s="985"/>
      <c r="L238" s="988"/>
      <c r="M238" s="985"/>
      <c r="N238" s="220"/>
      <c r="O238" s="1371"/>
      <c r="P238" s="1372"/>
      <c r="Q238" s="1373"/>
      <c r="R238" s="1372"/>
      <c r="S238" s="1373"/>
    </row>
    <row r="239" spans="1:19" ht="15.75" hidden="1">
      <c r="A239" s="23"/>
      <c r="B239" s="1363" t="str">
        <f>'Questions - Fragen'!$A$273</f>
        <v>6.5.1</v>
      </c>
      <c r="C239" s="1364"/>
      <c r="D239" s="1367" t="str">
        <f t="shared" si="17"/>
        <v>PS6</v>
      </c>
      <c r="E239" s="693"/>
      <c r="F239" s="694" t="str">
        <f>'Questions - Fragen'!E279</f>
        <v>Enter text</v>
      </c>
      <c r="G239" s="220"/>
      <c r="H239" s="1360" t="str">
        <f>'Questions - Fragen'!D279</f>
        <v>n.e.</v>
      </c>
      <c r="I239" s="1376"/>
      <c r="J239" s="220"/>
      <c r="K239" s="985"/>
      <c r="L239" s="988"/>
      <c r="M239" s="985"/>
      <c r="N239" s="220"/>
      <c r="O239" s="1371"/>
      <c r="P239" s="1372"/>
      <c r="Q239" s="1373"/>
      <c r="R239" s="1372"/>
      <c r="S239" s="1373"/>
    </row>
    <row r="240" spans="1:19" ht="15.75" hidden="1">
      <c r="A240" s="23"/>
      <c r="B240" s="1363" t="str">
        <f>'Questions - Fragen'!$A$273</f>
        <v>6.5.1</v>
      </c>
      <c r="C240" s="1364"/>
      <c r="D240" s="1367" t="str">
        <f t="shared" si="17"/>
        <v>PS7</v>
      </c>
      <c r="E240" s="693"/>
      <c r="F240" s="694" t="str">
        <f>'Questions - Fragen'!E280</f>
        <v>Enter text</v>
      </c>
      <c r="G240" s="220"/>
      <c r="H240" s="1360" t="str">
        <f>'Questions - Fragen'!D280</f>
        <v>n.e.</v>
      </c>
      <c r="I240" s="1376"/>
      <c r="J240" s="220"/>
      <c r="K240" s="985"/>
      <c r="L240" s="988"/>
      <c r="M240" s="985"/>
      <c r="N240" s="220"/>
      <c r="O240" s="1371"/>
      <c r="P240" s="1372"/>
      <c r="Q240" s="1373"/>
      <c r="R240" s="1372"/>
      <c r="S240" s="1373"/>
    </row>
    <row r="241" spans="1:19" ht="15.75" hidden="1">
      <c r="A241" s="23"/>
      <c r="B241" s="1363" t="str">
        <f>'Questions - Fragen'!$A$273</f>
        <v>6.5.1</v>
      </c>
      <c r="C241" s="1364"/>
      <c r="D241" s="1367" t="str">
        <f t="shared" si="17"/>
        <v>PS8</v>
      </c>
      <c r="E241" s="693"/>
      <c r="F241" s="694" t="str">
        <f>'Questions - Fragen'!E281</f>
        <v>Enter text</v>
      </c>
      <c r="G241" s="220"/>
      <c r="H241" s="1360" t="str">
        <f>'Questions - Fragen'!D281</f>
        <v>n.e.</v>
      </c>
      <c r="I241" s="1376"/>
      <c r="J241" s="220"/>
      <c r="K241" s="985"/>
      <c r="L241" s="988"/>
      <c r="M241" s="985"/>
      <c r="N241" s="220"/>
      <c r="O241" s="1371"/>
      <c r="P241" s="1372"/>
      <c r="Q241" s="1373"/>
      <c r="R241" s="1372"/>
      <c r="S241" s="1373"/>
    </row>
    <row r="242" spans="1:19" ht="15.75" hidden="1">
      <c r="A242" s="23"/>
      <c r="B242" s="1363" t="str">
        <f>'Questions - Fragen'!$A$273</f>
        <v>6.5.1</v>
      </c>
      <c r="C242" s="1364"/>
      <c r="D242" s="1367" t="str">
        <f t="shared" si="17"/>
        <v>PS9</v>
      </c>
      <c r="E242" s="693"/>
      <c r="F242" s="694" t="str">
        <f>'Questions - Fragen'!E282</f>
        <v>Enter text</v>
      </c>
      <c r="G242" s="220"/>
      <c r="H242" s="1360" t="str">
        <f>'Questions - Fragen'!D282</f>
        <v>n.e.</v>
      </c>
      <c r="I242" s="1376"/>
      <c r="J242" s="220"/>
      <c r="K242" s="985"/>
      <c r="L242" s="988"/>
      <c r="M242" s="985"/>
      <c r="N242" s="220"/>
      <c r="O242" s="1371"/>
      <c r="P242" s="1372"/>
      <c r="Q242" s="1373"/>
      <c r="R242" s="1372"/>
      <c r="S242" s="1373"/>
    </row>
    <row r="243" spans="1:19" ht="15.75" hidden="1">
      <c r="A243" s="23"/>
      <c r="B243" s="1363" t="str">
        <f>'Questions - Fragen'!$A$273</f>
        <v>6.5.1</v>
      </c>
      <c r="C243" s="1364"/>
      <c r="D243" s="1367" t="str">
        <f t="shared" si="17"/>
        <v>PS10</v>
      </c>
      <c r="E243" s="693"/>
      <c r="F243" s="694" t="str">
        <f>'Questions - Fragen'!E283</f>
        <v>Enter text</v>
      </c>
      <c r="G243" s="220"/>
      <c r="H243" s="1360" t="str">
        <f>'Questions - Fragen'!D283</f>
        <v>n.e.</v>
      </c>
      <c r="I243" s="1376"/>
      <c r="J243" s="220"/>
      <c r="K243" s="985"/>
      <c r="L243" s="988"/>
      <c r="M243" s="985"/>
      <c r="N243" s="220"/>
      <c r="O243" s="1371"/>
      <c r="P243" s="1372"/>
      <c r="Q243" s="1373"/>
      <c r="R243" s="1372"/>
      <c r="S243" s="1373"/>
    </row>
    <row r="244" spans="1:19" ht="15.75" hidden="1">
      <c r="A244" s="23"/>
      <c r="B244" s="1361" t="str">
        <f>'Questions - Fragen'!$A$284</f>
        <v>6.5.2</v>
      </c>
      <c r="C244" s="1362"/>
      <c r="D244" s="1366" t="str">
        <f>D234</f>
        <v>PS1</v>
      </c>
      <c r="E244" s="719"/>
      <c r="F244" s="721" t="str">
        <f>'Questions - Fragen'!E285</f>
        <v>No weak points identified</v>
      </c>
      <c r="G244" s="383"/>
      <c r="H244" s="1360">
        <f>'Questions - Fragen'!D285</f>
        <v>10</v>
      </c>
      <c r="I244" s="1375" t="str">
        <f>IF('Questions - Fragen'!F285="","",'Questions - Fragen'!F285)</f>
        <v/>
      </c>
      <c r="J244" s="383"/>
      <c r="K244" s="987"/>
      <c r="L244" s="988"/>
      <c r="M244" s="987"/>
      <c r="N244" s="383"/>
      <c r="O244" s="1368"/>
      <c r="P244" s="1369"/>
      <c r="Q244" s="1370"/>
      <c r="R244" s="1369"/>
      <c r="S244" s="1370"/>
    </row>
    <row r="245" spans="1:19" ht="15.75" hidden="1">
      <c r="A245" s="23"/>
      <c r="B245" s="1363" t="str">
        <f>'Questions - Fragen'!$A$284</f>
        <v>6.5.2</v>
      </c>
      <c r="C245" s="1364"/>
      <c r="D245" s="1367" t="str">
        <f>D235</f>
        <v>PS2</v>
      </c>
      <c r="E245" s="693"/>
      <c r="F245" s="694" t="str">
        <f>'Questions - Fragen'!E286</f>
        <v>No weak points identified</v>
      </c>
      <c r="G245" s="220"/>
      <c r="H245" s="1360">
        <f>'Questions - Fragen'!D286</f>
        <v>10</v>
      </c>
      <c r="I245" s="1376" t="str">
        <f>IF('Questions - Fragen'!F286="","",'Questions - Fragen'!F286)</f>
        <v/>
      </c>
      <c r="J245" s="220"/>
      <c r="K245" s="985"/>
      <c r="L245" s="988"/>
      <c r="M245" s="985"/>
      <c r="N245" s="220"/>
      <c r="O245" s="1371"/>
      <c r="P245" s="1372"/>
      <c r="Q245" s="1373"/>
      <c r="R245" s="1372"/>
      <c r="S245" s="1373"/>
    </row>
    <row r="246" spans="1:19" ht="15.75" hidden="1">
      <c r="A246" s="23"/>
      <c r="B246" s="1363" t="str">
        <f>'Questions - Fragen'!$A$284</f>
        <v>6.5.2</v>
      </c>
      <c r="C246" s="1364"/>
      <c r="D246" s="1367" t="str">
        <f>D236</f>
        <v>PS3</v>
      </c>
      <c r="E246" s="693"/>
      <c r="F246" s="694" t="str">
        <f>'Questions - Fragen'!E287</f>
        <v>Enter text</v>
      </c>
      <c r="G246" s="220"/>
      <c r="H246" s="1360" t="str">
        <f>'Questions - Fragen'!D287</f>
        <v>n.e.</v>
      </c>
      <c r="I246" s="1376" t="str">
        <f>IF('Questions - Fragen'!F287="","",'Questions - Fragen'!F287)</f>
        <v/>
      </c>
      <c r="J246" s="220"/>
      <c r="K246" s="985"/>
      <c r="L246" s="988"/>
      <c r="M246" s="985"/>
      <c r="N246" s="220"/>
      <c r="O246" s="1371"/>
      <c r="P246" s="1372"/>
      <c r="Q246" s="1373"/>
      <c r="R246" s="1372"/>
      <c r="S246" s="1373"/>
    </row>
    <row r="247" spans="1:19" ht="15.75" hidden="1">
      <c r="A247" s="23"/>
      <c r="B247" s="1363" t="str">
        <f>'Questions - Fragen'!$A$284</f>
        <v>6.5.2</v>
      </c>
      <c r="C247" s="1364"/>
      <c r="D247" s="1367" t="str">
        <f t="shared" ref="D247:D253" si="18">D237</f>
        <v>PS4</v>
      </c>
      <c r="E247" s="693"/>
      <c r="F247" s="694" t="str">
        <f>'Questions - Fragen'!E288</f>
        <v>Enter text</v>
      </c>
      <c r="G247" s="220"/>
      <c r="H247" s="1360" t="str">
        <f>'Questions - Fragen'!D288</f>
        <v>n.e.</v>
      </c>
      <c r="I247" s="1376"/>
      <c r="J247" s="220"/>
      <c r="K247" s="985"/>
      <c r="L247" s="988"/>
      <c r="M247" s="985"/>
      <c r="N247" s="220"/>
      <c r="O247" s="1371"/>
      <c r="P247" s="1372"/>
      <c r="Q247" s="1373"/>
      <c r="R247" s="1372"/>
      <c r="S247" s="1373"/>
    </row>
    <row r="248" spans="1:19" ht="15.75" hidden="1">
      <c r="A248" s="23"/>
      <c r="B248" s="1363" t="str">
        <f>'Questions - Fragen'!$A$284</f>
        <v>6.5.2</v>
      </c>
      <c r="C248" s="1364"/>
      <c r="D248" s="1367" t="str">
        <f t="shared" si="18"/>
        <v>PS5</v>
      </c>
      <c r="E248" s="693"/>
      <c r="F248" s="694" t="str">
        <f>'Questions - Fragen'!E289</f>
        <v>Enter text</v>
      </c>
      <c r="G248" s="220"/>
      <c r="H248" s="1360" t="str">
        <f>'Questions - Fragen'!D289</f>
        <v>n.e.</v>
      </c>
      <c r="I248" s="1376"/>
      <c r="J248" s="220"/>
      <c r="K248" s="985"/>
      <c r="L248" s="988"/>
      <c r="M248" s="985"/>
      <c r="N248" s="220"/>
      <c r="O248" s="1371"/>
      <c r="P248" s="1372"/>
      <c r="Q248" s="1373"/>
      <c r="R248" s="1372"/>
      <c r="S248" s="1373"/>
    </row>
    <row r="249" spans="1:19" ht="15.75" hidden="1">
      <c r="A249" s="23"/>
      <c r="B249" s="1363" t="str">
        <f>'Questions - Fragen'!$A$284</f>
        <v>6.5.2</v>
      </c>
      <c r="C249" s="1364"/>
      <c r="D249" s="1367" t="str">
        <f t="shared" si="18"/>
        <v>PS6</v>
      </c>
      <c r="E249" s="693"/>
      <c r="F249" s="694" t="str">
        <f>'Questions - Fragen'!E290</f>
        <v>Enter text</v>
      </c>
      <c r="G249" s="220"/>
      <c r="H249" s="1360" t="str">
        <f>'Questions - Fragen'!D290</f>
        <v>n.e.</v>
      </c>
      <c r="I249" s="1376"/>
      <c r="J249" s="220"/>
      <c r="K249" s="985"/>
      <c r="L249" s="988"/>
      <c r="M249" s="985"/>
      <c r="N249" s="220"/>
      <c r="O249" s="1371"/>
      <c r="P249" s="1372"/>
      <c r="Q249" s="1373"/>
      <c r="R249" s="1372"/>
      <c r="S249" s="1373"/>
    </row>
    <row r="250" spans="1:19" ht="15.75" hidden="1">
      <c r="A250" s="23"/>
      <c r="B250" s="1363" t="str">
        <f>'Questions - Fragen'!$A$284</f>
        <v>6.5.2</v>
      </c>
      <c r="C250" s="1364"/>
      <c r="D250" s="1367" t="str">
        <f t="shared" si="18"/>
        <v>PS7</v>
      </c>
      <c r="E250" s="693"/>
      <c r="F250" s="694" t="str">
        <f>'Questions - Fragen'!E291</f>
        <v>Enter text</v>
      </c>
      <c r="G250" s="220"/>
      <c r="H250" s="1360" t="str">
        <f>'Questions - Fragen'!D291</f>
        <v>n.e.</v>
      </c>
      <c r="I250" s="1376"/>
      <c r="J250" s="220"/>
      <c r="K250" s="985"/>
      <c r="L250" s="988"/>
      <c r="M250" s="985"/>
      <c r="N250" s="220"/>
      <c r="O250" s="1371"/>
      <c r="P250" s="1372"/>
      <c r="Q250" s="1373"/>
      <c r="R250" s="1372"/>
      <c r="S250" s="1373"/>
    </row>
    <row r="251" spans="1:19" ht="15.75" hidden="1">
      <c r="A251" s="23"/>
      <c r="B251" s="1363" t="str">
        <f>'Questions - Fragen'!$A$284</f>
        <v>6.5.2</v>
      </c>
      <c r="C251" s="1364"/>
      <c r="D251" s="1367" t="str">
        <f t="shared" si="18"/>
        <v>PS8</v>
      </c>
      <c r="E251" s="693"/>
      <c r="F251" s="694" t="str">
        <f>'Questions - Fragen'!E292</f>
        <v>Enter text</v>
      </c>
      <c r="G251" s="220"/>
      <c r="H251" s="1360" t="str">
        <f>'Questions - Fragen'!D292</f>
        <v>n.e.</v>
      </c>
      <c r="I251" s="1376"/>
      <c r="J251" s="220"/>
      <c r="K251" s="985"/>
      <c r="L251" s="988"/>
      <c r="M251" s="985"/>
      <c r="N251" s="220"/>
      <c r="O251" s="1371"/>
      <c r="P251" s="1372"/>
      <c r="Q251" s="1373"/>
      <c r="R251" s="1372"/>
      <c r="S251" s="1373"/>
    </row>
    <row r="252" spans="1:19" ht="15.75" hidden="1">
      <c r="A252" s="23"/>
      <c r="B252" s="1363" t="str">
        <f>'Questions - Fragen'!$A$284</f>
        <v>6.5.2</v>
      </c>
      <c r="C252" s="1364"/>
      <c r="D252" s="1367" t="str">
        <f t="shared" si="18"/>
        <v>PS9</v>
      </c>
      <c r="E252" s="693"/>
      <c r="F252" s="694" t="str">
        <f>'Questions - Fragen'!E293</f>
        <v>Enter text</v>
      </c>
      <c r="G252" s="220"/>
      <c r="H252" s="1360" t="str">
        <f>'Questions - Fragen'!D293</f>
        <v>n.e.</v>
      </c>
      <c r="I252" s="1376"/>
      <c r="J252" s="220"/>
      <c r="K252" s="985"/>
      <c r="L252" s="988"/>
      <c r="M252" s="985"/>
      <c r="N252" s="220"/>
      <c r="O252" s="1371"/>
      <c r="P252" s="1372"/>
      <c r="Q252" s="1373"/>
      <c r="R252" s="1372"/>
      <c r="S252" s="1373"/>
    </row>
    <row r="253" spans="1:19" ht="15.75" hidden="1">
      <c r="A253" s="23"/>
      <c r="B253" s="1363" t="str">
        <f>'Questions - Fragen'!$A$284</f>
        <v>6.5.2</v>
      </c>
      <c r="C253" s="1364"/>
      <c r="D253" s="1367" t="str">
        <f t="shared" si="18"/>
        <v>PS10</v>
      </c>
      <c r="E253" s="693"/>
      <c r="F253" s="694" t="str">
        <f>'Questions - Fragen'!E294</f>
        <v>Enter text</v>
      </c>
      <c r="G253" s="220"/>
      <c r="H253" s="1360" t="str">
        <f>'Questions - Fragen'!D294</f>
        <v>n.e.</v>
      </c>
      <c r="I253" s="1376"/>
      <c r="J253" s="220"/>
      <c r="K253" s="985"/>
      <c r="L253" s="988"/>
      <c r="M253" s="985"/>
      <c r="N253" s="220"/>
      <c r="O253" s="1371"/>
      <c r="P253" s="1372"/>
      <c r="Q253" s="1373"/>
      <c r="R253" s="1372"/>
      <c r="S253" s="1373"/>
    </row>
    <row r="254" spans="1:19" ht="15.75" hidden="1">
      <c r="A254" s="23"/>
      <c r="B254" s="1361" t="str">
        <f>'Questions - Fragen'!$A$295</f>
        <v>6.5.3</v>
      </c>
      <c r="C254" s="1362"/>
      <c r="D254" s="1366" t="str">
        <f>D244</f>
        <v>PS1</v>
      </c>
      <c r="E254" s="719"/>
      <c r="F254" s="721" t="str">
        <f>'Questions - Fragen'!E296</f>
        <v>No weak points identified</v>
      </c>
      <c r="G254" s="383"/>
      <c r="H254" s="1360">
        <f>'Questions - Fragen'!D296</f>
        <v>10</v>
      </c>
      <c r="I254" s="1375" t="str">
        <f>IF('Questions - Fragen'!F296="","",'Questions - Fragen'!F296)</f>
        <v/>
      </c>
      <c r="J254" s="383"/>
      <c r="K254" s="987"/>
      <c r="L254" s="988"/>
      <c r="M254" s="987"/>
      <c r="N254" s="383"/>
      <c r="O254" s="1368"/>
      <c r="P254" s="1369"/>
      <c r="Q254" s="1370"/>
      <c r="R254" s="1369"/>
      <c r="S254" s="1370"/>
    </row>
    <row r="255" spans="1:19" ht="15.75" hidden="1">
      <c r="A255" s="23"/>
      <c r="B255" s="1363" t="str">
        <f>'Questions - Fragen'!$A$295</f>
        <v>6.5.3</v>
      </c>
      <c r="C255" s="1364"/>
      <c r="D255" s="1367" t="str">
        <f>D245</f>
        <v>PS2</v>
      </c>
      <c r="E255" s="693"/>
      <c r="F255" s="694" t="str">
        <f>'Questions - Fragen'!E297</f>
        <v>No weak points identified</v>
      </c>
      <c r="G255" s="220"/>
      <c r="H255" s="1360">
        <f>'Questions - Fragen'!D297</f>
        <v>10</v>
      </c>
      <c r="I255" s="1376" t="str">
        <f>IF('Questions - Fragen'!F297="","",'Questions - Fragen'!F297)</f>
        <v/>
      </c>
      <c r="J255" s="220"/>
      <c r="K255" s="985"/>
      <c r="L255" s="988"/>
      <c r="M255" s="985"/>
      <c r="N255" s="220"/>
      <c r="O255" s="1371"/>
      <c r="P255" s="1372"/>
      <c r="Q255" s="1373"/>
      <c r="R255" s="1372"/>
      <c r="S255" s="1373"/>
    </row>
    <row r="256" spans="1:19" ht="15.75" hidden="1">
      <c r="A256" s="23"/>
      <c r="B256" s="1363" t="str">
        <f>'Questions - Fragen'!$A$295</f>
        <v>6.5.3</v>
      </c>
      <c r="C256" s="1364"/>
      <c r="D256" s="1367" t="str">
        <f>D246</f>
        <v>PS3</v>
      </c>
      <c r="E256" s="693"/>
      <c r="F256" s="694" t="str">
        <f>'Questions - Fragen'!E298</f>
        <v>Enter text</v>
      </c>
      <c r="G256" s="220"/>
      <c r="H256" s="1360" t="str">
        <f>'Questions - Fragen'!D298</f>
        <v>n.e.</v>
      </c>
      <c r="I256" s="1376" t="str">
        <f>IF('Questions - Fragen'!F298="","",'Questions - Fragen'!F298)</f>
        <v/>
      </c>
      <c r="J256" s="220"/>
      <c r="K256" s="985"/>
      <c r="L256" s="988"/>
      <c r="M256" s="985"/>
      <c r="N256" s="220"/>
      <c r="O256" s="1371"/>
      <c r="P256" s="1372"/>
      <c r="Q256" s="1373"/>
      <c r="R256" s="1372"/>
      <c r="S256" s="1373"/>
    </row>
    <row r="257" spans="1:19" ht="15.75" hidden="1">
      <c r="A257" s="23"/>
      <c r="B257" s="1363" t="str">
        <f>'Questions - Fragen'!$A$295</f>
        <v>6.5.3</v>
      </c>
      <c r="C257" s="1364"/>
      <c r="D257" s="1367" t="str">
        <f t="shared" ref="D257:D263" si="19">D247</f>
        <v>PS4</v>
      </c>
      <c r="E257" s="697"/>
      <c r="F257" s="694" t="str">
        <f>'Questions - Fragen'!E299</f>
        <v>Enter text</v>
      </c>
      <c r="G257" s="220"/>
      <c r="H257" s="1360" t="str">
        <f>'Questions - Fragen'!D299</f>
        <v>n.e.</v>
      </c>
      <c r="I257" s="1376"/>
      <c r="J257" s="220"/>
      <c r="K257" s="985"/>
      <c r="L257" s="988"/>
      <c r="M257" s="985"/>
      <c r="N257" s="220"/>
      <c r="O257" s="1371"/>
      <c r="P257" s="1372"/>
      <c r="Q257" s="1373"/>
      <c r="R257" s="1372"/>
      <c r="S257" s="1373"/>
    </row>
    <row r="258" spans="1:19" ht="15.75" hidden="1">
      <c r="A258" s="23"/>
      <c r="B258" s="1363" t="str">
        <f>'Questions - Fragen'!$A$295</f>
        <v>6.5.3</v>
      </c>
      <c r="C258" s="1364"/>
      <c r="D258" s="1367" t="str">
        <f t="shared" si="19"/>
        <v>PS5</v>
      </c>
      <c r="E258" s="697"/>
      <c r="F258" s="694" t="str">
        <f>'Questions - Fragen'!E300</f>
        <v>Enter text</v>
      </c>
      <c r="G258" s="220"/>
      <c r="H258" s="1360" t="str">
        <f>'Questions - Fragen'!D300</f>
        <v>n.e.</v>
      </c>
      <c r="I258" s="1376"/>
      <c r="J258" s="220"/>
      <c r="K258" s="985"/>
      <c r="L258" s="988"/>
      <c r="M258" s="985"/>
      <c r="N258" s="220"/>
      <c r="O258" s="1371"/>
      <c r="P258" s="1372"/>
      <c r="Q258" s="1373"/>
      <c r="R258" s="1372"/>
      <c r="S258" s="1373"/>
    </row>
    <row r="259" spans="1:19" ht="15.75" hidden="1">
      <c r="A259" s="23"/>
      <c r="B259" s="1363" t="str">
        <f>'Questions - Fragen'!$A$295</f>
        <v>6.5.3</v>
      </c>
      <c r="C259" s="1364"/>
      <c r="D259" s="1367" t="str">
        <f t="shared" si="19"/>
        <v>PS6</v>
      </c>
      <c r="E259" s="697"/>
      <c r="F259" s="694" t="str">
        <f>'Questions - Fragen'!E301</f>
        <v>Enter text</v>
      </c>
      <c r="G259" s="220"/>
      <c r="H259" s="1360" t="str">
        <f>'Questions - Fragen'!D301</f>
        <v>n.e.</v>
      </c>
      <c r="I259" s="1376"/>
      <c r="J259" s="220"/>
      <c r="K259" s="985"/>
      <c r="L259" s="988"/>
      <c r="M259" s="985"/>
      <c r="N259" s="220"/>
      <c r="O259" s="1371"/>
      <c r="P259" s="1372"/>
      <c r="Q259" s="1373"/>
      <c r="R259" s="1372"/>
      <c r="S259" s="1373"/>
    </row>
    <row r="260" spans="1:19" ht="15.75" hidden="1">
      <c r="A260" s="23"/>
      <c r="B260" s="1363" t="str">
        <f>'Questions - Fragen'!$A$295</f>
        <v>6.5.3</v>
      </c>
      <c r="C260" s="1364"/>
      <c r="D260" s="1367" t="str">
        <f t="shared" si="19"/>
        <v>PS7</v>
      </c>
      <c r="E260" s="697"/>
      <c r="F260" s="694" t="str">
        <f>'Questions - Fragen'!E302</f>
        <v>Enter text</v>
      </c>
      <c r="G260" s="220"/>
      <c r="H260" s="1360" t="str">
        <f>'Questions - Fragen'!D302</f>
        <v>n.e.</v>
      </c>
      <c r="I260" s="1376"/>
      <c r="J260" s="220"/>
      <c r="K260" s="985"/>
      <c r="L260" s="988"/>
      <c r="M260" s="985"/>
      <c r="N260" s="220"/>
      <c r="O260" s="1371"/>
      <c r="P260" s="1372"/>
      <c r="Q260" s="1373"/>
      <c r="R260" s="1372"/>
      <c r="S260" s="1373"/>
    </row>
    <row r="261" spans="1:19" ht="15.75" hidden="1">
      <c r="A261" s="23"/>
      <c r="B261" s="1363" t="str">
        <f>'Questions - Fragen'!$A$295</f>
        <v>6.5.3</v>
      </c>
      <c r="C261" s="1364"/>
      <c r="D261" s="1367" t="str">
        <f t="shared" si="19"/>
        <v>PS8</v>
      </c>
      <c r="E261" s="697"/>
      <c r="F261" s="694" t="str">
        <f>'Questions - Fragen'!E303</f>
        <v>Enter text</v>
      </c>
      <c r="G261" s="220"/>
      <c r="H261" s="1360" t="str">
        <f>'Questions - Fragen'!D303</f>
        <v>n.e.</v>
      </c>
      <c r="I261" s="1376"/>
      <c r="J261" s="220"/>
      <c r="K261" s="985"/>
      <c r="L261" s="988"/>
      <c r="M261" s="985"/>
      <c r="N261" s="220"/>
      <c r="O261" s="1371"/>
      <c r="P261" s="1372"/>
      <c r="Q261" s="1373"/>
      <c r="R261" s="1372"/>
      <c r="S261" s="1373"/>
    </row>
    <row r="262" spans="1:19" ht="15.75" hidden="1">
      <c r="A262" s="23"/>
      <c r="B262" s="1363" t="str">
        <f>'Questions - Fragen'!$A$295</f>
        <v>6.5.3</v>
      </c>
      <c r="C262" s="1364"/>
      <c r="D262" s="1367" t="str">
        <f t="shared" si="19"/>
        <v>PS9</v>
      </c>
      <c r="E262" s="697"/>
      <c r="F262" s="694" t="str">
        <f>'Questions - Fragen'!E304</f>
        <v>Enter text</v>
      </c>
      <c r="G262" s="220"/>
      <c r="H262" s="1360" t="str">
        <f>'Questions - Fragen'!D304</f>
        <v>n.e.</v>
      </c>
      <c r="I262" s="1376"/>
      <c r="J262" s="220"/>
      <c r="K262" s="985"/>
      <c r="L262" s="988"/>
      <c r="M262" s="985"/>
      <c r="N262" s="220"/>
      <c r="O262" s="1371"/>
      <c r="P262" s="1372"/>
      <c r="Q262" s="1373"/>
      <c r="R262" s="1372"/>
      <c r="S262" s="1373"/>
    </row>
    <row r="263" spans="1:19" ht="15.75" hidden="1">
      <c r="A263" s="23"/>
      <c r="B263" s="1363" t="str">
        <f>'Questions - Fragen'!$A$295</f>
        <v>6.5.3</v>
      </c>
      <c r="C263" s="1364"/>
      <c r="D263" s="1367" t="str">
        <f t="shared" si="19"/>
        <v>PS10</v>
      </c>
      <c r="E263" s="697"/>
      <c r="F263" s="694" t="str">
        <f>'Questions - Fragen'!E305</f>
        <v>Enter text</v>
      </c>
      <c r="G263" s="220"/>
      <c r="H263" s="1360" t="str">
        <f>'Questions - Fragen'!D305</f>
        <v>n.e.</v>
      </c>
      <c r="I263" s="1376"/>
      <c r="J263" s="220"/>
      <c r="K263" s="985"/>
      <c r="L263" s="988"/>
      <c r="M263" s="985"/>
      <c r="N263" s="220"/>
      <c r="O263" s="1371"/>
      <c r="P263" s="1372"/>
      <c r="Q263" s="1373"/>
      <c r="R263" s="1372"/>
      <c r="S263" s="1373"/>
    </row>
    <row r="264" spans="1:19" ht="15.75" hidden="1">
      <c r="A264" s="23"/>
      <c r="B264" s="1361" t="str">
        <f>'Questions - Fragen'!$A$306</f>
        <v>6.5.4</v>
      </c>
      <c r="C264" s="1362"/>
      <c r="D264" s="1366" t="str">
        <f>D254</f>
        <v>PS1</v>
      </c>
      <c r="E264" s="720"/>
      <c r="F264" s="721" t="str">
        <f>'Questions - Fragen'!E307</f>
        <v>According to Audit plan</v>
      </c>
      <c r="G264" s="383"/>
      <c r="H264" s="1360">
        <f>'Questions - Fragen'!D307</f>
        <v>10</v>
      </c>
      <c r="I264" s="1375" t="str">
        <f>IF('Questions - Fragen'!F307="","",'Questions - Fragen'!F307)</f>
        <v/>
      </c>
      <c r="J264" s="383"/>
      <c r="K264" s="987"/>
      <c r="L264" s="988"/>
      <c r="M264" s="987"/>
      <c r="N264" s="383"/>
      <c r="O264" s="1368"/>
      <c r="P264" s="1369"/>
      <c r="Q264" s="1370"/>
      <c r="R264" s="1369"/>
      <c r="S264" s="1370"/>
    </row>
    <row r="265" spans="1:19" ht="15.75" hidden="1">
      <c r="A265" s="23"/>
      <c r="B265" s="1363" t="str">
        <f>'Questions - Fragen'!$A$306</f>
        <v>6.5.4</v>
      </c>
      <c r="C265" s="1364"/>
      <c r="D265" s="1367" t="str">
        <f>D255</f>
        <v>PS2</v>
      </c>
      <c r="E265" s="697"/>
      <c r="F265" s="694" t="str">
        <f>'Questions - Fragen'!E308</f>
        <v>According to Audit plan</v>
      </c>
      <c r="G265" s="220"/>
      <c r="H265" s="1360">
        <f>'Questions - Fragen'!D308</f>
        <v>10</v>
      </c>
      <c r="I265" s="1376" t="str">
        <f>IF('Questions - Fragen'!F308="","",'Questions - Fragen'!F308)</f>
        <v/>
      </c>
      <c r="J265" s="220"/>
      <c r="K265" s="985"/>
      <c r="L265" s="988"/>
      <c r="M265" s="985"/>
      <c r="N265" s="220"/>
      <c r="O265" s="1371"/>
      <c r="P265" s="1372"/>
      <c r="Q265" s="1373"/>
      <c r="R265" s="1372"/>
      <c r="S265" s="1373"/>
    </row>
    <row r="266" spans="1:19" ht="15.75" hidden="1">
      <c r="A266" s="23"/>
      <c r="B266" s="1363" t="str">
        <f>'Questions - Fragen'!$A$306</f>
        <v>6.5.4</v>
      </c>
      <c r="C266" s="1364"/>
      <c r="D266" s="1367" t="str">
        <f>D256</f>
        <v>PS3</v>
      </c>
      <c r="E266" s="697"/>
      <c r="F266" s="694" t="str">
        <f>'Questions - Fragen'!E309</f>
        <v>According to Audit plan</v>
      </c>
      <c r="G266" s="220"/>
      <c r="H266" s="1360" t="str">
        <f>'Questions - Fragen'!D309</f>
        <v>n.e.</v>
      </c>
      <c r="I266" s="1376" t="str">
        <f>IF('Questions - Fragen'!F309="","",'Questions - Fragen'!F309)</f>
        <v/>
      </c>
      <c r="J266" s="220"/>
      <c r="K266" s="985"/>
      <c r="L266" s="988"/>
      <c r="M266" s="985"/>
      <c r="N266" s="220"/>
      <c r="O266" s="1371"/>
      <c r="P266" s="1372"/>
      <c r="Q266" s="1373"/>
      <c r="R266" s="1372"/>
      <c r="S266" s="1373"/>
    </row>
    <row r="267" spans="1:19" ht="15.75" hidden="1">
      <c r="A267" s="23"/>
      <c r="B267" s="1363" t="str">
        <f>'Questions - Fragen'!$A$306</f>
        <v>6.5.4</v>
      </c>
      <c r="C267" s="1364"/>
      <c r="D267" s="1367" t="str">
        <f t="shared" ref="D267:D273" si="20">D257</f>
        <v>PS4</v>
      </c>
      <c r="E267" s="697"/>
      <c r="F267" s="694" t="str">
        <f>'Questions - Fragen'!E310</f>
        <v>According to Audit plan</v>
      </c>
      <c r="G267" s="220"/>
      <c r="H267" s="1360" t="str">
        <f>'Questions - Fragen'!D310</f>
        <v>n.e.</v>
      </c>
      <c r="I267" s="1376"/>
      <c r="J267" s="220"/>
      <c r="K267" s="985"/>
      <c r="L267" s="988"/>
      <c r="M267" s="985"/>
      <c r="N267" s="220"/>
      <c r="O267" s="1371"/>
      <c r="P267" s="1372"/>
      <c r="Q267" s="1373"/>
      <c r="R267" s="1372"/>
      <c r="S267" s="1373"/>
    </row>
    <row r="268" spans="1:19" ht="15.75" hidden="1">
      <c r="A268" s="23"/>
      <c r="B268" s="1363" t="str">
        <f>'Questions - Fragen'!$A$306</f>
        <v>6.5.4</v>
      </c>
      <c r="C268" s="1364"/>
      <c r="D268" s="1367" t="str">
        <f t="shared" si="20"/>
        <v>PS5</v>
      </c>
      <c r="E268" s="697"/>
      <c r="F268" s="694" t="str">
        <f>'Questions - Fragen'!E311</f>
        <v>According to Audit plan</v>
      </c>
      <c r="G268" s="220"/>
      <c r="H268" s="1360" t="str">
        <f>'Questions - Fragen'!D311</f>
        <v>n.e.</v>
      </c>
      <c r="I268" s="1376"/>
      <c r="J268" s="220"/>
      <c r="K268" s="985"/>
      <c r="L268" s="988"/>
      <c r="M268" s="985"/>
      <c r="N268" s="220"/>
      <c r="O268" s="1371"/>
      <c r="P268" s="1372"/>
      <c r="Q268" s="1373"/>
      <c r="R268" s="1372"/>
      <c r="S268" s="1373"/>
    </row>
    <row r="269" spans="1:19" ht="15.75" hidden="1">
      <c r="A269" s="23"/>
      <c r="B269" s="1363" t="str">
        <f>'Questions - Fragen'!$A$306</f>
        <v>6.5.4</v>
      </c>
      <c r="C269" s="1364"/>
      <c r="D269" s="1367" t="str">
        <f t="shared" si="20"/>
        <v>PS6</v>
      </c>
      <c r="E269" s="697"/>
      <c r="F269" s="694" t="str">
        <f>'Questions - Fragen'!E312</f>
        <v>Enter text</v>
      </c>
      <c r="G269" s="220"/>
      <c r="H269" s="1360" t="str">
        <f>'Questions - Fragen'!D312</f>
        <v>n.e.</v>
      </c>
      <c r="I269" s="1376"/>
      <c r="J269" s="220"/>
      <c r="K269" s="985"/>
      <c r="L269" s="988"/>
      <c r="M269" s="985"/>
      <c r="N269" s="220"/>
      <c r="O269" s="1371"/>
      <c r="P269" s="1372"/>
      <c r="Q269" s="1373"/>
      <c r="R269" s="1372"/>
      <c r="S269" s="1373"/>
    </row>
    <row r="270" spans="1:19" ht="15.75" hidden="1">
      <c r="A270" s="23"/>
      <c r="B270" s="1363" t="str">
        <f>'Questions - Fragen'!$A$306</f>
        <v>6.5.4</v>
      </c>
      <c r="C270" s="1364"/>
      <c r="D270" s="1367" t="str">
        <f t="shared" si="20"/>
        <v>PS7</v>
      </c>
      <c r="E270" s="697"/>
      <c r="F270" s="694" t="str">
        <f>'Questions - Fragen'!E313</f>
        <v>Enter text</v>
      </c>
      <c r="G270" s="220"/>
      <c r="H270" s="1360" t="str">
        <f>'Questions - Fragen'!D313</f>
        <v>n.e.</v>
      </c>
      <c r="I270" s="1376"/>
      <c r="J270" s="220"/>
      <c r="K270" s="985"/>
      <c r="L270" s="988"/>
      <c r="M270" s="985"/>
      <c r="N270" s="220"/>
      <c r="O270" s="1371"/>
      <c r="P270" s="1372"/>
      <c r="Q270" s="1373"/>
      <c r="R270" s="1372"/>
      <c r="S270" s="1373"/>
    </row>
    <row r="271" spans="1:19" ht="15.75" hidden="1">
      <c r="A271" s="23"/>
      <c r="B271" s="1363" t="str">
        <f>'Questions - Fragen'!$A$306</f>
        <v>6.5.4</v>
      </c>
      <c r="C271" s="1364"/>
      <c r="D271" s="1367" t="str">
        <f t="shared" si="20"/>
        <v>PS8</v>
      </c>
      <c r="E271" s="697"/>
      <c r="F271" s="694" t="str">
        <f>'Questions - Fragen'!E314</f>
        <v>Enter text</v>
      </c>
      <c r="G271" s="220"/>
      <c r="H271" s="1360" t="str">
        <f>'Questions - Fragen'!D314</f>
        <v>n.e.</v>
      </c>
      <c r="I271" s="1376"/>
      <c r="J271" s="220"/>
      <c r="K271" s="985"/>
      <c r="L271" s="988"/>
      <c r="M271" s="985"/>
      <c r="N271" s="220"/>
      <c r="O271" s="1371"/>
      <c r="P271" s="1372"/>
      <c r="Q271" s="1373"/>
      <c r="R271" s="1372"/>
      <c r="S271" s="1373"/>
    </row>
    <row r="272" spans="1:19" ht="15.75" hidden="1">
      <c r="A272" s="23"/>
      <c r="B272" s="1363" t="str">
        <f>'Questions - Fragen'!$A$306</f>
        <v>6.5.4</v>
      </c>
      <c r="C272" s="1364"/>
      <c r="D272" s="1367" t="str">
        <f t="shared" si="20"/>
        <v>PS9</v>
      </c>
      <c r="E272" s="697"/>
      <c r="F272" s="694" t="str">
        <f>'Questions - Fragen'!E315</f>
        <v>Enter text</v>
      </c>
      <c r="G272" s="220"/>
      <c r="H272" s="1360" t="str">
        <f>'Questions - Fragen'!D315</f>
        <v>n.e.</v>
      </c>
      <c r="I272" s="1376"/>
      <c r="J272" s="220"/>
      <c r="K272" s="985"/>
      <c r="L272" s="988"/>
      <c r="M272" s="985"/>
      <c r="N272" s="220"/>
      <c r="O272" s="1371"/>
      <c r="P272" s="1372"/>
      <c r="Q272" s="1373"/>
      <c r="R272" s="1372"/>
      <c r="S272" s="1373"/>
    </row>
    <row r="273" spans="1:19" ht="15.75" hidden="1">
      <c r="A273" s="23"/>
      <c r="B273" s="1363" t="str">
        <f>'Questions - Fragen'!$A$306</f>
        <v>6.5.4</v>
      </c>
      <c r="C273" s="1364"/>
      <c r="D273" s="1367" t="str">
        <f t="shared" si="20"/>
        <v>PS10</v>
      </c>
      <c r="E273" s="697"/>
      <c r="F273" s="694" t="str">
        <f>'Questions - Fragen'!E316</f>
        <v>Enter text</v>
      </c>
      <c r="G273" s="220"/>
      <c r="H273" s="1360" t="str">
        <f>'Questions - Fragen'!D316</f>
        <v>n.e.</v>
      </c>
      <c r="I273" s="1376"/>
      <c r="J273" s="220"/>
      <c r="K273" s="985"/>
      <c r="L273" s="988"/>
      <c r="M273" s="985"/>
      <c r="N273" s="220"/>
      <c r="O273" s="1371"/>
      <c r="P273" s="1372"/>
      <c r="Q273" s="1373"/>
      <c r="R273" s="1372"/>
      <c r="S273" s="1373"/>
    </row>
    <row r="274" spans="1:19" ht="15.75" hidden="1">
      <c r="A274" s="23"/>
      <c r="B274" s="1363" t="str">
        <f>'Questions - Fragen'!$A$318</f>
        <v>6.6.1</v>
      </c>
      <c r="C274" s="1365"/>
      <c r="D274" s="1367" t="str">
        <f t="shared" ref="D274" si="21">D264</f>
        <v>PS1</v>
      </c>
      <c r="E274" s="693"/>
      <c r="F274" s="694" t="str">
        <f>'Questions - Fragen'!E319</f>
        <v>No weak points identified</v>
      </c>
      <c r="G274" s="220"/>
      <c r="H274" s="1360">
        <f>'Questions - Fragen'!D319</f>
        <v>10</v>
      </c>
      <c r="I274" s="1376" t="str">
        <f>IF('Questions - Fragen'!F319="","",'Questions - Fragen'!F319)</f>
        <v/>
      </c>
      <c r="J274" s="220"/>
      <c r="K274" s="985"/>
      <c r="L274" s="988"/>
      <c r="M274" s="985"/>
      <c r="N274" s="220"/>
      <c r="O274" s="1371"/>
      <c r="P274" s="1372"/>
      <c r="Q274" s="1373"/>
      <c r="R274" s="1372"/>
      <c r="S274" s="1373"/>
    </row>
    <row r="275" spans="1:19" ht="15.75" hidden="1">
      <c r="A275" s="23"/>
      <c r="B275" s="1363" t="str">
        <f>'Questions - Fragen'!$A$318</f>
        <v>6.6.1</v>
      </c>
      <c r="C275" s="1364"/>
      <c r="D275" s="1367" t="str">
        <f>D265</f>
        <v>PS2</v>
      </c>
      <c r="E275" s="693"/>
      <c r="F275" s="694" t="str">
        <f>'Questions - Fragen'!E320</f>
        <v>No weak points identified</v>
      </c>
      <c r="G275" s="220"/>
      <c r="H275" s="1360">
        <f>'Questions - Fragen'!D320</f>
        <v>10</v>
      </c>
      <c r="I275" s="1376" t="str">
        <f>IF('Questions - Fragen'!F320="","",'Questions - Fragen'!F320)</f>
        <v/>
      </c>
      <c r="J275" s="220"/>
      <c r="K275" s="985"/>
      <c r="L275" s="988"/>
      <c r="M275" s="985"/>
      <c r="N275" s="220"/>
      <c r="O275" s="1371"/>
      <c r="P275" s="1372"/>
      <c r="Q275" s="1373"/>
      <c r="R275" s="1372"/>
      <c r="S275" s="1373"/>
    </row>
    <row r="276" spans="1:19" ht="15.75" hidden="1">
      <c r="A276" s="23"/>
      <c r="B276" s="1363" t="str">
        <f>'Questions - Fragen'!$A$318</f>
        <v>6.6.1</v>
      </c>
      <c r="C276" s="1364"/>
      <c r="D276" s="1367" t="str">
        <f>D266</f>
        <v>PS3</v>
      </c>
      <c r="E276" s="693"/>
      <c r="F276" s="694" t="str">
        <f>'Questions - Fragen'!E321</f>
        <v>Enter text</v>
      </c>
      <c r="G276" s="220"/>
      <c r="H276" s="1360" t="str">
        <f>'Questions - Fragen'!D321</f>
        <v>n.e.</v>
      </c>
      <c r="I276" s="1376" t="str">
        <f>IF('Questions - Fragen'!F321="","",'Questions - Fragen'!F321)</f>
        <v/>
      </c>
      <c r="J276" s="220"/>
      <c r="K276" s="985"/>
      <c r="L276" s="988"/>
      <c r="M276" s="985"/>
      <c r="N276" s="220"/>
      <c r="O276" s="1371"/>
      <c r="P276" s="1372"/>
      <c r="Q276" s="1373"/>
      <c r="R276" s="1372"/>
      <c r="S276" s="1373"/>
    </row>
    <row r="277" spans="1:19" ht="15.75" hidden="1">
      <c r="A277" s="23"/>
      <c r="B277" s="1363" t="str">
        <f>'Questions - Fragen'!$A$318</f>
        <v>6.6.1</v>
      </c>
      <c r="C277" s="1364"/>
      <c r="D277" s="1367" t="str">
        <f t="shared" ref="D277:D283" si="22">D267</f>
        <v>PS4</v>
      </c>
      <c r="E277" s="693"/>
      <c r="F277" s="694" t="str">
        <f>'Questions - Fragen'!E322</f>
        <v>Enter text</v>
      </c>
      <c r="G277" s="220"/>
      <c r="H277" s="1360" t="str">
        <f>'Questions - Fragen'!D322</f>
        <v>n.e.</v>
      </c>
      <c r="I277" s="1376"/>
      <c r="J277" s="220"/>
      <c r="K277" s="985"/>
      <c r="L277" s="988"/>
      <c r="M277" s="985"/>
      <c r="N277" s="220"/>
      <c r="O277" s="1371"/>
      <c r="P277" s="1372"/>
      <c r="Q277" s="1373"/>
      <c r="R277" s="1372"/>
      <c r="S277" s="1373"/>
    </row>
    <row r="278" spans="1:19" ht="15.75" hidden="1">
      <c r="A278" s="23"/>
      <c r="B278" s="1363" t="str">
        <f>'Questions - Fragen'!$A$318</f>
        <v>6.6.1</v>
      </c>
      <c r="C278" s="1364"/>
      <c r="D278" s="1367" t="str">
        <f t="shared" si="22"/>
        <v>PS5</v>
      </c>
      <c r="E278" s="693"/>
      <c r="F278" s="694" t="str">
        <f>'Questions - Fragen'!E323</f>
        <v>Enter text</v>
      </c>
      <c r="G278" s="220"/>
      <c r="H278" s="1360" t="str">
        <f>'Questions - Fragen'!D323</f>
        <v>n.e.</v>
      </c>
      <c r="I278" s="1376"/>
      <c r="J278" s="220"/>
      <c r="K278" s="985"/>
      <c r="L278" s="988"/>
      <c r="M278" s="985"/>
      <c r="N278" s="220"/>
      <c r="O278" s="1371"/>
      <c r="P278" s="1372"/>
      <c r="Q278" s="1373"/>
      <c r="R278" s="1372"/>
      <c r="S278" s="1373"/>
    </row>
    <row r="279" spans="1:19" ht="15.75" hidden="1">
      <c r="A279" s="23"/>
      <c r="B279" s="1363" t="str">
        <f>'Questions - Fragen'!$A$318</f>
        <v>6.6.1</v>
      </c>
      <c r="C279" s="1364"/>
      <c r="D279" s="1367" t="str">
        <f t="shared" si="22"/>
        <v>PS6</v>
      </c>
      <c r="E279" s="693"/>
      <c r="F279" s="694" t="str">
        <f>'Questions - Fragen'!E324</f>
        <v>Enter text</v>
      </c>
      <c r="G279" s="220"/>
      <c r="H279" s="1360" t="str">
        <f>'Questions - Fragen'!D324</f>
        <v>n.e.</v>
      </c>
      <c r="I279" s="1376"/>
      <c r="J279" s="220"/>
      <c r="K279" s="985"/>
      <c r="L279" s="988"/>
      <c r="M279" s="985"/>
      <c r="N279" s="220"/>
      <c r="O279" s="1371"/>
      <c r="P279" s="1372"/>
      <c r="Q279" s="1373"/>
      <c r="R279" s="1372"/>
      <c r="S279" s="1373"/>
    </row>
    <row r="280" spans="1:19" ht="15.75" hidden="1">
      <c r="A280" s="23"/>
      <c r="B280" s="1363" t="str">
        <f>'Questions - Fragen'!$A$318</f>
        <v>6.6.1</v>
      </c>
      <c r="C280" s="1364"/>
      <c r="D280" s="1367" t="str">
        <f t="shared" si="22"/>
        <v>PS7</v>
      </c>
      <c r="E280" s="693"/>
      <c r="F280" s="694" t="str">
        <f>'Questions - Fragen'!E325</f>
        <v>Enter text</v>
      </c>
      <c r="G280" s="220"/>
      <c r="H280" s="1360" t="str">
        <f>'Questions - Fragen'!D325</f>
        <v>n.e.</v>
      </c>
      <c r="I280" s="1376"/>
      <c r="J280" s="220"/>
      <c r="K280" s="985"/>
      <c r="L280" s="988"/>
      <c r="M280" s="985"/>
      <c r="N280" s="220"/>
      <c r="O280" s="1371"/>
      <c r="P280" s="1372"/>
      <c r="Q280" s="1373"/>
      <c r="R280" s="1372"/>
      <c r="S280" s="1373"/>
    </row>
    <row r="281" spans="1:19" ht="15.75" hidden="1">
      <c r="A281" s="23"/>
      <c r="B281" s="1363" t="str">
        <f>'Questions - Fragen'!$A$318</f>
        <v>6.6.1</v>
      </c>
      <c r="C281" s="1364"/>
      <c r="D281" s="1367" t="str">
        <f t="shared" si="22"/>
        <v>PS8</v>
      </c>
      <c r="E281" s="693"/>
      <c r="F281" s="694" t="str">
        <f>'Questions - Fragen'!E326</f>
        <v>Enter text</v>
      </c>
      <c r="G281" s="220"/>
      <c r="H281" s="1360" t="str">
        <f>'Questions - Fragen'!D326</f>
        <v>n.e.</v>
      </c>
      <c r="I281" s="1376"/>
      <c r="J281" s="220"/>
      <c r="K281" s="985"/>
      <c r="L281" s="988"/>
      <c r="M281" s="985"/>
      <c r="N281" s="220"/>
      <c r="O281" s="1371"/>
      <c r="P281" s="1372"/>
      <c r="Q281" s="1373"/>
      <c r="R281" s="1372"/>
      <c r="S281" s="1373"/>
    </row>
    <row r="282" spans="1:19" ht="15.75" hidden="1">
      <c r="A282" s="23"/>
      <c r="B282" s="1363" t="str">
        <f>'Questions - Fragen'!$A$318</f>
        <v>6.6.1</v>
      </c>
      <c r="C282" s="1364"/>
      <c r="D282" s="1367" t="str">
        <f t="shared" si="22"/>
        <v>PS9</v>
      </c>
      <c r="E282" s="693"/>
      <c r="F282" s="694" t="str">
        <f>'Questions - Fragen'!E327</f>
        <v>Enter text</v>
      </c>
      <c r="G282" s="220"/>
      <c r="H282" s="1360" t="str">
        <f>'Questions - Fragen'!D327</f>
        <v>n.e.</v>
      </c>
      <c r="I282" s="1376"/>
      <c r="J282" s="220"/>
      <c r="K282" s="985"/>
      <c r="L282" s="988"/>
      <c r="M282" s="985"/>
      <c r="N282" s="220"/>
      <c r="O282" s="1371"/>
      <c r="P282" s="1372"/>
      <c r="Q282" s="1373"/>
      <c r="R282" s="1372"/>
      <c r="S282" s="1373"/>
    </row>
    <row r="283" spans="1:19" ht="15.75" hidden="1">
      <c r="A283" s="23"/>
      <c r="B283" s="1363" t="str">
        <f>'Questions - Fragen'!$A$318</f>
        <v>6.6.1</v>
      </c>
      <c r="C283" s="1364"/>
      <c r="D283" s="1367" t="str">
        <f t="shared" si="22"/>
        <v>PS10</v>
      </c>
      <c r="E283" s="693"/>
      <c r="F283" s="694" t="str">
        <f>'Questions - Fragen'!E328</f>
        <v>Enter text</v>
      </c>
      <c r="G283" s="220"/>
      <c r="H283" s="1360" t="str">
        <f>'Questions - Fragen'!D328</f>
        <v>n.e.</v>
      </c>
      <c r="I283" s="1376"/>
      <c r="J283" s="220"/>
      <c r="K283" s="985"/>
      <c r="L283" s="988"/>
      <c r="M283" s="985"/>
      <c r="N283" s="220"/>
      <c r="O283" s="1371"/>
      <c r="P283" s="1372"/>
      <c r="Q283" s="1373"/>
      <c r="R283" s="1372"/>
      <c r="S283" s="1373"/>
    </row>
    <row r="284" spans="1:19" ht="15.75" hidden="1">
      <c r="A284" s="23"/>
      <c r="B284" s="1361" t="str">
        <f>'Questions - Fragen'!$A$329</f>
        <v>6.6.2</v>
      </c>
      <c r="C284" s="1362"/>
      <c r="D284" s="1366" t="str">
        <f>D274</f>
        <v>PS1</v>
      </c>
      <c r="E284" s="719"/>
      <c r="F284" s="721" t="str">
        <f>'Questions - Fragen'!E330</f>
        <v>No weak points identified</v>
      </c>
      <c r="G284" s="383"/>
      <c r="H284" s="1360">
        <f>'Questions - Fragen'!D330</f>
        <v>10</v>
      </c>
      <c r="I284" s="1375" t="str">
        <f>IF('Questions - Fragen'!F330="","",'Questions - Fragen'!F330)</f>
        <v/>
      </c>
      <c r="J284" s="383"/>
      <c r="K284" s="987"/>
      <c r="L284" s="988"/>
      <c r="M284" s="987"/>
      <c r="N284" s="383"/>
      <c r="O284" s="1368"/>
      <c r="P284" s="1369"/>
      <c r="Q284" s="1370"/>
      <c r="R284" s="1369"/>
      <c r="S284" s="1370"/>
    </row>
    <row r="285" spans="1:19" ht="30" hidden="1">
      <c r="A285" s="23"/>
      <c r="B285" s="1363" t="str">
        <f>'Questions - Fragen'!$A$329</f>
        <v>6.6.2</v>
      </c>
      <c r="C285" s="1364"/>
      <c r="D285" s="1367" t="str">
        <f>D275</f>
        <v>PS2</v>
      </c>
      <c r="E285" s="693"/>
      <c r="F285" s="694" t="str">
        <f>'Questions - Fragen'!E331</f>
        <v>FG Area outside Casthouse, short storage time usually shipped to customer in short time</v>
      </c>
      <c r="G285" s="220"/>
      <c r="H285" s="1360">
        <f>'Questions - Fragen'!D331</f>
        <v>10</v>
      </c>
      <c r="I285" s="1376" t="str">
        <f>IF('Questions - Fragen'!F331="","",'Questions - Fragen'!F331)</f>
        <v/>
      </c>
      <c r="J285" s="220"/>
      <c r="K285" s="985"/>
      <c r="L285" s="988"/>
      <c r="M285" s="985"/>
      <c r="N285" s="220"/>
      <c r="O285" s="1371"/>
      <c r="P285" s="1372"/>
      <c r="Q285" s="1373"/>
      <c r="R285" s="1372"/>
      <c r="S285" s="1373"/>
    </row>
    <row r="286" spans="1:19" ht="15.75" hidden="1">
      <c r="A286" s="23"/>
      <c r="B286" s="1363" t="str">
        <f>'Questions - Fragen'!$A$329</f>
        <v>6.6.2</v>
      </c>
      <c r="C286" s="1364"/>
      <c r="D286" s="1367" t="str">
        <f>D276</f>
        <v>PS3</v>
      </c>
      <c r="E286" s="693"/>
      <c r="F286" s="694" t="str">
        <f>'Questions - Fragen'!E332</f>
        <v>Enter text</v>
      </c>
      <c r="G286" s="220"/>
      <c r="H286" s="1360" t="str">
        <f>'Questions - Fragen'!D332</f>
        <v>n.e.</v>
      </c>
      <c r="I286" s="1376" t="str">
        <f>IF('Questions - Fragen'!F332="","",'Questions - Fragen'!F332)</f>
        <v/>
      </c>
      <c r="J286" s="220"/>
      <c r="K286" s="985"/>
      <c r="L286" s="988"/>
      <c r="M286" s="985"/>
      <c r="N286" s="220"/>
      <c r="O286" s="1371"/>
      <c r="P286" s="1372"/>
      <c r="Q286" s="1373"/>
      <c r="R286" s="1372"/>
      <c r="S286" s="1373"/>
    </row>
    <row r="287" spans="1:19" ht="15.75" hidden="1">
      <c r="A287" s="23"/>
      <c r="B287" s="1363" t="str">
        <f>'Questions - Fragen'!$A$329</f>
        <v>6.6.2</v>
      </c>
      <c r="C287" s="1364"/>
      <c r="D287" s="1367" t="str">
        <f t="shared" ref="D287:D293" si="23">D277</f>
        <v>PS4</v>
      </c>
      <c r="E287" s="693"/>
      <c r="F287" s="694" t="str">
        <f>'Questions - Fragen'!E333</f>
        <v>Enter text</v>
      </c>
      <c r="G287" s="220"/>
      <c r="H287" s="1360" t="str">
        <f>'Questions - Fragen'!D333</f>
        <v>n.e.</v>
      </c>
      <c r="I287" s="1376"/>
      <c r="J287" s="220"/>
      <c r="K287" s="985"/>
      <c r="L287" s="988"/>
      <c r="M287" s="985"/>
      <c r="N287" s="220"/>
      <c r="O287" s="1371"/>
      <c r="P287" s="1372"/>
      <c r="Q287" s="1373"/>
      <c r="R287" s="1372"/>
      <c r="S287" s="1373"/>
    </row>
    <row r="288" spans="1:19" ht="30" hidden="1">
      <c r="A288" s="23"/>
      <c r="B288" s="1363" t="str">
        <f>'Questions - Fragen'!$A$329</f>
        <v>6.6.2</v>
      </c>
      <c r="C288" s="1364"/>
      <c r="D288" s="1367" t="str">
        <f t="shared" si="23"/>
        <v>PS5</v>
      </c>
      <c r="E288" s="693"/>
      <c r="F288" s="694" t="str">
        <f>'Questions - Fragen'!E334</f>
        <v>FG Area outside Casthouse, short storage time usually shipped to customer in short time</v>
      </c>
      <c r="G288" s="220"/>
      <c r="H288" s="1360" t="str">
        <f>'Questions - Fragen'!D334</f>
        <v>n.e.</v>
      </c>
      <c r="I288" s="1376"/>
      <c r="J288" s="220"/>
      <c r="K288" s="985"/>
      <c r="L288" s="988"/>
      <c r="M288" s="985"/>
      <c r="N288" s="220"/>
      <c r="O288" s="1371"/>
      <c r="P288" s="1372"/>
      <c r="Q288" s="1373"/>
      <c r="R288" s="1372"/>
      <c r="S288" s="1373"/>
    </row>
    <row r="289" spans="1:19" ht="15.75" hidden="1">
      <c r="A289" s="23"/>
      <c r="B289" s="1363" t="str">
        <f>'Questions - Fragen'!$A$329</f>
        <v>6.6.2</v>
      </c>
      <c r="C289" s="1364"/>
      <c r="D289" s="1367" t="str">
        <f t="shared" si="23"/>
        <v>PS6</v>
      </c>
      <c r="E289" s="693"/>
      <c r="F289" s="694" t="str">
        <f>'Questions - Fragen'!E335</f>
        <v>Enter text</v>
      </c>
      <c r="G289" s="220"/>
      <c r="H289" s="1360" t="str">
        <f>'Questions - Fragen'!D335</f>
        <v>n.e.</v>
      </c>
      <c r="I289" s="1376"/>
      <c r="J289" s="220"/>
      <c r="K289" s="985"/>
      <c r="L289" s="988"/>
      <c r="M289" s="985"/>
      <c r="N289" s="220"/>
      <c r="O289" s="1371"/>
      <c r="P289" s="1372"/>
      <c r="Q289" s="1373"/>
      <c r="R289" s="1372"/>
      <c r="S289" s="1373"/>
    </row>
    <row r="290" spans="1:19" ht="15.75" hidden="1">
      <c r="A290" s="23"/>
      <c r="B290" s="1363" t="str">
        <f>'Questions - Fragen'!$A$329</f>
        <v>6.6.2</v>
      </c>
      <c r="C290" s="1364"/>
      <c r="D290" s="1367" t="str">
        <f t="shared" si="23"/>
        <v>PS7</v>
      </c>
      <c r="E290" s="693"/>
      <c r="F290" s="694" t="str">
        <f>'Questions - Fragen'!E336</f>
        <v>Enter text</v>
      </c>
      <c r="G290" s="220"/>
      <c r="H290" s="1360" t="str">
        <f>'Questions - Fragen'!D336</f>
        <v>n.e.</v>
      </c>
      <c r="I290" s="1376"/>
      <c r="J290" s="220"/>
      <c r="K290" s="985"/>
      <c r="L290" s="988"/>
      <c r="M290" s="985"/>
      <c r="N290" s="220"/>
      <c r="O290" s="1371"/>
      <c r="P290" s="1372"/>
      <c r="Q290" s="1373"/>
      <c r="R290" s="1372"/>
      <c r="S290" s="1373"/>
    </row>
    <row r="291" spans="1:19" ht="15.75" hidden="1">
      <c r="A291" s="23"/>
      <c r="B291" s="1363" t="str">
        <f>'Questions - Fragen'!$A$329</f>
        <v>6.6.2</v>
      </c>
      <c r="C291" s="1364"/>
      <c r="D291" s="1367" t="str">
        <f t="shared" si="23"/>
        <v>PS8</v>
      </c>
      <c r="E291" s="693"/>
      <c r="F291" s="694" t="str">
        <f>'Questions - Fragen'!E337</f>
        <v>Enter text</v>
      </c>
      <c r="G291" s="220"/>
      <c r="H291" s="1360" t="str">
        <f>'Questions - Fragen'!D337</f>
        <v>n.e.</v>
      </c>
      <c r="I291" s="1376"/>
      <c r="J291" s="220"/>
      <c r="K291" s="985"/>
      <c r="L291" s="988"/>
      <c r="M291" s="985"/>
      <c r="N291" s="220"/>
      <c r="O291" s="1371"/>
      <c r="P291" s="1372"/>
      <c r="Q291" s="1373"/>
      <c r="R291" s="1372"/>
      <c r="S291" s="1373"/>
    </row>
    <row r="292" spans="1:19" ht="15.75" hidden="1">
      <c r="A292" s="23"/>
      <c r="B292" s="1363" t="str">
        <f>'Questions - Fragen'!$A$329</f>
        <v>6.6.2</v>
      </c>
      <c r="C292" s="1364"/>
      <c r="D292" s="1367" t="str">
        <f t="shared" si="23"/>
        <v>PS9</v>
      </c>
      <c r="E292" s="693"/>
      <c r="F292" s="694" t="str">
        <f>'Questions - Fragen'!E338</f>
        <v>Enter text</v>
      </c>
      <c r="G292" s="220"/>
      <c r="H292" s="1360" t="str">
        <f>'Questions - Fragen'!D338</f>
        <v>n.e.</v>
      </c>
      <c r="I292" s="1376"/>
      <c r="J292" s="220"/>
      <c r="K292" s="985"/>
      <c r="L292" s="988"/>
      <c r="M292" s="985"/>
      <c r="N292" s="220"/>
      <c r="O292" s="1371"/>
      <c r="P292" s="1372"/>
      <c r="Q292" s="1373"/>
      <c r="R292" s="1372"/>
      <c r="S292" s="1373"/>
    </row>
    <row r="293" spans="1:19" ht="15.75" hidden="1">
      <c r="A293" s="23"/>
      <c r="B293" s="1363" t="str">
        <f>'Questions - Fragen'!$A$329</f>
        <v>6.6.2</v>
      </c>
      <c r="C293" s="1364"/>
      <c r="D293" s="1367" t="str">
        <f t="shared" si="23"/>
        <v>PS10</v>
      </c>
      <c r="E293" s="693"/>
      <c r="F293" s="694" t="str">
        <f>'Questions - Fragen'!E339</f>
        <v>Enter text</v>
      </c>
      <c r="G293" s="220"/>
      <c r="H293" s="1360" t="str">
        <f>'Questions - Fragen'!D339</f>
        <v>n.e.</v>
      </c>
      <c r="I293" s="1376"/>
      <c r="J293" s="220"/>
      <c r="K293" s="985"/>
      <c r="L293" s="988"/>
      <c r="M293" s="985"/>
      <c r="N293" s="220"/>
      <c r="O293" s="1371"/>
      <c r="P293" s="1372"/>
      <c r="Q293" s="1373"/>
      <c r="R293" s="1372"/>
      <c r="S293" s="1373"/>
    </row>
    <row r="294" spans="1:19" ht="45.75" thickBot="1">
      <c r="A294" s="23"/>
      <c r="B294" s="1361" t="str">
        <f>'Questions - Fragen'!$A$340</f>
        <v>6.6.3</v>
      </c>
      <c r="C294" s="1362"/>
      <c r="D294" s="1366" t="str">
        <f>D284</f>
        <v>PS1</v>
      </c>
      <c r="E294" s="719"/>
      <c r="F294" s="721" t="str">
        <f>'Questions - Fragen'!E341</f>
        <v>Checklists are signed (paper)by operators and given to Moldshop Manager, but not all was registred digitally in Dashboard</v>
      </c>
      <c r="G294" s="383"/>
      <c r="H294" s="1360">
        <f>'Questions - Fragen'!D341</f>
        <v>8</v>
      </c>
      <c r="I294" s="1375" t="str">
        <f>IF('Questions - Fragen'!F341="","",'Questions - Fragen'!F341)</f>
        <v/>
      </c>
      <c r="J294" s="383"/>
      <c r="K294" s="987" t="s">
        <v>1026</v>
      </c>
      <c r="L294" s="988"/>
      <c r="M294" s="987" t="s">
        <v>1025</v>
      </c>
      <c r="N294" s="383"/>
      <c r="O294" s="1368">
        <v>45716</v>
      </c>
      <c r="P294" s="1369"/>
      <c r="Q294" s="1370" t="s">
        <v>1020</v>
      </c>
      <c r="R294" s="1369"/>
      <c r="S294" s="1370" t="s">
        <v>1021</v>
      </c>
    </row>
    <row r="295" spans="1:19" ht="30" hidden="1">
      <c r="A295" s="23"/>
      <c r="B295" s="368" t="str">
        <f>'Questions - Fragen'!$A$340</f>
        <v>6.6.3</v>
      </c>
      <c r="C295" s="21"/>
      <c r="D295" s="716" t="str">
        <f>D285</f>
        <v>PS2</v>
      </c>
      <c r="E295" s="693"/>
      <c r="F295" s="694" t="str">
        <f>'Questions - Fragen'!E342</f>
        <v>Checklists are signed by operators and shiftleader, for sending to Operationg Manager</v>
      </c>
      <c r="G295" s="220"/>
      <c r="H295" s="384">
        <f>'Questions - Fragen'!D342</f>
        <v>10</v>
      </c>
      <c r="I295" s="1171" t="str">
        <f>IF('Questions - Fragen'!F342="","",'Questions - Fragen'!F342)</f>
        <v/>
      </c>
      <c r="J295" s="220"/>
      <c r="K295" s="985"/>
      <c r="L295" s="988"/>
      <c r="M295" s="985"/>
      <c r="N295" s="220"/>
      <c r="O295" s="991"/>
      <c r="P295" s="220"/>
      <c r="Q295" s="985"/>
      <c r="R295" s="220"/>
      <c r="S295" s="985"/>
    </row>
    <row r="296" spans="1:19" ht="15.75" hidden="1">
      <c r="A296" s="23"/>
      <c r="B296" s="368" t="str">
        <f>'Questions - Fragen'!$A$340</f>
        <v>6.6.3</v>
      </c>
      <c r="C296" s="21"/>
      <c r="D296" s="716" t="str">
        <f>D286</f>
        <v>PS3</v>
      </c>
      <c r="E296" s="693"/>
      <c r="F296" s="694">
        <f>'Questions - Fragen'!E343</f>
        <v>0</v>
      </c>
      <c r="G296" s="220"/>
      <c r="H296" s="384" t="str">
        <f>'Questions - Fragen'!D343</f>
        <v>n.e.</v>
      </c>
      <c r="I296" s="1171" t="str">
        <f>IF('Questions - Fragen'!F343="","",'Questions - Fragen'!F343)</f>
        <v/>
      </c>
      <c r="J296" s="220"/>
      <c r="K296" s="985"/>
      <c r="L296" s="988"/>
      <c r="M296" s="985"/>
      <c r="N296" s="220"/>
      <c r="O296" s="991"/>
      <c r="P296" s="220"/>
      <c r="Q296" s="985"/>
      <c r="R296" s="220"/>
      <c r="S296" s="985"/>
    </row>
    <row r="297" spans="1:19" ht="15.75" hidden="1">
      <c r="A297" s="23"/>
      <c r="B297" s="368" t="str">
        <f>'Questions - Fragen'!$A$340</f>
        <v>6.6.3</v>
      </c>
      <c r="C297" s="21"/>
      <c r="D297" s="716" t="str">
        <f t="shared" ref="D297:D303" si="24">D287</f>
        <v>PS4</v>
      </c>
      <c r="E297" s="697"/>
      <c r="F297" s="694">
        <f>'Questions - Fragen'!E344</f>
        <v>0</v>
      </c>
      <c r="G297" s="220"/>
      <c r="H297" s="384" t="str">
        <f>'Questions - Fragen'!D344</f>
        <v>n.e.</v>
      </c>
      <c r="I297" s="1171"/>
      <c r="J297" s="220"/>
      <c r="K297" s="985"/>
      <c r="L297" s="988"/>
      <c r="M297" s="985"/>
      <c r="N297" s="220"/>
      <c r="O297" s="991"/>
      <c r="P297" s="220"/>
      <c r="Q297" s="985"/>
      <c r="R297" s="220"/>
      <c r="S297" s="985"/>
    </row>
    <row r="298" spans="1:19" ht="15.75" hidden="1">
      <c r="A298" s="23"/>
      <c r="B298" s="368" t="str">
        <f>'Questions - Fragen'!$A$340</f>
        <v>6.6.3</v>
      </c>
      <c r="C298" s="21"/>
      <c r="D298" s="716" t="str">
        <f t="shared" si="24"/>
        <v>PS5</v>
      </c>
      <c r="E298" s="697"/>
      <c r="F298" s="694">
        <f>'Questions - Fragen'!E345</f>
        <v>0</v>
      </c>
      <c r="G298" s="220"/>
      <c r="H298" s="384" t="str">
        <f>'Questions - Fragen'!D345</f>
        <v>n.e.</v>
      </c>
      <c r="I298" s="1171"/>
      <c r="J298" s="220"/>
      <c r="K298" s="985"/>
      <c r="L298" s="988"/>
      <c r="M298" s="985"/>
      <c r="N298" s="220"/>
      <c r="O298" s="991"/>
      <c r="P298" s="220"/>
      <c r="Q298" s="985"/>
      <c r="R298" s="220"/>
      <c r="S298" s="985"/>
    </row>
    <row r="299" spans="1:19" ht="15.75" hidden="1">
      <c r="A299" s="23"/>
      <c r="B299" s="368" t="str">
        <f>'Questions - Fragen'!$A$340</f>
        <v>6.6.3</v>
      </c>
      <c r="C299" s="21"/>
      <c r="D299" s="716" t="str">
        <f t="shared" si="24"/>
        <v>PS6</v>
      </c>
      <c r="E299" s="697"/>
      <c r="F299" s="694" t="str">
        <f>'Questions - Fragen'!E346</f>
        <v>Enter text</v>
      </c>
      <c r="G299" s="220"/>
      <c r="H299" s="384" t="str">
        <f>'Questions - Fragen'!D346</f>
        <v>n.e.</v>
      </c>
      <c r="I299" s="1171"/>
      <c r="J299" s="220"/>
      <c r="K299" s="985"/>
      <c r="L299" s="988"/>
      <c r="M299" s="985"/>
      <c r="N299" s="220"/>
      <c r="O299" s="991"/>
      <c r="P299" s="220"/>
      <c r="Q299" s="985"/>
      <c r="R299" s="220"/>
      <c r="S299" s="985"/>
    </row>
    <row r="300" spans="1:19" ht="15.75" hidden="1">
      <c r="A300" s="23"/>
      <c r="B300" s="368" t="str">
        <f>'Questions - Fragen'!$A$340</f>
        <v>6.6.3</v>
      </c>
      <c r="C300" s="21"/>
      <c r="D300" s="716" t="str">
        <f t="shared" si="24"/>
        <v>PS7</v>
      </c>
      <c r="E300" s="697"/>
      <c r="F300" s="694" t="str">
        <f>'Questions - Fragen'!E347</f>
        <v>Enter text</v>
      </c>
      <c r="G300" s="220"/>
      <c r="H300" s="384" t="str">
        <f>'Questions - Fragen'!D347</f>
        <v>n.e.</v>
      </c>
      <c r="I300" s="1171"/>
      <c r="J300" s="220"/>
      <c r="K300" s="985"/>
      <c r="L300" s="988"/>
      <c r="M300" s="985"/>
      <c r="N300" s="220"/>
      <c r="O300" s="991"/>
      <c r="P300" s="220"/>
      <c r="Q300" s="985"/>
      <c r="R300" s="220"/>
      <c r="S300" s="985"/>
    </row>
    <row r="301" spans="1:19" ht="15.75" hidden="1">
      <c r="A301" s="23"/>
      <c r="B301" s="368" t="str">
        <f>'Questions - Fragen'!$A$340</f>
        <v>6.6.3</v>
      </c>
      <c r="C301" s="21"/>
      <c r="D301" s="716" t="str">
        <f t="shared" si="24"/>
        <v>PS8</v>
      </c>
      <c r="E301" s="697"/>
      <c r="F301" s="694" t="str">
        <f>'Questions - Fragen'!E348</f>
        <v>Enter text</v>
      </c>
      <c r="G301" s="220"/>
      <c r="H301" s="384" t="str">
        <f>'Questions - Fragen'!D348</f>
        <v>n.e.</v>
      </c>
      <c r="I301" s="1171"/>
      <c r="J301" s="220"/>
      <c r="K301" s="985"/>
      <c r="L301" s="988"/>
      <c r="M301" s="985"/>
      <c r="N301" s="220"/>
      <c r="O301" s="991"/>
      <c r="P301" s="220"/>
      <c r="Q301" s="985"/>
      <c r="R301" s="220"/>
      <c r="S301" s="985"/>
    </row>
    <row r="302" spans="1:19" ht="15.75" hidden="1">
      <c r="A302" s="23"/>
      <c r="B302" s="368" t="str">
        <f>'Questions - Fragen'!$A$340</f>
        <v>6.6.3</v>
      </c>
      <c r="C302" s="21"/>
      <c r="D302" s="716" t="str">
        <f t="shared" si="24"/>
        <v>PS9</v>
      </c>
      <c r="E302" s="697"/>
      <c r="F302" s="694" t="str">
        <f>'Questions - Fragen'!E349</f>
        <v>Enter text</v>
      </c>
      <c r="G302" s="220"/>
      <c r="H302" s="384" t="str">
        <f>'Questions - Fragen'!D349</f>
        <v>n.e.</v>
      </c>
      <c r="I302" s="1171"/>
      <c r="J302" s="220"/>
      <c r="K302" s="985"/>
      <c r="L302" s="988"/>
      <c r="M302" s="985"/>
      <c r="N302" s="220"/>
      <c r="O302" s="991"/>
      <c r="P302" s="220"/>
      <c r="Q302" s="985"/>
      <c r="R302" s="220"/>
      <c r="S302" s="985"/>
    </row>
    <row r="303" spans="1:19" ht="15.75" hidden="1">
      <c r="A303" s="23"/>
      <c r="B303" s="368" t="str">
        <f>'Questions - Fragen'!$A$340</f>
        <v>6.6.3</v>
      </c>
      <c r="C303" s="21"/>
      <c r="D303" s="716" t="str">
        <f t="shared" si="24"/>
        <v>PS10</v>
      </c>
      <c r="E303" s="697"/>
      <c r="F303" s="694" t="str">
        <f>'Questions - Fragen'!E350</f>
        <v>Enter text</v>
      </c>
      <c r="G303" s="220"/>
      <c r="H303" s="384" t="str">
        <f>'Questions - Fragen'!D350</f>
        <v>n.e.</v>
      </c>
      <c r="I303" s="1171"/>
      <c r="J303" s="220"/>
      <c r="K303" s="985"/>
      <c r="L303" s="988"/>
      <c r="M303" s="985"/>
      <c r="N303" s="220"/>
      <c r="O303" s="991"/>
      <c r="P303" s="220"/>
      <c r="Q303" s="985"/>
      <c r="R303" s="220"/>
      <c r="S303" s="985"/>
    </row>
    <row r="304" spans="1:19" ht="15.75" hidden="1">
      <c r="A304" s="23"/>
      <c r="B304" s="381" t="str">
        <f>'Questions - Fragen'!$A$351</f>
        <v>6.6.4</v>
      </c>
      <c r="C304" s="382"/>
      <c r="D304" s="718" t="str">
        <f t="shared" ref="D304:D313" si="25">D294</f>
        <v>PS1</v>
      </c>
      <c r="E304" s="719"/>
      <c r="F304" s="721" t="str">
        <f>'Questions - Fragen'!E352</f>
        <v>No weak points identified</v>
      </c>
      <c r="G304" s="383"/>
      <c r="H304" s="384">
        <f>'Questions - Fragen'!D352</f>
        <v>10</v>
      </c>
      <c r="I304" s="1179" t="str">
        <f>IF('Questions - Fragen'!F352="","",'Questions - Fragen'!F352)</f>
        <v/>
      </c>
      <c r="J304" s="383"/>
      <c r="K304" s="987"/>
      <c r="L304" s="988"/>
      <c r="M304" s="987"/>
      <c r="N304" s="383"/>
      <c r="O304" s="996"/>
      <c r="P304" s="383"/>
      <c r="Q304" s="987"/>
      <c r="R304" s="383"/>
      <c r="S304" s="987"/>
    </row>
    <row r="305" spans="1:19" ht="15.75" hidden="1">
      <c r="A305" s="23"/>
      <c r="B305" s="368" t="str">
        <f>'Questions - Fragen'!$A$351</f>
        <v>6.6.4</v>
      </c>
      <c r="C305" s="21"/>
      <c r="D305" s="716" t="str">
        <f t="shared" si="25"/>
        <v>PS2</v>
      </c>
      <c r="E305" s="693"/>
      <c r="F305" s="694" t="str">
        <f>'Questions - Fragen'!E353</f>
        <v>No weak points identified</v>
      </c>
      <c r="G305" s="220"/>
      <c r="H305" s="384">
        <f>'Questions - Fragen'!D353</f>
        <v>10</v>
      </c>
      <c r="I305" s="1171" t="str">
        <f>IF('Questions - Fragen'!F353="","",'Questions - Fragen'!F353)</f>
        <v/>
      </c>
      <c r="J305" s="220"/>
      <c r="K305" s="985"/>
      <c r="L305" s="988"/>
      <c r="M305" s="985"/>
      <c r="N305" s="220"/>
      <c r="O305" s="991"/>
      <c r="P305" s="220"/>
      <c r="Q305" s="985"/>
      <c r="R305" s="220"/>
      <c r="S305" s="985"/>
    </row>
    <row r="306" spans="1:19" ht="15.75" hidden="1">
      <c r="A306" s="23"/>
      <c r="B306" s="368" t="str">
        <f>'Questions - Fragen'!$A$351</f>
        <v>6.6.4</v>
      </c>
      <c r="C306" s="21"/>
      <c r="D306" s="716" t="str">
        <f t="shared" si="25"/>
        <v>PS3</v>
      </c>
      <c r="E306" s="693"/>
      <c r="F306" s="694" t="str">
        <f>'Questions - Fragen'!E354</f>
        <v>Enter text</v>
      </c>
      <c r="G306" s="220"/>
      <c r="H306" s="384" t="str">
        <f>'Questions - Fragen'!D354</f>
        <v>n.e.</v>
      </c>
      <c r="I306" s="1171" t="str">
        <f>IF('Questions - Fragen'!F354="","",'Questions - Fragen'!F354)</f>
        <v/>
      </c>
      <c r="J306" s="220"/>
      <c r="K306" s="985"/>
      <c r="L306" s="988"/>
      <c r="M306" s="985"/>
      <c r="N306" s="220"/>
      <c r="O306" s="991"/>
      <c r="P306" s="220"/>
      <c r="Q306" s="985"/>
      <c r="R306" s="220"/>
      <c r="S306" s="985"/>
    </row>
    <row r="307" spans="1:19" ht="15.75" hidden="1">
      <c r="A307" s="23"/>
      <c r="B307" s="368" t="str">
        <f>'Questions - Fragen'!$A$351</f>
        <v>6.6.4</v>
      </c>
      <c r="C307" s="21"/>
      <c r="D307" s="716" t="str">
        <f t="shared" si="25"/>
        <v>PS4</v>
      </c>
      <c r="E307" s="697"/>
      <c r="F307" s="694" t="str">
        <f>'Questions - Fragen'!E355</f>
        <v>Enter text</v>
      </c>
      <c r="G307" s="220"/>
      <c r="H307" s="384" t="str">
        <f>'Questions - Fragen'!D355</f>
        <v>n.e.</v>
      </c>
      <c r="I307" s="1171"/>
      <c r="J307" s="220"/>
      <c r="K307" s="985"/>
      <c r="L307" s="988"/>
      <c r="M307" s="985"/>
      <c r="N307" s="220"/>
      <c r="O307" s="991"/>
      <c r="P307" s="220"/>
      <c r="Q307" s="985"/>
      <c r="R307" s="220"/>
      <c r="S307" s="985"/>
    </row>
    <row r="308" spans="1:19" ht="15.75" hidden="1">
      <c r="A308" s="23"/>
      <c r="B308" s="368" t="str">
        <f>'Questions - Fragen'!$A$351</f>
        <v>6.6.4</v>
      </c>
      <c r="C308" s="21"/>
      <c r="D308" s="716" t="str">
        <f t="shared" si="25"/>
        <v>PS5</v>
      </c>
      <c r="E308" s="697"/>
      <c r="F308" s="694" t="str">
        <f>'Questions - Fragen'!E356</f>
        <v>Enter text</v>
      </c>
      <c r="G308" s="220"/>
      <c r="H308" s="384" t="str">
        <f>'Questions - Fragen'!D356</f>
        <v>n.e.</v>
      </c>
      <c r="I308" s="1171"/>
      <c r="J308" s="220"/>
      <c r="K308" s="985"/>
      <c r="L308" s="988"/>
      <c r="M308" s="985"/>
      <c r="N308" s="220"/>
      <c r="O308" s="991"/>
      <c r="P308" s="220"/>
      <c r="Q308" s="985"/>
      <c r="R308" s="220"/>
      <c r="S308" s="985"/>
    </row>
    <row r="309" spans="1:19" ht="15.75" hidden="1">
      <c r="A309" s="23"/>
      <c r="B309" s="368" t="str">
        <f>'Questions - Fragen'!$A$351</f>
        <v>6.6.4</v>
      </c>
      <c r="C309" s="21"/>
      <c r="D309" s="716" t="str">
        <f t="shared" si="25"/>
        <v>PS6</v>
      </c>
      <c r="E309" s="697"/>
      <c r="F309" s="694" t="str">
        <f>'Questions - Fragen'!E357</f>
        <v>Enter text</v>
      </c>
      <c r="G309" s="220"/>
      <c r="H309" s="384" t="str">
        <f>'Questions - Fragen'!D357</f>
        <v>n.e.</v>
      </c>
      <c r="I309" s="1171"/>
      <c r="J309" s="220"/>
      <c r="K309" s="985"/>
      <c r="L309" s="988"/>
      <c r="M309" s="985"/>
      <c r="N309" s="220"/>
      <c r="O309" s="991"/>
      <c r="P309" s="220"/>
      <c r="Q309" s="985"/>
      <c r="R309" s="220"/>
      <c r="S309" s="985"/>
    </row>
    <row r="310" spans="1:19" ht="15.75" hidden="1">
      <c r="A310" s="23"/>
      <c r="B310" s="368" t="str">
        <f>'Questions - Fragen'!$A$351</f>
        <v>6.6.4</v>
      </c>
      <c r="C310" s="21"/>
      <c r="D310" s="716" t="str">
        <f t="shared" si="25"/>
        <v>PS7</v>
      </c>
      <c r="E310" s="697"/>
      <c r="F310" s="694" t="str">
        <f>'Questions - Fragen'!E358</f>
        <v>Enter text</v>
      </c>
      <c r="G310" s="220"/>
      <c r="H310" s="384" t="str">
        <f>'Questions - Fragen'!D358</f>
        <v>n.e.</v>
      </c>
      <c r="I310" s="1171"/>
      <c r="J310" s="220"/>
      <c r="K310" s="985"/>
      <c r="L310" s="988"/>
      <c r="M310" s="985"/>
      <c r="N310" s="220"/>
      <c r="O310" s="991"/>
      <c r="P310" s="220"/>
      <c r="Q310" s="985"/>
      <c r="R310" s="220"/>
      <c r="S310" s="985"/>
    </row>
    <row r="311" spans="1:19" ht="15.75" hidden="1">
      <c r="A311" s="23"/>
      <c r="B311" s="368" t="str">
        <f>'Questions - Fragen'!$A$351</f>
        <v>6.6.4</v>
      </c>
      <c r="C311" s="21"/>
      <c r="D311" s="716" t="str">
        <f t="shared" si="25"/>
        <v>PS8</v>
      </c>
      <c r="E311" s="697"/>
      <c r="F311" s="694" t="str">
        <f>'Questions - Fragen'!E359</f>
        <v>Enter text</v>
      </c>
      <c r="G311" s="220"/>
      <c r="H311" s="384" t="str">
        <f>'Questions - Fragen'!D359</f>
        <v>n.e.</v>
      </c>
      <c r="I311" s="1171"/>
      <c r="J311" s="220"/>
      <c r="K311" s="985"/>
      <c r="L311" s="988"/>
      <c r="M311" s="985"/>
      <c r="N311" s="220"/>
      <c r="O311" s="991"/>
      <c r="P311" s="220"/>
      <c r="Q311" s="985"/>
      <c r="R311" s="220"/>
      <c r="S311" s="985"/>
    </row>
    <row r="312" spans="1:19" ht="15.75" hidden="1">
      <c r="A312" s="23"/>
      <c r="B312" s="368" t="str">
        <f>'Questions - Fragen'!$A$351</f>
        <v>6.6.4</v>
      </c>
      <c r="C312" s="21"/>
      <c r="D312" s="716" t="str">
        <f t="shared" si="25"/>
        <v>PS9</v>
      </c>
      <c r="E312" s="697"/>
      <c r="F312" s="694" t="str">
        <f>'Questions - Fragen'!E360</f>
        <v>Enter text</v>
      </c>
      <c r="G312" s="220"/>
      <c r="H312" s="384" t="str">
        <f>'Questions - Fragen'!D360</f>
        <v>n.e.</v>
      </c>
      <c r="I312" s="1171"/>
      <c r="J312" s="220"/>
      <c r="K312" s="985"/>
      <c r="L312" s="988"/>
      <c r="M312" s="985"/>
      <c r="N312" s="220"/>
      <c r="O312" s="991"/>
      <c r="P312" s="220"/>
      <c r="Q312" s="985"/>
      <c r="R312" s="220"/>
      <c r="S312" s="985"/>
    </row>
    <row r="313" spans="1:19" ht="16.5" hidden="1" thickBot="1">
      <c r="A313" s="23"/>
      <c r="B313" s="368" t="str">
        <f>'Questions - Fragen'!$A$351</f>
        <v>6.6.4</v>
      </c>
      <c r="C313" s="21"/>
      <c r="D313" s="716" t="str">
        <f t="shared" si="25"/>
        <v>PS10</v>
      </c>
      <c r="E313" s="697"/>
      <c r="F313" s="694" t="str">
        <f>'Questions - Fragen'!E361</f>
        <v>Enter text</v>
      </c>
      <c r="G313" s="220"/>
      <c r="H313" s="384" t="str">
        <f>'Questions - Fragen'!D361</f>
        <v>n.e.</v>
      </c>
      <c r="I313" s="1171"/>
      <c r="J313" s="220"/>
      <c r="K313" s="985"/>
      <c r="L313" s="988"/>
      <c r="M313" s="985"/>
      <c r="N313" s="220"/>
      <c r="O313" s="991"/>
      <c r="P313" s="220"/>
      <c r="Q313" s="985"/>
      <c r="R313" s="220"/>
      <c r="S313" s="985"/>
    </row>
    <row r="314" spans="1:19" s="22" customFormat="1" ht="15.75">
      <c r="A314" s="348"/>
      <c r="B314" s="682" t="s">
        <v>101</v>
      </c>
      <c r="C314" s="699"/>
      <c r="D314" s="700"/>
      <c r="E314" s="701"/>
      <c r="F314" s="702" t="str">
        <f>'Questions - Fragen'!C362</f>
        <v>Customer care / customer satisfaction / service</v>
      </c>
      <c r="G314" s="703"/>
      <c r="H314" s="705"/>
      <c r="I314" s="705"/>
      <c r="J314" s="703"/>
      <c r="K314" s="705"/>
      <c r="L314" s="705"/>
      <c r="M314" s="705"/>
      <c r="N314" s="705"/>
      <c r="O314" s="706"/>
      <c r="P314" s="705"/>
      <c r="Q314" s="705"/>
      <c r="R314" s="705"/>
      <c r="S314" s="705"/>
    </row>
    <row r="315" spans="1:19" ht="15.75">
      <c r="A315" s="23"/>
      <c r="B315" s="369" t="str">
        <f>'Questions - Fragen'!A363</f>
        <v>7.1</v>
      </c>
      <c r="C315" s="21"/>
      <c r="D315" s="692"/>
      <c r="E315" s="693"/>
      <c r="F315" s="695" t="str">
        <f>'Questions - Fragen'!E363</f>
        <v>Enter text</v>
      </c>
      <c r="G315" s="220"/>
      <c r="H315" s="384" t="str">
        <f>'Questions - Fragen'!D363</f>
        <v>н.о.</v>
      </c>
      <c r="I315" s="1171" t="str">
        <f>IF('Questions - Fragen'!F363="","",'Questions - Fragen'!F363)</f>
        <v/>
      </c>
      <c r="J315" s="220"/>
      <c r="K315" s="985"/>
      <c r="L315" s="1059"/>
      <c r="M315" s="985"/>
      <c r="N315" s="220"/>
      <c r="O315" s="991"/>
      <c r="P315" s="220"/>
      <c r="Q315" s="985"/>
      <c r="R315" s="220"/>
      <c r="S315" s="985"/>
    </row>
    <row r="316" spans="1:19" ht="15.75">
      <c r="A316" s="23"/>
      <c r="B316" s="368" t="str">
        <f>'Questions - Fragen'!A364</f>
        <v>7.2</v>
      </c>
      <c r="C316" s="21"/>
      <c r="D316" s="692"/>
      <c r="E316" s="693"/>
      <c r="F316" s="695" t="str">
        <f>'Questions - Fragen'!E364</f>
        <v>Enter text</v>
      </c>
      <c r="G316" s="220"/>
      <c r="H316" s="384" t="str">
        <f>'Questions - Fragen'!D364</f>
        <v>н.о.</v>
      </c>
      <c r="I316" s="1171" t="str">
        <f>IF('Questions - Fragen'!F364="","",'Questions - Fragen'!F364)</f>
        <v/>
      </c>
      <c r="J316" s="220"/>
      <c r="K316" s="985"/>
      <c r="L316" s="988"/>
      <c r="M316" s="985"/>
      <c r="N316" s="220"/>
      <c r="O316" s="991"/>
      <c r="P316" s="220"/>
      <c r="Q316" s="985"/>
      <c r="R316" s="220"/>
      <c r="S316" s="985"/>
    </row>
    <row r="317" spans="1:19" ht="15.75">
      <c r="A317" s="23"/>
      <c r="B317" s="368" t="str">
        <f>'Questions - Fragen'!A365</f>
        <v>7.3</v>
      </c>
      <c r="C317" s="21"/>
      <c r="D317" s="692"/>
      <c r="E317" s="693"/>
      <c r="F317" s="695" t="str">
        <f>'Questions - Fragen'!E365</f>
        <v>Enter text</v>
      </c>
      <c r="G317" s="220"/>
      <c r="H317" s="384" t="str">
        <f>'Questions - Fragen'!D365</f>
        <v>н.о.</v>
      </c>
      <c r="I317" s="1171" t="str">
        <f>IF('Questions - Fragen'!F365="","",'Questions - Fragen'!F365)</f>
        <v/>
      </c>
      <c r="J317" s="220"/>
      <c r="K317" s="985"/>
      <c r="L317" s="988"/>
      <c r="M317" s="985"/>
      <c r="N317" s="220"/>
      <c r="O317" s="991"/>
      <c r="P317" s="220"/>
      <c r="Q317" s="985"/>
      <c r="R317" s="220"/>
      <c r="S317" s="985"/>
    </row>
    <row r="318" spans="1:19" ht="15.75">
      <c r="A318" s="23"/>
      <c r="B318" s="368" t="str">
        <f>'Questions - Fragen'!A366</f>
        <v>7.4</v>
      </c>
      <c r="C318" s="21"/>
      <c r="D318" s="692"/>
      <c r="E318" s="693"/>
      <c r="F318" s="695" t="str">
        <f>'Questions - Fragen'!E366</f>
        <v>Enter text</v>
      </c>
      <c r="G318" s="220"/>
      <c r="H318" s="384" t="str">
        <f>'Questions - Fragen'!D366</f>
        <v>н.о.</v>
      </c>
      <c r="I318" s="1171" t="str">
        <f>IF('Questions - Fragen'!F366="","",'Questions - Fragen'!F366)</f>
        <v/>
      </c>
      <c r="J318" s="220"/>
      <c r="K318" s="985"/>
      <c r="L318" s="988"/>
      <c r="M318" s="985"/>
      <c r="N318" s="220"/>
      <c r="O318" s="991"/>
      <c r="P318" s="220"/>
      <c r="Q318" s="985"/>
      <c r="R318" s="220"/>
      <c r="S318" s="985"/>
    </row>
    <row r="319" spans="1:19" ht="15.75">
      <c r="A319" s="23"/>
      <c r="B319" s="368" t="str">
        <f>'Questions - Fragen'!A367</f>
        <v>7.5</v>
      </c>
      <c r="C319" s="21"/>
      <c r="D319" s="692"/>
      <c r="E319" s="693"/>
      <c r="F319" s="695" t="str">
        <f>'Questions - Fragen'!E367</f>
        <v>Enter text</v>
      </c>
      <c r="G319" s="220"/>
      <c r="H319" s="384" t="str">
        <f>'Questions - Fragen'!D367</f>
        <v>н.о.</v>
      </c>
      <c r="I319" s="1171" t="str">
        <f>IF('Questions - Fragen'!F367="","",'Questions - Fragen'!F367)</f>
        <v/>
      </c>
      <c r="J319" s="220"/>
      <c r="K319" s="985"/>
      <c r="L319" s="985"/>
      <c r="M319" s="985"/>
      <c r="N319" s="220"/>
      <c r="O319" s="991"/>
      <c r="P319" s="220"/>
      <c r="Q319" s="985"/>
      <c r="R319" s="220"/>
      <c r="S319" s="985"/>
    </row>
    <row r="320" spans="1:19" ht="15">
      <c r="D320"/>
      <c r="E320"/>
      <c r="F320" s="496"/>
      <c r="G320" s="14"/>
      <c r="H320" s="14"/>
      <c r="I320" s="26"/>
      <c r="J320" s="14"/>
      <c r="K320" s="26"/>
      <c r="L320" s="26"/>
      <c r="M320" s="26"/>
      <c r="N320" s="26"/>
      <c r="O320" s="26"/>
      <c r="P320" s="26"/>
      <c r="Q320" s="26"/>
      <c r="R320" s="26"/>
      <c r="S320" s="26"/>
    </row>
    <row r="321" hidden="1"/>
    <row r="322" hidden="1"/>
  </sheetData>
  <sheetProtection formatColumns="0" formatRows="0" selectLockedCells="1"/>
  <mergeCells count="2">
    <mergeCell ref="Q6:R6"/>
    <mergeCell ref="F9:H9"/>
  </mergeCells>
  <phoneticPr fontId="13" type="noConversion"/>
  <pageMargins left="0.59055118110236227" right="0.39370078740157483" top="0.59055118110236227" bottom="0.39370078740157483" header="0.19685039370078741" footer="0.19685039370078741"/>
  <pageSetup paperSize="9" scale="62" fitToHeight="0" orientation="landscape" r:id="rId1"/>
  <headerFooter scaleWithDoc="0">
    <oddFooter>&amp;L&amp;8&amp;F&amp;RСтраница &amp;P из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Massn.ZeilenEinblenden">
                <anchor moveWithCells="1" sizeWithCells="1">
                  <from>
                    <xdr:col>10</xdr:col>
                    <xdr:colOff>266700</xdr:colOff>
                    <xdr:row>4</xdr:row>
                    <xdr:rowOff>161925</xdr:rowOff>
                  </from>
                  <to>
                    <xdr:col>10</xdr:col>
                    <xdr:colOff>2276475</xdr:colOff>
                    <xdr:row>6</xdr:row>
                    <xdr:rowOff>228600</xdr:rowOff>
                  </to>
                </anchor>
              </controlPr>
            </control>
          </mc:Choice>
        </mc:AlternateContent>
        <mc:AlternateContent xmlns:mc="http://schemas.openxmlformats.org/markup-compatibility/2006">
          <mc:Choice Requires="x14">
            <control shapeId="19459" r:id="rId5" name="Button 3">
              <controlPr defaultSize="0" print="0" autoFill="0" autoPict="0" macro="[0]!VP_kopieren.Kopieren">
                <anchor moveWithCells="1" sizeWithCells="1">
                  <from>
                    <xdr:col>12</xdr:col>
                    <xdr:colOff>257175</xdr:colOff>
                    <xdr:row>4</xdr:row>
                    <xdr:rowOff>200025</xdr:rowOff>
                  </from>
                  <to>
                    <xdr:col>12</xdr:col>
                    <xdr:colOff>2181225</xdr:colOff>
                    <xdr:row>6</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8">
    <tabColor indexed="28"/>
  </sheetPr>
  <dimension ref="A1:N79"/>
  <sheetViews>
    <sheetView workbookViewId="0">
      <selection activeCell="F59" sqref="F59:M59"/>
    </sheetView>
  </sheetViews>
  <sheetFormatPr defaultColWidth="11.42578125" defaultRowHeight="12.75"/>
  <cols>
    <col min="1" max="1" width="10.140625" customWidth="1"/>
    <col min="2" max="2" width="8.28515625" customWidth="1"/>
    <col min="3" max="3" width="10.140625" bestFit="1" customWidth="1"/>
    <col min="4" max="4" width="4.85546875" customWidth="1"/>
    <col min="5" max="5" width="7.28515625" bestFit="1" customWidth="1"/>
    <col min="9" max="9" width="3.42578125" customWidth="1"/>
    <col min="11" max="11" width="6.140625" customWidth="1"/>
    <col min="12" max="12" width="9.42578125" customWidth="1"/>
    <col min="13" max="13" width="41.42578125" customWidth="1"/>
    <col min="14" max="14" width="10" customWidth="1"/>
  </cols>
  <sheetData>
    <row r="1" spans="1:11">
      <c r="A1" s="335"/>
    </row>
    <row r="2" spans="1:11" hidden="1">
      <c r="B2" s="108" t="s">
        <v>6</v>
      </c>
    </row>
    <row r="3" spans="1:11" hidden="1"/>
    <row r="4" spans="1:11" ht="15" hidden="1">
      <c r="B4" s="131" t="s">
        <v>106</v>
      </c>
    </row>
    <row r="5" spans="1:11" ht="15" hidden="1">
      <c r="B5" s="131" t="s">
        <v>105</v>
      </c>
    </row>
    <row r="6" spans="1:11" ht="15" hidden="1">
      <c r="B6" s="131" t="s">
        <v>104</v>
      </c>
    </row>
    <row r="7" spans="1:11" hidden="1"/>
    <row r="8" spans="1:11" hidden="1"/>
    <row r="9" spans="1:11" hidden="1">
      <c r="B9" s="105" t="s">
        <v>5</v>
      </c>
      <c r="C9" s="106" t="s">
        <v>78</v>
      </c>
      <c r="D9" s="105" t="s">
        <v>75</v>
      </c>
      <c r="E9" s="105" t="s">
        <v>107</v>
      </c>
      <c r="F9" s="105" t="s">
        <v>110</v>
      </c>
      <c r="G9" s="105" t="s">
        <v>77</v>
      </c>
      <c r="H9" s="105" t="s">
        <v>31</v>
      </c>
      <c r="I9" s="85"/>
    </row>
    <row r="10" spans="1:11" ht="5.25" hidden="1" customHeight="1" thickBot="1">
      <c r="B10" s="85"/>
      <c r="C10" s="85"/>
      <c r="D10" s="85"/>
      <c r="E10" s="85"/>
      <c r="F10" s="85"/>
      <c r="G10" s="85"/>
      <c r="H10" s="85"/>
      <c r="I10" s="85"/>
    </row>
    <row r="11" spans="1:11" ht="13.5" hidden="1" thickBot="1">
      <c r="B11" s="132">
        <v>1</v>
      </c>
      <c r="C11" s="116">
        <v>1</v>
      </c>
      <c r="D11" s="138">
        <v>1</v>
      </c>
      <c r="E11" s="116">
        <v>1</v>
      </c>
      <c r="F11" s="138">
        <v>1</v>
      </c>
      <c r="G11" s="116">
        <v>1</v>
      </c>
      <c r="H11" s="152">
        <v>1</v>
      </c>
      <c r="I11" s="85"/>
      <c r="J11" s="126">
        <f t="shared" ref="J11:J27" si="0">SUM(B11:H11)</f>
        <v>7</v>
      </c>
      <c r="K11" s="127" t="s">
        <v>10</v>
      </c>
    </row>
    <row r="12" spans="1:11" hidden="1">
      <c r="B12" s="133">
        <v>2</v>
      </c>
      <c r="C12" s="120">
        <v>1</v>
      </c>
      <c r="D12" s="139">
        <v>1</v>
      </c>
      <c r="E12" s="120">
        <v>1</v>
      </c>
      <c r="F12" s="139">
        <v>1</v>
      </c>
      <c r="G12" s="120">
        <v>1</v>
      </c>
      <c r="H12" s="153">
        <v>1</v>
      </c>
      <c r="I12" s="85"/>
      <c r="J12" s="117">
        <f t="shared" si="0"/>
        <v>8</v>
      </c>
      <c r="K12" s="129" t="s">
        <v>17</v>
      </c>
    </row>
    <row r="13" spans="1:11" hidden="1">
      <c r="B13" s="134">
        <v>2</v>
      </c>
      <c r="C13" s="121">
        <v>2</v>
      </c>
      <c r="D13" s="140">
        <v>1</v>
      </c>
      <c r="E13" s="146">
        <v>1</v>
      </c>
      <c r="F13" s="140">
        <v>1</v>
      </c>
      <c r="G13" s="146">
        <v>1</v>
      </c>
      <c r="H13" s="154">
        <v>1</v>
      </c>
      <c r="I13" s="85"/>
      <c r="J13" s="118">
        <f t="shared" si="0"/>
        <v>9</v>
      </c>
      <c r="K13" s="121" t="s">
        <v>17</v>
      </c>
    </row>
    <row r="14" spans="1:11" hidden="1">
      <c r="B14" s="134">
        <v>2</v>
      </c>
      <c r="C14" s="121">
        <v>2</v>
      </c>
      <c r="D14" s="141">
        <v>2</v>
      </c>
      <c r="E14" s="146">
        <v>1</v>
      </c>
      <c r="F14" s="140">
        <v>1</v>
      </c>
      <c r="G14" s="146">
        <v>1</v>
      </c>
      <c r="H14" s="154">
        <v>1</v>
      </c>
      <c r="I14" s="85"/>
      <c r="J14" s="118">
        <f t="shared" si="0"/>
        <v>10</v>
      </c>
      <c r="K14" s="121" t="s">
        <v>17</v>
      </c>
    </row>
    <row r="15" spans="1:11" hidden="1">
      <c r="B15" s="134">
        <v>2</v>
      </c>
      <c r="C15" s="121">
        <v>2</v>
      </c>
      <c r="D15" s="141">
        <v>2</v>
      </c>
      <c r="E15" s="121">
        <v>2</v>
      </c>
      <c r="F15" s="140">
        <v>1</v>
      </c>
      <c r="G15" s="146">
        <v>1</v>
      </c>
      <c r="H15" s="154">
        <v>1</v>
      </c>
      <c r="I15" s="85"/>
      <c r="J15" s="118">
        <f t="shared" si="0"/>
        <v>11</v>
      </c>
      <c r="K15" s="121" t="s">
        <v>17</v>
      </c>
    </row>
    <row r="16" spans="1:11" hidden="1">
      <c r="B16" s="134">
        <v>2</v>
      </c>
      <c r="C16" s="121">
        <v>2</v>
      </c>
      <c r="D16" s="141">
        <v>2</v>
      </c>
      <c r="E16" s="121">
        <v>2</v>
      </c>
      <c r="F16" s="141">
        <v>2</v>
      </c>
      <c r="G16" s="121">
        <v>1</v>
      </c>
      <c r="H16" s="155">
        <v>1</v>
      </c>
      <c r="I16" s="85"/>
      <c r="J16" s="118">
        <f t="shared" si="0"/>
        <v>12</v>
      </c>
      <c r="K16" s="121" t="s">
        <v>17</v>
      </c>
    </row>
    <row r="17" spans="2:11" hidden="1">
      <c r="B17" s="134">
        <v>2</v>
      </c>
      <c r="C17" s="121">
        <v>2</v>
      </c>
      <c r="D17" s="141">
        <v>2</v>
      </c>
      <c r="E17" s="146">
        <v>2</v>
      </c>
      <c r="F17" s="140">
        <v>2</v>
      </c>
      <c r="G17" s="146">
        <v>2</v>
      </c>
      <c r="H17" s="154">
        <v>1</v>
      </c>
      <c r="I17" s="85"/>
      <c r="J17" s="118">
        <f t="shared" si="0"/>
        <v>13</v>
      </c>
      <c r="K17" s="121" t="s">
        <v>17</v>
      </c>
    </row>
    <row r="18" spans="2:11" ht="13.5" hidden="1" thickBot="1">
      <c r="B18" s="135">
        <v>2</v>
      </c>
      <c r="C18" s="130">
        <v>2</v>
      </c>
      <c r="D18" s="142">
        <v>2</v>
      </c>
      <c r="E18" s="147">
        <v>2</v>
      </c>
      <c r="F18" s="150">
        <v>2</v>
      </c>
      <c r="G18" s="147">
        <v>2</v>
      </c>
      <c r="H18" s="156">
        <v>2</v>
      </c>
      <c r="I18" s="85"/>
      <c r="J18" s="119">
        <f t="shared" si="0"/>
        <v>14</v>
      </c>
      <c r="K18" s="130" t="s">
        <v>17</v>
      </c>
    </row>
    <row r="19" spans="2:11" hidden="1">
      <c r="B19" s="136">
        <v>9</v>
      </c>
      <c r="C19" s="125">
        <v>1</v>
      </c>
      <c r="D19" s="143">
        <v>1</v>
      </c>
      <c r="E19" s="148">
        <v>1</v>
      </c>
      <c r="F19" s="151">
        <v>1</v>
      </c>
      <c r="G19" s="148">
        <v>1</v>
      </c>
      <c r="H19" s="157">
        <v>1</v>
      </c>
      <c r="I19" s="85"/>
      <c r="J19" s="124">
        <f t="shared" si="0"/>
        <v>15</v>
      </c>
      <c r="K19" s="128" t="s">
        <v>19</v>
      </c>
    </row>
    <row r="20" spans="2:11" hidden="1">
      <c r="B20" s="134">
        <v>9</v>
      </c>
      <c r="C20" s="121">
        <v>2</v>
      </c>
      <c r="D20" s="141">
        <v>1</v>
      </c>
      <c r="E20" s="146">
        <v>1</v>
      </c>
      <c r="F20" s="140">
        <v>1</v>
      </c>
      <c r="G20" s="146">
        <v>1</v>
      </c>
      <c r="H20" s="154">
        <v>1</v>
      </c>
      <c r="I20" s="85"/>
      <c r="J20" s="118">
        <f t="shared" si="0"/>
        <v>16</v>
      </c>
      <c r="K20" s="122" t="s">
        <v>19</v>
      </c>
    </row>
    <row r="21" spans="2:11" hidden="1">
      <c r="B21" s="134">
        <v>9</v>
      </c>
      <c r="C21" s="137">
        <v>2</v>
      </c>
      <c r="D21" s="144">
        <v>2</v>
      </c>
      <c r="E21" s="137">
        <v>1</v>
      </c>
      <c r="F21" s="144">
        <v>1</v>
      </c>
      <c r="G21" s="137">
        <v>1</v>
      </c>
      <c r="H21" s="158">
        <v>1</v>
      </c>
      <c r="I21" s="85"/>
      <c r="J21" s="118">
        <f t="shared" si="0"/>
        <v>17</v>
      </c>
      <c r="K21" s="122" t="s">
        <v>19</v>
      </c>
    </row>
    <row r="22" spans="2:11" hidden="1">
      <c r="B22" s="134">
        <v>9</v>
      </c>
      <c r="C22" s="137">
        <v>2</v>
      </c>
      <c r="D22" s="144">
        <v>2</v>
      </c>
      <c r="E22" s="137">
        <v>2</v>
      </c>
      <c r="F22" s="144">
        <v>1</v>
      </c>
      <c r="G22" s="137">
        <v>1</v>
      </c>
      <c r="H22" s="158">
        <v>1</v>
      </c>
      <c r="I22" s="85"/>
      <c r="J22" s="118">
        <f t="shared" si="0"/>
        <v>18</v>
      </c>
      <c r="K22" s="122" t="s">
        <v>19</v>
      </c>
    </row>
    <row r="23" spans="2:11" hidden="1">
      <c r="B23" s="134">
        <v>9</v>
      </c>
      <c r="C23" s="137">
        <v>2</v>
      </c>
      <c r="D23" s="144">
        <v>2</v>
      </c>
      <c r="E23" s="137">
        <v>2</v>
      </c>
      <c r="F23" s="144">
        <v>2</v>
      </c>
      <c r="G23" s="137">
        <v>1</v>
      </c>
      <c r="H23" s="158">
        <v>1</v>
      </c>
      <c r="I23" s="85"/>
      <c r="J23" s="118">
        <f t="shared" si="0"/>
        <v>19</v>
      </c>
      <c r="K23" s="122" t="s">
        <v>19</v>
      </c>
    </row>
    <row r="24" spans="2:11" hidden="1">
      <c r="B24" s="134">
        <v>9</v>
      </c>
      <c r="C24" s="137">
        <v>2</v>
      </c>
      <c r="D24" s="144">
        <v>2</v>
      </c>
      <c r="E24" s="137">
        <v>2</v>
      </c>
      <c r="F24" s="144">
        <v>2</v>
      </c>
      <c r="G24" s="137">
        <v>2</v>
      </c>
      <c r="H24" s="158">
        <v>1</v>
      </c>
      <c r="I24" s="85"/>
      <c r="J24" s="118">
        <f t="shared" si="0"/>
        <v>20</v>
      </c>
      <c r="K24" s="122" t="s">
        <v>19</v>
      </c>
    </row>
    <row r="25" spans="2:11" hidden="1">
      <c r="B25" s="134">
        <v>9</v>
      </c>
      <c r="C25" s="137">
        <v>2</v>
      </c>
      <c r="D25" s="144">
        <v>2</v>
      </c>
      <c r="E25" s="137">
        <v>2</v>
      </c>
      <c r="F25" s="144">
        <v>2</v>
      </c>
      <c r="G25" s="137">
        <v>2</v>
      </c>
      <c r="H25" s="158">
        <v>2</v>
      </c>
      <c r="I25" s="85"/>
      <c r="J25" s="118">
        <f t="shared" si="0"/>
        <v>21</v>
      </c>
      <c r="K25" s="122" t="s">
        <v>19</v>
      </c>
    </row>
    <row r="26" spans="2:11" hidden="1">
      <c r="B26" s="134">
        <v>9</v>
      </c>
      <c r="C26" s="137">
        <v>2</v>
      </c>
      <c r="D26" s="144">
        <v>2</v>
      </c>
      <c r="E26" s="137">
        <v>2</v>
      </c>
      <c r="F26" s="144">
        <v>2</v>
      </c>
      <c r="G26" s="137">
        <v>2</v>
      </c>
      <c r="H26" s="158">
        <v>2</v>
      </c>
      <c r="I26" s="85"/>
      <c r="J26" s="118">
        <f t="shared" si="0"/>
        <v>21</v>
      </c>
      <c r="K26" s="122" t="s">
        <v>19</v>
      </c>
    </row>
    <row r="27" spans="2:11" ht="13.5" hidden="1" thickBot="1">
      <c r="B27" s="135">
        <v>9</v>
      </c>
      <c r="C27" s="130">
        <v>9</v>
      </c>
      <c r="D27" s="145">
        <v>1</v>
      </c>
      <c r="E27" s="149">
        <v>1</v>
      </c>
      <c r="F27" s="145">
        <v>1</v>
      </c>
      <c r="G27" s="149">
        <v>1</v>
      </c>
      <c r="H27" s="159">
        <v>1</v>
      </c>
      <c r="I27" s="85"/>
      <c r="J27" s="119">
        <f t="shared" si="0"/>
        <v>23</v>
      </c>
      <c r="K27" s="123" t="s">
        <v>19</v>
      </c>
    </row>
    <row r="28" spans="2:11" hidden="1">
      <c r="B28" s="85"/>
      <c r="C28" s="85"/>
      <c r="D28" s="85"/>
      <c r="E28" s="85"/>
      <c r="F28" s="85"/>
      <c r="G28" s="85"/>
      <c r="H28" s="85"/>
      <c r="I28" s="85"/>
    </row>
    <row r="29" spans="2:11" hidden="1">
      <c r="B29" s="85"/>
      <c r="C29" s="85"/>
      <c r="D29" s="85"/>
      <c r="E29" s="85"/>
      <c r="F29" s="85"/>
      <c r="G29" s="85"/>
      <c r="H29" s="85"/>
      <c r="I29" s="85"/>
    </row>
    <row r="30" spans="2:11" hidden="1">
      <c r="B30" s="85"/>
      <c r="C30" s="85"/>
      <c r="D30" s="85"/>
      <c r="E30" s="85"/>
      <c r="F30" s="85"/>
      <c r="G30" s="85"/>
      <c r="H30" s="85"/>
      <c r="I30" s="85"/>
    </row>
    <row r="31" spans="2:11" hidden="1">
      <c r="B31" s="85"/>
      <c r="C31" s="85"/>
      <c r="D31" s="85"/>
      <c r="E31" s="85"/>
      <c r="F31" s="85"/>
      <c r="G31" s="85"/>
      <c r="H31" s="85"/>
      <c r="I31" s="85"/>
    </row>
    <row r="32" spans="2:11" hidden="1">
      <c r="B32" s="85"/>
      <c r="C32" s="85"/>
      <c r="D32" s="85"/>
      <c r="E32" s="85"/>
      <c r="F32" s="85"/>
      <c r="G32" s="85"/>
      <c r="H32" s="85"/>
      <c r="I32" s="85"/>
    </row>
    <row r="33" spans="2:9" hidden="1">
      <c r="B33" s="85"/>
      <c r="C33" s="85"/>
      <c r="D33" s="85"/>
      <c r="E33" s="85"/>
      <c r="F33" s="85"/>
      <c r="G33" s="85"/>
      <c r="H33" s="85"/>
      <c r="I33" s="85"/>
    </row>
    <row r="34" spans="2:9" hidden="1">
      <c r="B34" s="85"/>
      <c r="C34" s="85"/>
      <c r="D34" s="85"/>
      <c r="E34" s="85"/>
      <c r="F34" s="85"/>
      <c r="G34" s="85"/>
      <c r="H34" s="85"/>
      <c r="I34" s="85"/>
    </row>
    <row r="35" spans="2:9" hidden="1">
      <c r="B35" s="108" t="s">
        <v>85</v>
      </c>
    </row>
    <row r="36" spans="2:9" hidden="1">
      <c r="B36" t="s">
        <v>86</v>
      </c>
      <c r="C36" t="b">
        <v>1</v>
      </c>
    </row>
    <row r="37" spans="2:9" hidden="1">
      <c r="B37" t="s">
        <v>87</v>
      </c>
      <c r="C37" t="b">
        <v>1</v>
      </c>
    </row>
    <row r="38" spans="2:9" hidden="1">
      <c r="B38" t="s">
        <v>88</v>
      </c>
      <c r="C38" t="b">
        <v>1</v>
      </c>
    </row>
    <row r="39" spans="2:9" hidden="1">
      <c r="B39" t="s">
        <v>28</v>
      </c>
      <c r="C39" t="b">
        <v>1</v>
      </c>
    </row>
    <row r="40" spans="2:9" hidden="1">
      <c r="B40" t="s">
        <v>89</v>
      </c>
      <c r="C40" t="b">
        <v>1</v>
      </c>
    </row>
    <row r="41" spans="2:9" hidden="1">
      <c r="B41" t="s">
        <v>90</v>
      </c>
      <c r="C41" t="b">
        <v>1</v>
      </c>
    </row>
    <row r="42" spans="2:9" hidden="1">
      <c r="B42" t="s">
        <v>91</v>
      </c>
      <c r="C42" t="b">
        <v>1</v>
      </c>
    </row>
    <row r="43" spans="2:9" hidden="1">
      <c r="B43" t="s">
        <v>92</v>
      </c>
      <c r="C43" t="b">
        <v>1</v>
      </c>
    </row>
    <row r="44" spans="2:9" hidden="1">
      <c r="B44" t="s">
        <v>108</v>
      </c>
      <c r="C44" t="b">
        <v>1</v>
      </c>
    </row>
    <row r="45" spans="2:9" hidden="1">
      <c r="B45" t="s">
        <v>109</v>
      </c>
      <c r="C45" t="b">
        <v>1</v>
      </c>
    </row>
    <row r="46" spans="2:9" hidden="1">
      <c r="B46" t="s">
        <v>93</v>
      </c>
      <c r="C46" t="b">
        <v>1</v>
      </c>
    </row>
    <row r="47" spans="2:9" hidden="1">
      <c r="B47" t="s">
        <v>94</v>
      </c>
      <c r="C47" t="b">
        <v>1</v>
      </c>
    </row>
    <row r="48" spans="2:9" hidden="1">
      <c r="B48" t="s">
        <v>95</v>
      </c>
      <c r="C48" t="b">
        <v>1</v>
      </c>
    </row>
    <row r="49" spans="2:14" hidden="1">
      <c r="C49" t="b">
        <v>1</v>
      </c>
    </row>
    <row r="50" spans="2:14" hidden="1">
      <c r="C50" t="b">
        <v>1</v>
      </c>
    </row>
    <row r="51" spans="2:14" hidden="1"/>
    <row r="52" spans="2:14" hidden="1"/>
    <row r="56" spans="2:14">
      <c r="B56" s="1673" t="s">
        <v>200</v>
      </c>
      <c r="C56" s="1674"/>
      <c r="D56" s="1674"/>
      <c r="E56" s="1674"/>
      <c r="F56" s="1674"/>
      <c r="G56" s="1674"/>
      <c r="H56" s="1674"/>
      <c r="I56" s="1674"/>
      <c r="J56" s="1674"/>
      <c r="K56" s="1674"/>
      <c r="L56" s="1674"/>
      <c r="M56" s="1674"/>
      <c r="N56" s="1675"/>
    </row>
    <row r="57" spans="2:14" ht="24" customHeight="1">
      <c r="B57" s="1233" t="s">
        <v>160</v>
      </c>
      <c r="C57" s="1233" t="s">
        <v>11</v>
      </c>
      <c r="D57" s="1233"/>
      <c r="E57" s="1233" t="s">
        <v>161</v>
      </c>
      <c r="F57" s="1676"/>
      <c r="G57" s="1676"/>
      <c r="H57" s="1676"/>
      <c r="I57" s="1676"/>
      <c r="J57" s="1676"/>
      <c r="K57" s="1676"/>
      <c r="L57" s="1676"/>
      <c r="M57" s="1677"/>
      <c r="N57" s="1211" t="s">
        <v>507</v>
      </c>
    </row>
    <row r="58" spans="2:14" ht="41.25" customHeight="1">
      <c r="B58" s="1212">
        <v>1</v>
      </c>
      <c r="C58" s="1213">
        <v>42385</v>
      </c>
      <c r="D58" s="1212"/>
      <c r="E58" s="1214" t="s">
        <v>506</v>
      </c>
      <c r="F58" s="1678" t="s">
        <v>744</v>
      </c>
      <c r="G58" s="1679"/>
      <c r="H58" s="1679"/>
      <c r="I58" s="1679"/>
      <c r="J58" s="1679"/>
      <c r="K58" s="1679"/>
      <c r="L58" s="1679"/>
      <c r="M58" s="1680"/>
      <c r="N58" s="1215" t="s">
        <v>220</v>
      </c>
    </row>
    <row r="59" spans="2:14" ht="12.75" customHeight="1">
      <c r="B59" s="1212">
        <v>2</v>
      </c>
      <c r="C59" s="1213">
        <v>42781</v>
      </c>
      <c r="D59" s="1212"/>
      <c r="E59" s="1214" t="s">
        <v>513</v>
      </c>
      <c r="F59" s="1670" t="s">
        <v>515</v>
      </c>
      <c r="G59" s="1671"/>
      <c r="H59" s="1671"/>
      <c r="I59" s="1671"/>
      <c r="J59" s="1671"/>
      <c r="K59" s="1671"/>
      <c r="L59" s="1671"/>
      <c r="M59" s="1672"/>
      <c r="N59" s="1215" t="s">
        <v>510</v>
      </c>
    </row>
    <row r="60" spans="2:14" ht="12.75" customHeight="1">
      <c r="B60" s="1212">
        <v>3</v>
      </c>
      <c r="C60" s="1213">
        <v>42781</v>
      </c>
      <c r="D60" s="1212"/>
      <c r="E60" s="1214" t="s">
        <v>513</v>
      </c>
      <c r="F60" s="1670" t="s">
        <v>516</v>
      </c>
      <c r="G60" s="1671"/>
      <c r="H60" s="1671"/>
      <c r="I60" s="1671"/>
      <c r="J60" s="1671"/>
      <c r="K60" s="1671"/>
      <c r="L60" s="1671"/>
      <c r="M60" s="1672"/>
      <c r="N60" s="1215" t="s">
        <v>510</v>
      </c>
    </row>
    <row r="61" spans="2:14" ht="12.75" customHeight="1">
      <c r="B61" s="1212">
        <v>4</v>
      </c>
      <c r="C61" s="1213">
        <v>42781</v>
      </c>
      <c r="D61" s="1212"/>
      <c r="E61" s="1214" t="s">
        <v>513</v>
      </c>
      <c r="F61" s="1670" t="s">
        <v>509</v>
      </c>
      <c r="G61" s="1671"/>
      <c r="H61" s="1671"/>
      <c r="I61" s="1671"/>
      <c r="J61" s="1671"/>
      <c r="K61" s="1671"/>
      <c r="L61" s="1671"/>
      <c r="M61" s="1672"/>
      <c r="N61" s="1215" t="s">
        <v>510</v>
      </c>
    </row>
    <row r="62" spans="2:14" ht="12.75" customHeight="1">
      <c r="B62" s="1212">
        <v>5</v>
      </c>
      <c r="C62" s="1213">
        <v>42781</v>
      </c>
      <c r="D62" s="1212"/>
      <c r="E62" s="1214" t="s">
        <v>513</v>
      </c>
      <c r="F62" s="1670" t="s">
        <v>512</v>
      </c>
      <c r="G62" s="1671"/>
      <c r="H62" s="1671"/>
      <c r="I62" s="1671"/>
      <c r="J62" s="1671"/>
      <c r="K62" s="1671"/>
      <c r="L62" s="1671"/>
      <c r="M62" s="1672"/>
      <c r="N62" s="1215" t="s">
        <v>510</v>
      </c>
    </row>
    <row r="63" spans="2:14" ht="12.75" customHeight="1">
      <c r="B63" s="1212">
        <v>6</v>
      </c>
      <c r="C63" s="1213">
        <v>42816</v>
      </c>
      <c r="D63" s="1212"/>
      <c r="E63" s="1214" t="s">
        <v>736</v>
      </c>
      <c r="F63" s="1670" t="s">
        <v>737</v>
      </c>
      <c r="G63" s="1671"/>
      <c r="H63" s="1671"/>
      <c r="I63" s="1671"/>
      <c r="J63" s="1671"/>
      <c r="K63" s="1671"/>
      <c r="L63" s="1671"/>
      <c r="M63" s="1672"/>
      <c r="N63" s="1215" t="s">
        <v>510</v>
      </c>
    </row>
    <row r="64" spans="2:14" ht="12.75" customHeight="1">
      <c r="B64" s="1212">
        <v>7</v>
      </c>
      <c r="C64" s="1213">
        <v>42816</v>
      </c>
      <c r="D64" s="1212"/>
      <c r="E64" s="1214" t="s">
        <v>736</v>
      </c>
      <c r="F64" s="1670" t="s">
        <v>738</v>
      </c>
      <c r="G64" s="1671"/>
      <c r="H64" s="1671"/>
      <c r="I64" s="1671"/>
      <c r="J64" s="1671"/>
      <c r="K64" s="1671"/>
      <c r="L64" s="1671"/>
      <c r="M64" s="1672"/>
      <c r="N64" s="1215" t="s">
        <v>510</v>
      </c>
    </row>
    <row r="65" spans="2:14" ht="12.75" customHeight="1">
      <c r="B65" s="1212">
        <v>8</v>
      </c>
      <c r="C65" s="1213">
        <v>42855</v>
      </c>
      <c r="D65" s="1212"/>
      <c r="E65" s="1214" t="s">
        <v>739</v>
      </c>
      <c r="F65" s="1670" t="s">
        <v>509</v>
      </c>
      <c r="G65" s="1671"/>
      <c r="H65" s="1671"/>
      <c r="I65" s="1671"/>
      <c r="J65" s="1671"/>
      <c r="K65" s="1671"/>
      <c r="L65" s="1671"/>
      <c r="M65" s="1672"/>
      <c r="N65" s="1215" t="s">
        <v>510</v>
      </c>
    </row>
    <row r="66" spans="2:14" ht="12.75" customHeight="1">
      <c r="B66" s="1212">
        <v>9</v>
      </c>
      <c r="C66" s="1213">
        <v>42855</v>
      </c>
      <c r="D66" s="1212"/>
      <c r="E66" s="1214" t="s">
        <v>739</v>
      </c>
      <c r="F66" s="1670" t="s">
        <v>740</v>
      </c>
      <c r="G66" s="1671"/>
      <c r="H66" s="1671"/>
      <c r="I66" s="1671"/>
      <c r="J66" s="1671"/>
      <c r="K66" s="1671"/>
      <c r="L66" s="1671"/>
      <c r="M66" s="1672"/>
      <c r="N66" s="1215" t="s">
        <v>510</v>
      </c>
    </row>
    <row r="67" spans="2:14" ht="12.75" customHeight="1">
      <c r="B67" s="1212">
        <v>10</v>
      </c>
      <c r="C67" s="1213">
        <v>42857</v>
      </c>
      <c r="D67" s="1212"/>
      <c r="E67" s="1214" t="s">
        <v>743</v>
      </c>
      <c r="F67" s="1670" t="s">
        <v>741</v>
      </c>
      <c r="G67" s="1671"/>
      <c r="H67" s="1671"/>
      <c r="I67" s="1671"/>
      <c r="J67" s="1671"/>
      <c r="K67" s="1671"/>
      <c r="L67" s="1671"/>
      <c r="M67" s="1672"/>
      <c r="N67" s="1215" t="s">
        <v>510</v>
      </c>
    </row>
    <row r="68" spans="2:14" ht="12.75" customHeight="1">
      <c r="B68" s="1212">
        <v>11</v>
      </c>
      <c r="C68" s="1213">
        <v>42857</v>
      </c>
      <c r="D68" s="1212"/>
      <c r="E68" s="1214" t="s">
        <v>743</v>
      </c>
      <c r="F68" s="1670" t="s">
        <v>742</v>
      </c>
      <c r="G68" s="1671"/>
      <c r="H68" s="1671"/>
      <c r="I68" s="1671"/>
      <c r="J68" s="1671"/>
      <c r="K68" s="1671"/>
      <c r="L68" s="1671"/>
      <c r="M68" s="1672"/>
      <c r="N68" s="1215" t="s">
        <v>510</v>
      </c>
    </row>
    <row r="69" spans="2:14">
      <c r="B69" s="1212"/>
      <c r="C69" s="1213"/>
      <c r="D69" s="1212"/>
      <c r="E69" s="1214"/>
      <c r="F69" s="1670"/>
      <c r="G69" s="1671"/>
      <c r="H69" s="1671"/>
      <c r="I69" s="1671"/>
      <c r="J69" s="1671"/>
      <c r="K69" s="1671"/>
      <c r="L69" s="1671"/>
      <c r="M69" s="1672"/>
      <c r="N69" s="1215"/>
    </row>
    <row r="70" spans="2:14">
      <c r="B70" s="1212"/>
      <c r="C70" s="1213"/>
      <c r="D70" s="1212"/>
      <c r="E70" s="1214"/>
      <c r="F70" s="1670"/>
      <c r="G70" s="1671"/>
      <c r="H70" s="1671"/>
      <c r="I70" s="1671"/>
      <c r="J70" s="1671"/>
      <c r="K70" s="1671"/>
      <c r="L70" s="1671"/>
      <c r="M70" s="1672"/>
      <c r="N70" s="1215"/>
    </row>
    <row r="71" spans="2:14">
      <c r="B71" s="1212"/>
      <c r="C71" s="1213"/>
      <c r="D71" s="1212"/>
      <c r="E71" s="1214"/>
      <c r="F71" s="1670"/>
      <c r="G71" s="1671"/>
      <c r="H71" s="1671"/>
      <c r="I71" s="1671"/>
      <c r="J71" s="1671"/>
      <c r="K71" s="1671"/>
      <c r="L71" s="1671"/>
      <c r="M71" s="1672"/>
      <c r="N71" s="1215"/>
    </row>
    <row r="72" spans="2:14">
      <c r="B72" s="1212"/>
      <c r="C72" s="1213"/>
      <c r="D72" s="1212"/>
      <c r="E72" s="1214"/>
      <c r="F72" s="1670"/>
      <c r="G72" s="1671"/>
      <c r="H72" s="1671"/>
      <c r="I72" s="1671"/>
      <c r="J72" s="1671"/>
      <c r="K72" s="1671"/>
      <c r="L72" s="1671"/>
      <c r="M72" s="1672"/>
      <c r="N72" s="1215"/>
    </row>
    <row r="73" spans="2:14">
      <c r="B73" s="1212"/>
      <c r="C73" s="1213"/>
      <c r="D73" s="1212"/>
      <c r="E73" s="1214"/>
      <c r="F73" s="1670"/>
      <c r="G73" s="1671"/>
      <c r="H73" s="1671"/>
      <c r="I73" s="1671"/>
      <c r="J73" s="1671"/>
      <c r="K73" s="1671"/>
      <c r="L73" s="1671"/>
      <c r="M73" s="1672"/>
      <c r="N73" s="1215"/>
    </row>
    <row r="74" spans="2:14">
      <c r="B74" s="1212"/>
      <c r="C74" s="1213"/>
      <c r="D74" s="1212"/>
      <c r="E74" s="1214"/>
      <c r="F74" s="1670"/>
      <c r="G74" s="1671"/>
      <c r="H74" s="1671"/>
      <c r="I74" s="1671"/>
      <c r="J74" s="1671"/>
      <c r="K74" s="1671"/>
      <c r="L74" s="1671"/>
      <c r="M74" s="1672"/>
      <c r="N74" s="1215"/>
    </row>
    <row r="75" spans="2:14">
      <c r="B75" s="1212"/>
      <c r="C75" s="1213"/>
      <c r="D75" s="1212"/>
      <c r="E75" s="1214"/>
      <c r="F75" s="1670"/>
      <c r="G75" s="1671"/>
      <c r="H75" s="1671"/>
      <c r="I75" s="1671"/>
      <c r="J75" s="1671"/>
      <c r="K75" s="1671"/>
      <c r="L75" s="1671"/>
      <c r="M75" s="1672"/>
      <c r="N75" s="1215"/>
    </row>
    <row r="76" spans="2:14">
      <c r="B76" s="1212"/>
      <c r="C76" s="1213"/>
      <c r="D76" s="1212"/>
      <c r="E76" s="1214"/>
      <c r="F76" s="1670"/>
      <c r="G76" s="1671"/>
      <c r="H76" s="1671"/>
      <c r="I76" s="1671"/>
      <c r="J76" s="1671"/>
      <c r="K76" s="1671"/>
      <c r="L76" s="1671"/>
      <c r="M76" s="1672"/>
      <c r="N76" s="1215"/>
    </row>
    <row r="77" spans="2:14">
      <c r="B77" s="1212"/>
      <c r="C77" s="1213"/>
      <c r="D77" s="1212"/>
      <c r="E77" s="1214"/>
      <c r="F77" s="1670"/>
      <c r="G77" s="1671"/>
      <c r="H77" s="1671"/>
      <c r="I77" s="1671"/>
      <c r="J77" s="1671"/>
      <c r="K77" s="1671"/>
      <c r="L77" s="1671"/>
      <c r="M77" s="1672"/>
      <c r="N77" s="1215"/>
    </row>
    <row r="78" spans="2:14">
      <c r="B78" s="1212"/>
      <c r="C78" s="1213"/>
      <c r="D78" s="1212"/>
      <c r="E78" s="1214"/>
      <c r="F78" s="1670"/>
      <c r="G78" s="1671"/>
      <c r="H78" s="1671"/>
      <c r="I78" s="1671"/>
      <c r="J78" s="1671"/>
      <c r="K78" s="1671"/>
      <c r="L78" s="1671"/>
      <c r="M78" s="1672"/>
      <c r="N78" s="1215"/>
    </row>
    <row r="79" spans="2:14">
      <c r="B79" s="1212"/>
      <c r="C79" s="1213"/>
      <c r="D79" s="1212"/>
      <c r="E79" s="1214"/>
      <c r="F79" s="1670"/>
      <c r="G79" s="1671"/>
      <c r="H79" s="1671"/>
      <c r="I79" s="1671"/>
      <c r="J79" s="1671"/>
      <c r="K79" s="1671"/>
      <c r="L79" s="1671"/>
      <c r="M79" s="1672"/>
      <c r="N79" s="1215"/>
    </row>
  </sheetData>
  <sheetProtection algorithmName="SHA-512" hashValue="M0CNA78d92tIDwLB84Gg9cKxk2+gxUGr8/OATYVgD1TpZTLLsrVwz4O08GzEDSQKzbNx0uQf2qDSPweZ30cz+g==" saltValue="L3XulVSzJYD7UXgLHLpz+Q==" spinCount="100000" sheet="1" objects="1" scenarios="1" selectLockedCells="1" selectUnlockedCells="1"/>
  <mergeCells count="24">
    <mergeCell ref="F62:M62"/>
    <mergeCell ref="F61:M61"/>
    <mergeCell ref="B56:N56"/>
    <mergeCell ref="F57:M57"/>
    <mergeCell ref="F59:M59"/>
    <mergeCell ref="F58:M58"/>
    <mergeCell ref="F60:M60"/>
    <mergeCell ref="F63:M63"/>
    <mergeCell ref="F64:M64"/>
    <mergeCell ref="F65:M65"/>
    <mergeCell ref="F66:M66"/>
    <mergeCell ref="F67:M67"/>
    <mergeCell ref="F68:M68"/>
    <mergeCell ref="F69:M69"/>
    <mergeCell ref="F70:M70"/>
    <mergeCell ref="F71:M71"/>
    <mergeCell ref="F72:M72"/>
    <mergeCell ref="F78:M78"/>
    <mergeCell ref="F79:M79"/>
    <mergeCell ref="F73:M73"/>
    <mergeCell ref="F74:M74"/>
    <mergeCell ref="F75:M75"/>
    <mergeCell ref="F76:M76"/>
    <mergeCell ref="F77:M77"/>
  </mergeCells>
  <phoneticPr fontId="13" type="noConversion"/>
  <conditionalFormatting sqref="B30:H32">
    <cfRule type="cellIs" dxfId="14" priority="1" stopIfTrue="1" operator="equal">
      <formula>1</formula>
    </cfRule>
    <cfRule type="cellIs" dxfId="13" priority="2" stopIfTrue="1" operator="equal">
      <formula>2</formula>
    </cfRule>
    <cfRule type="cellIs" dxfId="12" priority="3" stopIfTrue="1" operator="equal">
      <formula>5</formula>
    </cfRule>
  </conditionalFormatting>
  <conditionalFormatting sqref="B28:H29 B11:B18 C11:H20">
    <cfRule type="cellIs" dxfId="11" priority="4" stopIfTrue="1" operator="equal">
      <formula>1</formula>
    </cfRule>
    <cfRule type="cellIs" dxfId="10" priority="5" stopIfTrue="1" operator="equal">
      <formula>2</formula>
    </cfRule>
    <cfRule type="cellIs" dxfId="9" priority="6" stopIfTrue="1" operator="equal">
      <formula>7</formula>
    </cfRule>
  </conditionalFormatting>
  <conditionalFormatting sqref="D21:H27 C21:C26">
    <cfRule type="cellIs" dxfId="8" priority="7" stopIfTrue="1" operator="equal">
      <formula>1</formula>
    </cfRule>
    <cfRule type="cellIs" dxfId="7" priority="8" stopIfTrue="1" operator="equal">
      <formula>2</formula>
    </cfRule>
    <cfRule type="cellIs" dxfId="6" priority="9" stopIfTrue="1" operator="equal">
      <formula>10</formula>
    </cfRule>
  </conditionalFormatting>
  <conditionalFormatting sqref="B19:B27 C27">
    <cfRule type="cellIs" dxfId="5" priority="10" stopIfTrue="1" operator="equal">
      <formula>1</formula>
    </cfRule>
    <cfRule type="cellIs" dxfId="4" priority="11" stopIfTrue="1" operator="equal">
      <formula>2</formula>
    </cfRule>
    <cfRule type="cellIs" dxfId="3" priority="12" stopIfTrue="1" operator="equal">
      <formula>9</formula>
    </cfRule>
  </conditionalFormatting>
  <conditionalFormatting sqref="J11:J27">
    <cfRule type="cellIs" dxfId="2" priority="13" stopIfTrue="1" operator="between">
      <formula>8</formula>
      <formula>14</formula>
    </cfRule>
    <cfRule type="cellIs" dxfId="1" priority="14" stopIfTrue="1" operator="between">
      <formula>15</formula>
      <formula>25</formula>
    </cfRule>
    <cfRule type="cellIs" dxfId="0" priority="15" stopIfTrue="1" operator="equal">
      <formula>7</formula>
    </cfRule>
  </conditionalFormatting>
  <pageMargins left="0.78740157480314965" right="0.78740157480314965" top="0.98425196850393704" bottom="0.98425196850393704" header="0.51181102362204722" footer="0.51181102362204722"/>
  <pageSetup paperSize="9" orientation="landscape" r:id="rId1"/>
  <headerFooter scaleWithDoc="0">
    <oddFooter xml:space="preserve">&amp;L I ,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
    <tabColor rgb="FFFF0000"/>
    <pageSetUpPr fitToPage="1"/>
  </sheetPr>
  <dimension ref="A2:I301"/>
  <sheetViews>
    <sheetView zoomScale="85" zoomScaleNormal="85" workbookViewId="0">
      <pane xSplit="1" ySplit="3" topLeftCell="B142" activePane="bottomRight" state="frozen"/>
      <selection pane="topRight" activeCell="B1" sqref="B1"/>
      <selection pane="bottomLeft" activeCell="A4" sqref="A4"/>
      <selection pane="bottomRight" activeCell="B172" sqref="B172"/>
    </sheetView>
  </sheetViews>
  <sheetFormatPr defaultColWidth="11.42578125" defaultRowHeight="12.75"/>
  <cols>
    <col min="2" max="3" width="104" customWidth="1"/>
    <col min="4" max="4" width="13.28515625" bestFit="1" customWidth="1"/>
    <col min="6" max="6" width="27.140625" bestFit="1" customWidth="1"/>
    <col min="9" max="9" width="12.28515625" bestFit="1" customWidth="1"/>
  </cols>
  <sheetData>
    <row r="2" spans="1:9">
      <c r="A2" t="s">
        <v>437</v>
      </c>
    </row>
    <row r="3" spans="1:9" s="336" customFormat="1" ht="15">
      <c r="A3" s="402">
        <f>MATCH(A2,B3:G3,0)+1</f>
        <v>3</v>
      </c>
      <c r="B3" s="336" t="s">
        <v>517</v>
      </c>
      <c r="C3" s="336" t="s">
        <v>437</v>
      </c>
      <c r="D3" s="336" t="s">
        <v>221</v>
      </c>
      <c r="E3"/>
      <c r="F3"/>
      <c r="I3" s="336" t="s">
        <v>222</v>
      </c>
    </row>
    <row r="4" spans="1:9">
      <c r="A4" t="str">
        <f>pos('Input Form - EingabeMaske'!B1)</f>
        <v>$B$1</v>
      </c>
      <c r="B4" t="s">
        <v>518</v>
      </c>
      <c r="C4" s="1141" t="s">
        <v>263</v>
      </c>
      <c r="D4" s="335" t="s">
        <v>243</v>
      </c>
      <c r="I4" s="336" t="s">
        <v>517</v>
      </c>
    </row>
    <row r="5" spans="1:9">
      <c r="A5" t="str">
        <f>pos('Input Form - EingabeMaske'!D3)</f>
        <v>$D$3</v>
      </c>
      <c r="B5" s="335" t="s">
        <v>519</v>
      </c>
      <c r="C5" s="1146" t="s">
        <v>443</v>
      </c>
      <c r="D5" s="335" t="s">
        <v>243</v>
      </c>
      <c r="I5" t="s">
        <v>437</v>
      </c>
    </row>
    <row r="6" spans="1:9">
      <c r="A6" t="str">
        <f>pos('Input Form - EingabeMaske'!B9)</f>
        <v>$B$9</v>
      </c>
      <c r="B6" t="s">
        <v>520</v>
      </c>
      <c r="C6" s="1146" t="s">
        <v>444</v>
      </c>
      <c r="D6" s="335" t="s">
        <v>243</v>
      </c>
    </row>
    <row r="7" spans="1:9">
      <c r="A7" t="str">
        <f>pos('Input Form - EingabeMaske'!B10)</f>
        <v>$B$10</v>
      </c>
      <c r="B7" t="s">
        <v>521</v>
      </c>
      <c r="C7" s="1141" t="s">
        <v>217</v>
      </c>
      <c r="D7" s="335" t="s">
        <v>243</v>
      </c>
    </row>
    <row r="8" spans="1:9">
      <c r="A8" t="str">
        <f>pos('Input Form - EingabeMaske'!B12)</f>
        <v>$B$12</v>
      </c>
      <c r="B8" t="s">
        <v>522</v>
      </c>
      <c r="C8" s="1141" t="s">
        <v>264</v>
      </c>
      <c r="D8" s="335" t="s">
        <v>243</v>
      </c>
    </row>
    <row r="9" spans="1:9">
      <c r="A9" t="str">
        <f>pos('Input Form - EingabeMaske'!B13)</f>
        <v>$B$13</v>
      </c>
      <c r="B9" s="335" t="s">
        <v>523</v>
      </c>
      <c r="C9" s="1146" t="s">
        <v>445</v>
      </c>
      <c r="D9" s="335" t="s">
        <v>243</v>
      </c>
    </row>
    <row r="10" spans="1:9">
      <c r="A10" t="str">
        <f>pos('Input Form - EingabeMaske'!B14)</f>
        <v>$B$14</v>
      </c>
      <c r="B10" t="s">
        <v>524</v>
      </c>
      <c r="C10" s="1141" t="s">
        <v>8</v>
      </c>
      <c r="D10" s="335" t="s">
        <v>243</v>
      </c>
    </row>
    <row r="11" spans="1:9">
      <c r="A11" t="str">
        <f>pos('Input Form - EingabeMaske'!B15)</f>
        <v>$B$15</v>
      </c>
      <c r="B11" s="335" t="s">
        <v>525</v>
      </c>
      <c r="C11" s="1146" t="s">
        <v>446</v>
      </c>
      <c r="D11" s="335" t="s">
        <v>243</v>
      </c>
    </row>
    <row r="12" spans="1:9">
      <c r="A12" t="str">
        <f>pos('Input Form - EingabeMaske'!B17)</f>
        <v>$B$17</v>
      </c>
      <c r="B12" s="1243" t="s">
        <v>746</v>
      </c>
      <c r="C12" s="1146" t="s">
        <v>447</v>
      </c>
      <c r="D12" s="335" t="s">
        <v>243</v>
      </c>
    </row>
    <row r="13" spans="1:9">
      <c r="A13" t="str">
        <f>pos('Input Form - EingabeMaske'!B18)</f>
        <v>$B$18</v>
      </c>
      <c r="B13" s="335" t="s">
        <v>526</v>
      </c>
      <c r="C13" s="1146" t="s">
        <v>448</v>
      </c>
      <c r="D13" s="335" t="s">
        <v>243</v>
      </c>
    </row>
    <row r="14" spans="1:9">
      <c r="A14" t="str">
        <f>pos('Input Form - EingabeMaske'!B19)</f>
        <v>$B$19</v>
      </c>
      <c r="B14" s="335" t="s">
        <v>527</v>
      </c>
      <c r="C14" s="1146" t="s">
        <v>265</v>
      </c>
      <c r="D14" s="335" t="s">
        <v>243</v>
      </c>
    </row>
    <row r="15" spans="1:9">
      <c r="A15" t="str">
        <f>pos('Input Form - EingabeMaske'!B20)</f>
        <v>$B$20</v>
      </c>
      <c r="B15" t="s">
        <v>528</v>
      </c>
      <c r="C15" s="1141" t="s">
        <v>218</v>
      </c>
      <c r="D15" s="335" t="s">
        <v>243</v>
      </c>
    </row>
    <row r="16" spans="1:9">
      <c r="A16" t="str">
        <f>pos('Input Form - EingabeMaske'!B21)</f>
        <v>$B$21</v>
      </c>
      <c r="B16" s="335" t="s">
        <v>529</v>
      </c>
      <c r="C16" s="1146" t="s">
        <v>266</v>
      </c>
      <c r="D16" s="335" t="s">
        <v>243</v>
      </c>
    </row>
    <row r="17" spans="1:4">
      <c r="A17" t="str">
        <f>pos('Input Form - EingabeMaske'!B22)</f>
        <v>$B$22</v>
      </c>
      <c r="B17" s="335" t="s">
        <v>530</v>
      </c>
      <c r="C17" s="1146" t="s">
        <v>245</v>
      </c>
      <c r="D17" s="335" t="s">
        <v>243</v>
      </c>
    </row>
    <row r="18" spans="1:4">
      <c r="A18" t="str">
        <f>pos('Input Form - EingabeMaske'!B23)</f>
        <v>$B$23</v>
      </c>
      <c r="B18" t="s">
        <v>531</v>
      </c>
      <c r="C18" s="1141" t="s">
        <v>267</v>
      </c>
      <c r="D18" s="335" t="s">
        <v>243</v>
      </c>
    </row>
    <row r="19" spans="1:4">
      <c r="A19" t="str">
        <f>pos('Input Form - EingabeMaske'!B24)</f>
        <v>$B$24</v>
      </c>
      <c r="B19" t="s">
        <v>532</v>
      </c>
      <c r="C19" s="1141" t="s">
        <v>268</v>
      </c>
      <c r="D19" s="335" t="s">
        <v>243</v>
      </c>
    </row>
    <row r="20" spans="1:4">
      <c r="A20" t="str">
        <f>pos('Input Form - EingabeMaske'!B25)</f>
        <v>$B$25</v>
      </c>
      <c r="B20" t="s">
        <v>533</v>
      </c>
      <c r="C20" s="1141" t="s">
        <v>269</v>
      </c>
      <c r="D20" s="335" t="s">
        <v>243</v>
      </c>
    </row>
    <row r="21" spans="1:4">
      <c r="A21" t="str">
        <f>pos('Input Form - EingabeMaske'!B26)</f>
        <v>$B$26</v>
      </c>
      <c r="B21" t="s">
        <v>534</v>
      </c>
      <c r="C21" s="1141" t="s">
        <v>328</v>
      </c>
      <c r="D21" s="335" t="s">
        <v>243</v>
      </c>
    </row>
    <row r="22" spans="1:4">
      <c r="A22" t="str">
        <f>pos('Input Form - EingabeMaske'!B27)</f>
        <v>$B$27</v>
      </c>
      <c r="B22" t="s">
        <v>535</v>
      </c>
      <c r="C22" s="1141" t="s">
        <v>270</v>
      </c>
      <c r="D22" s="335" t="s">
        <v>243</v>
      </c>
    </row>
    <row r="23" spans="1:4">
      <c r="A23" t="str">
        <f>pos('Input Form - EingabeMaske'!B28)</f>
        <v>$B$28</v>
      </c>
      <c r="B23" s="335" t="s">
        <v>536</v>
      </c>
      <c r="C23" s="1146" t="s">
        <v>449</v>
      </c>
      <c r="D23" s="335" t="s">
        <v>243</v>
      </c>
    </row>
    <row r="24" spans="1:4">
      <c r="A24" t="str">
        <f>pos('Input Form - EingabeMaske'!B29)</f>
        <v>$B$29</v>
      </c>
      <c r="B24" s="335" t="s">
        <v>537</v>
      </c>
      <c r="C24" s="1146" t="s">
        <v>288</v>
      </c>
      <c r="D24" s="335" t="s">
        <v>243</v>
      </c>
    </row>
    <row r="25" spans="1:4">
      <c r="A25" t="str">
        <f>pos('Input Form - EingabeMaske'!B30)</f>
        <v>$B$30</v>
      </c>
      <c r="B25" s="335" t="s">
        <v>538</v>
      </c>
      <c r="C25" s="1146" t="s">
        <v>289</v>
      </c>
      <c r="D25" s="335" t="s">
        <v>243</v>
      </c>
    </row>
    <row r="26" spans="1:4">
      <c r="A26" t="str">
        <f>pos('Input Form - EingabeMaske'!B31)</f>
        <v>$B$31</v>
      </c>
      <c r="B26" s="335" t="s">
        <v>539</v>
      </c>
      <c r="C26" s="1146" t="s">
        <v>290</v>
      </c>
      <c r="D26" s="335" t="s">
        <v>243</v>
      </c>
    </row>
    <row r="27" spans="1:4">
      <c r="A27" t="str">
        <f>pos('Input Form - EingabeMaske'!B33)</f>
        <v>$B$33</v>
      </c>
      <c r="B27" s="335" t="s">
        <v>540</v>
      </c>
      <c r="C27" s="1146" t="s">
        <v>450</v>
      </c>
      <c r="D27" s="335" t="s">
        <v>243</v>
      </c>
    </row>
    <row r="28" spans="1:4">
      <c r="A28" t="str">
        <f>pos('Input Form - EingabeMaske'!B34)</f>
        <v>$B$34</v>
      </c>
      <c r="B28" t="s">
        <v>541</v>
      </c>
      <c r="C28" s="1141" t="s">
        <v>329</v>
      </c>
      <c r="D28" s="335" t="s">
        <v>243</v>
      </c>
    </row>
    <row r="29" spans="1:4">
      <c r="A29" t="str">
        <f>pos('Input Form - EingabeMaske'!B36)</f>
        <v>$B$36</v>
      </c>
      <c r="B29" s="335" t="s">
        <v>542</v>
      </c>
      <c r="C29" s="1146" t="s">
        <v>271</v>
      </c>
      <c r="D29" s="335" t="s">
        <v>243</v>
      </c>
    </row>
    <row r="30" spans="1:4">
      <c r="A30" t="str">
        <f>pos('Input Form - EingabeMaske'!D10)</f>
        <v>$D$10</v>
      </c>
      <c r="B30" s="335" t="s">
        <v>543</v>
      </c>
      <c r="C30" s="1146" t="s">
        <v>504</v>
      </c>
      <c r="D30" s="335" t="s">
        <v>243</v>
      </c>
    </row>
    <row r="31" spans="1:4">
      <c r="A31" t="str">
        <f>pos('Input Form - EingabeMaske'!D13)</f>
        <v>$D$13</v>
      </c>
      <c r="B31" t="s">
        <v>544</v>
      </c>
      <c r="C31" s="1141" t="s">
        <v>272</v>
      </c>
      <c r="D31" s="335" t="s">
        <v>243</v>
      </c>
    </row>
    <row r="32" spans="1:4">
      <c r="A32" t="str">
        <f>pos('Input Form - EingabeMaske'!D18)</f>
        <v>$D$18</v>
      </c>
      <c r="B32" t="s">
        <v>545</v>
      </c>
      <c r="C32" s="1141" t="s">
        <v>273</v>
      </c>
      <c r="D32" s="335" t="s">
        <v>243</v>
      </c>
    </row>
    <row r="33" spans="1:4">
      <c r="A33" t="str">
        <f>pos('Input Form - EingabeMaske'!D19)</f>
        <v>$D$19</v>
      </c>
      <c r="B33" t="s">
        <v>546</v>
      </c>
      <c r="C33" s="1141" t="s">
        <v>274</v>
      </c>
      <c r="D33" s="335" t="s">
        <v>243</v>
      </c>
    </row>
    <row r="34" spans="1:4">
      <c r="A34" t="str">
        <f>pos('Input Form - EingabeMaske'!D20)</f>
        <v>$D$20</v>
      </c>
      <c r="B34" t="s">
        <v>547</v>
      </c>
      <c r="C34" s="1141" t="s">
        <v>9</v>
      </c>
      <c r="D34" s="335" t="s">
        <v>243</v>
      </c>
    </row>
    <row r="35" spans="1:4">
      <c r="A35" t="str">
        <f>pos('Input Form - EingabeMaske'!D21)</f>
        <v>$D$21</v>
      </c>
      <c r="B35" t="s">
        <v>548</v>
      </c>
      <c r="C35" s="1141" t="s">
        <v>330</v>
      </c>
      <c r="D35" s="335" t="s">
        <v>243</v>
      </c>
    </row>
    <row r="36" spans="1:4">
      <c r="A36" t="str">
        <f>pos('Input Form - EingabeMaske'!D22)</f>
        <v>$D$22</v>
      </c>
      <c r="B36" t="s">
        <v>549</v>
      </c>
      <c r="C36" s="1141" t="s">
        <v>331</v>
      </c>
      <c r="D36" s="335" t="s">
        <v>243</v>
      </c>
    </row>
    <row r="37" spans="1:4">
      <c r="A37" t="str">
        <f>pos('Input Form - EingabeMaske'!D23)</f>
        <v>$D$23</v>
      </c>
      <c r="B37" t="s">
        <v>550</v>
      </c>
      <c r="C37" s="1141" t="s">
        <v>332</v>
      </c>
      <c r="D37" s="335" t="s">
        <v>243</v>
      </c>
    </row>
    <row r="38" spans="1:4">
      <c r="A38" t="str">
        <f>pos('Input Form - EingabeMaske'!H9)</f>
        <v>$H$9</v>
      </c>
      <c r="B38" s="335" t="s">
        <v>551</v>
      </c>
      <c r="C38" s="1146" t="s">
        <v>451</v>
      </c>
      <c r="D38" s="335" t="s">
        <v>243</v>
      </c>
    </row>
    <row r="39" spans="1:4">
      <c r="A39" t="str">
        <f>pos('Input Form - EingabeMaske'!C36)</f>
        <v>$C$36</v>
      </c>
      <c r="B39" t="s">
        <v>552</v>
      </c>
      <c r="C39" s="1141" t="s">
        <v>333</v>
      </c>
      <c r="D39" s="335" t="s">
        <v>243</v>
      </c>
    </row>
    <row r="40" spans="1:4">
      <c r="A40" t="str">
        <f>pos('Input Form - EingabeMaske'!D37)</f>
        <v>$D$37</v>
      </c>
      <c r="B40" t="s">
        <v>553</v>
      </c>
      <c r="C40" s="1146" t="s">
        <v>452</v>
      </c>
      <c r="D40" s="335" t="s">
        <v>243</v>
      </c>
    </row>
    <row r="41" spans="1:4">
      <c r="A41" t="str">
        <f>pos('Input Form - EingabeMaske'!E37)</f>
        <v>$E$37</v>
      </c>
      <c r="B41" s="335" t="s">
        <v>554</v>
      </c>
      <c r="C41" s="1141" t="s">
        <v>334</v>
      </c>
      <c r="D41" s="335" t="s">
        <v>243</v>
      </c>
    </row>
    <row r="42" spans="1:4">
      <c r="A42" t="str">
        <f>pos('Input Form - EingabeMaske'!F37)</f>
        <v>$F$37</v>
      </c>
      <c r="B42" s="335" t="s">
        <v>555</v>
      </c>
      <c r="C42" s="1146" t="s">
        <v>335</v>
      </c>
      <c r="D42" s="335" t="s">
        <v>243</v>
      </c>
    </row>
    <row r="43" spans="1:4">
      <c r="A43" t="str">
        <f>pos('Input Form - EingabeMaske'!H37)</f>
        <v>$H$37</v>
      </c>
      <c r="B43" t="s">
        <v>556</v>
      </c>
      <c r="C43" s="1141" t="s">
        <v>336</v>
      </c>
      <c r="D43" s="335" t="s">
        <v>243</v>
      </c>
    </row>
    <row r="44" spans="1:4">
      <c r="A44" t="str">
        <f>pos('Input Form - EingabeMaske'!E36)</f>
        <v>$E$36</v>
      </c>
      <c r="B44" t="s">
        <v>557</v>
      </c>
      <c r="C44" s="1141" t="s">
        <v>337</v>
      </c>
      <c r="D44" s="335" t="s">
        <v>243</v>
      </c>
    </row>
    <row r="45" spans="1:4">
      <c r="A45" t="str">
        <f>pos('Input Form - EingabeMaske'!C33)</f>
        <v>$C$33</v>
      </c>
      <c r="B45" t="s">
        <v>558</v>
      </c>
      <c r="C45" s="1141" t="s">
        <v>229</v>
      </c>
      <c r="D45" s="335" t="s">
        <v>243</v>
      </c>
    </row>
    <row r="46" spans="1:4">
      <c r="A46" t="str">
        <f>pos('Input Form - EingabeMaske'!D33)</f>
        <v>$D$33</v>
      </c>
      <c r="B46" t="s">
        <v>559</v>
      </c>
      <c r="C46" s="1141" t="s">
        <v>230</v>
      </c>
      <c r="D46" s="335" t="s">
        <v>243</v>
      </c>
    </row>
    <row r="47" spans="1:4">
      <c r="A47" t="str">
        <f>pos('Input Form - EingabeMaske'!E33)</f>
        <v>$E$33</v>
      </c>
      <c r="B47" t="s">
        <v>560</v>
      </c>
      <c r="C47" s="1141" t="s">
        <v>231</v>
      </c>
      <c r="D47" s="335" t="s">
        <v>243</v>
      </c>
    </row>
    <row r="48" spans="1:4">
      <c r="A48" t="str">
        <f>pos('Input Form - EingabeMaske'!F33)</f>
        <v>$F$33</v>
      </c>
      <c r="B48" t="s">
        <v>561</v>
      </c>
      <c r="C48" s="1141" t="s">
        <v>232</v>
      </c>
      <c r="D48" s="335" t="s">
        <v>243</v>
      </c>
    </row>
    <row r="49" spans="1:4">
      <c r="A49" t="str">
        <f>pos('Input Form - EingabeMaske'!C38)</f>
        <v>$C$38</v>
      </c>
      <c r="B49" t="s">
        <v>562</v>
      </c>
      <c r="C49" s="1141" t="s">
        <v>233</v>
      </c>
      <c r="D49" s="335" t="s">
        <v>243</v>
      </c>
    </row>
    <row r="50" spans="1:4">
      <c r="A50" t="str">
        <f>pos('Input Form - EingabeMaske'!C39)</f>
        <v>$C$39</v>
      </c>
      <c r="B50" t="s">
        <v>563</v>
      </c>
      <c r="C50" s="1141" t="s">
        <v>234</v>
      </c>
      <c r="D50" s="335" t="s">
        <v>243</v>
      </c>
    </row>
    <row r="51" spans="1:4">
      <c r="A51" t="str">
        <f>pos('Input Form - EingabeMaske'!C40)</f>
        <v>$C$40</v>
      </c>
      <c r="B51" t="s">
        <v>564</v>
      </c>
      <c r="C51" s="1141" t="s">
        <v>235</v>
      </c>
      <c r="D51" s="335" t="s">
        <v>243</v>
      </c>
    </row>
    <row r="52" spans="1:4">
      <c r="A52" t="str">
        <f>pos('Input Form - EingabeMaske'!C41)</f>
        <v>$C$41</v>
      </c>
      <c r="B52" t="s">
        <v>565</v>
      </c>
      <c r="C52" s="1141" t="s">
        <v>242</v>
      </c>
      <c r="D52" s="335" t="s">
        <v>243</v>
      </c>
    </row>
    <row r="53" spans="1:4">
      <c r="A53" t="str">
        <f>pos('Input Form - EingabeMaske'!C42)</f>
        <v>$C$42</v>
      </c>
      <c r="B53" t="s">
        <v>566</v>
      </c>
      <c r="C53" s="1141" t="s">
        <v>236</v>
      </c>
      <c r="D53" s="335" t="s">
        <v>243</v>
      </c>
    </row>
    <row r="54" spans="1:4">
      <c r="A54" t="str">
        <f>pos('Input Form - EingabeMaske'!C43)</f>
        <v>$C$43</v>
      </c>
      <c r="B54" t="s">
        <v>567</v>
      </c>
      <c r="C54" s="1141" t="s">
        <v>237</v>
      </c>
      <c r="D54" s="335" t="s">
        <v>243</v>
      </c>
    </row>
    <row r="55" spans="1:4">
      <c r="A55" t="str">
        <f>pos('Input Form - EingabeMaske'!C44)</f>
        <v>$C$44</v>
      </c>
      <c r="B55" t="s">
        <v>568</v>
      </c>
      <c r="C55" s="1141" t="s">
        <v>238</v>
      </c>
      <c r="D55" s="335" t="s">
        <v>243</v>
      </c>
    </row>
    <row r="56" spans="1:4">
      <c r="A56" t="str">
        <f>pos('Input Form - EingabeMaske'!C45)</f>
        <v>$C$45</v>
      </c>
      <c r="B56" t="s">
        <v>569</v>
      </c>
      <c r="C56" s="1141" t="s">
        <v>239</v>
      </c>
      <c r="D56" s="335" t="s">
        <v>243</v>
      </c>
    </row>
    <row r="57" spans="1:4">
      <c r="A57" t="str">
        <f>pos('Input Form - EingabeMaske'!C46)</f>
        <v>$C$46</v>
      </c>
      <c r="B57" t="s">
        <v>570</v>
      </c>
      <c r="C57" s="1141" t="s">
        <v>240</v>
      </c>
      <c r="D57" s="335" t="s">
        <v>243</v>
      </c>
    </row>
    <row r="58" spans="1:4">
      <c r="A58" t="str">
        <f>pos('Input Form - EingabeMaske'!C47)</f>
        <v>$C$47</v>
      </c>
      <c r="B58" t="s">
        <v>571</v>
      </c>
      <c r="C58" s="1141" t="s">
        <v>241</v>
      </c>
      <c r="D58" s="335" t="s">
        <v>243</v>
      </c>
    </row>
    <row r="59" spans="1:4">
      <c r="A59" t="str">
        <f>pos('Input Form - EingabeMaske'!B64)</f>
        <v>$B$64</v>
      </c>
      <c r="B59" t="s">
        <v>572</v>
      </c>
      <c r="C59" s="1141" t="s">
        <v>338</v>
      </c>
      <c r="D59" s="335" t="s">
        <v>243</v>
      </c>
    </row>
    <row r="60" spans="1:4">
      <c r="A60" t="str">
        <f>pos('Input Form - EingabeMaske'!B64)</f>
        <v>$B$64</v>
      </c>
      <c r="B60" s="496" t="s">
        <v>572</v>
      </c>
      <c r="C60" s="1148" t="s">
        <v>338</v>
      </c>
      <c r="D60" s="335" t="s">
        <v>243</v>
      </c>
    </row>
    <row r="61" spans="1:4">
      <c r="A61" t="str">
        <f>pos('Input Form - EingabeMaske'!B50)</f>
        <v>$B$50</v>
      </c>
      <c r="B61" s="496" t="s">
        <v>573</v>
      </c>
      <c r="C61" s="1148" t="s">
        <v>339</v>
      </c>
      <c r="D61" s="335" t="s">
        <v>243</v>
      </c>
    </row>
    <row r="62" spans="1:4">
      <c r="A62" t="str">
        <f>pos('Input Form - EingabeMaske'!B65)</f>
        <v>$B$65</v>
      </c>
      <c r="B62" s="1243" t="s">
        <v>550</v>
      </c>
      <c r="C62" s="1141" t="s">
        <v>340</v>
      </c>
      <c r="D62" s="335" t="s">
        <v>243</v>
      </c>
    </row>
    <row r="63" spans="1:4">
      <c r="A63" t="str">
        <f>pos('Input Form - EingabeMaske'!B66)</f>
        <v>$B$66</v>
      </c>
      <c r="B63" s="1243" t="s">
        <v>762</v>
      </c>
      <c r="C63" s="1141" t="s">
        <v>275</v>
      </c>
      <c r="D63" s="335" t="s">
        <v>243</v>
      </c>
    </row>
    <row r="64" spans="1:4">
      <c r="A64" t="str">
        <f>pos('Input Form - EingabeMaske'!B67)</f>
        <v>$B$67</v>
      </c>
      <c r="B64" s="1243" t="s">
        <v>756</v>
      </c>
      <c r="C64" s="1141" t="s">
        <v>276</v>
      </c>
      <c r="D64" s="335" t="s">
        <v>243</v>
      </c>
    </row>
    <row r="65" spans="1:4">
      <c r="A65" t="str">
        <f>pos('Input Form - EingabeMaske'!B68)</f>
        <v>$B$68</v>
      </c>
      <c r="B65" s="1243" t="s">
        <v>757</v>
      </c>
      <c r="C65" s="1141" t="s">
        <v>277</v>
      </c>
      <c r="D65" s="335" t="s">
        <v>243</v>
      </c>
    </row>
    <row r="66" spans="1:4">
      <c r="A66" t="str">
        <f>pos('Input Form - EingabeMaske'!B69)</f>
        <v>$B$69</v>
      </c>
      <c r="B66" s="1243" t="s">
        <v>758</v>
      </c>
      <c r="C66" s="1141" t="s">
        <v>278</v>
      </c>
      <c r="D66" s="335" t="s">
        <v>243</v>
      </c>
    </row>
    <row r="67" spans="1:4">
      <c r="A67" t="str">
        <f>pos('Input Form - EingabeMaske'!B70)</f>
        <v>$B$70</v>
      </c>
      <c r="B67" s="1243" t="s">
        <v>759</v>
      </c>
      <c r="C67" s="1141" t="s">
        <v>283</v>
      </c>
      <c r="D67" s="335" t="s">
        <v>243</v>
      </c>
    </row>
    <row r="68" spans="1:4">
      <c r="A68" t="str">
        <f>pos('Input Form - EingabeMaske'!B71)</f>
        <v>$B$71</v>
      </c>
      <c r="B68" s="1243" t="s">
        <v>760</v>
      </c>
      <c r="C68" s="1141" t="s">
        <v>284</v>
      </c>
      <c r="D68" s="335" t="s">
        <v>243</v>
      </c>
    </row>
    <row r="69" spans="1:4">
      <c r="A69" t="str">
        <f>pos('Input Form - EingabeMaske'!B72)</f>
        <v>$B$72</v>
      </c>
      <c r="B69" s="1243" t="s">
        <v>761</v>
      </c>
      <c r="C69" s="1141" t="s">
        <v>285</v>
      </c>
      <c r="D69" s="335" t="s">
        <v>243</v>
      </c>
    </row>
    <row r="70" spans="1:4">
      <c r="A70" t="str">
        <f>pos('Input Form - EingabeMaske'!B73)</f>
        <v>$B$73</v>
      </c>
      <c r="B70" s="1243" t="s">
        <v>755</v>
      </c>
      <c r="C70" s="1141" t="s">
        <v>291</v>
      </c>
      <c r="D70" s="335" t="s">
        <v>243</v>
      </c>
    </row>
    <row r="71" spans="1:4">
      <c r="A71" t="str">
        <f>pos('Input Form - EingabeMaske'!E17)</f>
        <v>$E$17</v>
      </c>
      <c r="B71" s="335" t="s">
        <v>574</v>
      </c>
      <c r="C71" s="1146" t="s">
        <v>261</v>
      </c>
      <c r="D71" s="335" t="s">
        <v>243</v>
      </c>
    </row>
    <row r="72" spans="1:4">
      <c r="A72" t="str">
        <f>pos('Input Form - EingabeMaske'!C52)</f>
        <v>$C$52</v>
      </c>
      <c r="B72" t="s">
        <v>575</v>
      </c>
      <c r="C72" s="1141" t="s">
        <v>253</v>
      </c>
      <c r="D72" s="335" t="s">
        <v>243</v>
      </c>
    </row>
    <row r="73" spans="1:4">
      <c r="A73" t="str">
        <f>pos('Input Form - EingabeMaske'!D52)</f>
        <v>$D$52</v>
      </c>
      <c r="B73" t="s">
        <v>576</v>
      </c>
      <c r="C73" s="1141" t="s">
        <v>254</v>
      </c>
      <c r="D73" s="335" t="s">
        <v>243</v>
      </c>
    </row>
    <row r="74" spans="1:4">
      <c r="A74" t="str">
        <f>pos('Input Form - EingabeMaske'!E52)</f>
        <v>$E$52</v>
      </c>
      <c r="B74" t="s">
        <v>577</v>
      </c>
      <c r="C74" s="1141" t="s">
        <v>255</v>
      </c>
      <c r="D74" s="335" t="s">
        <v>243</v>
      </c>
    </row>
    <row r="75" spans="1:4">
      <c r="A75" t="str">
        <f>pos('Input Form - EingabeMaske'!F52)</f>
        <v>$F$52</v>
      </c>
      <c r="B75" t="s">
        <v>578</v>
      </c>
      <c r="C75" s="1141" t="s">
        <v>256</v>
      </c>
      <c r="D75" s="335" t="s">
        <v>243</v>
      </c>
    </row>
    <row r="76" spans="1:4">
      <c r="A76" t="str">
        <f>pos('Input Form - EingabeMaske'!G14)</f>
        <v>$G$14</v>
      </c>
      <c r="B76" s="335" t="s">
        <v>579</v>
      </c>
      <c r="C76" s="1146" t="s">
        <v>493</v>
      </c>
      <c r="D76" s="335" t="s">
        <v>243</v>
      </c>
    </row>
    <row r="77" spans="1:4">
      <c r="B77" s="335"/>
      <c r="C77" s="1146"/>
      <c r="D77" s="335" t="s">
        <v>243</v>
      </c>
    </row>
    <row r="78" spans="1:4">
      <c r="A78" t="str">
        <f>pos('Input Form - EingabeMaske'!E66)</f>
        <v>$E$66</v>
      </c>
      <c r="B78" s="335" t="s">
        <v>580</v>
      </c>
      <c r="C78" s="1141" t="s">
        <v>246</v>
      </c>
      <c r="D78" s="335" t="s">
        <v>243</v>
      </c>
    </row>
    <row r="79" spans="1:4">
      <c r="A79" t="str">
        <f>pos('Input Form - EingabeMaske'!E74)</f>
        <v>$E$74</v>
      </c>
      <c r="B79" s="335" t="s">
        <v>581</v>
      </c>
      <c r="C79" s="1146" t="s">
        <v>341</v>
      </c>
      <c r="D79" s="335" t="s">
        <v>243</v>
      </c>
    </row>
    <row r="80" spans="1:4">
      <c r="A80" t="str">
        <f>pos('Input Form - EingabeMaske'!F45)</f>
        <v>$F$45</v>
      </c>
      <c r="B80" t="s">
        <v>582</v>
      </c>
      <c r="C80" s="1141" t="s">
        <v>342</v>
      </c>
      <c r="D80" s="335" t="s">
        <v>243</v>
      </c>
    </row>
    <row r="81" spans="1:9">
      <c r="A81" t="str">
        <f>pos('Input Form - EingabeMaske'!J1)</f>
        <v>$J$1</v>
      </c>
      <c r="B81" s="335" t="s">
        <v>583</v>
      </c>
      <c r="C81" s="1146" t="s">
        <v>429</v>
      </c>
      <c r="D81" s="335" t="s">
        <v>243</v>
      </c>
    </row>
    <row r="82" spans="1:9">
      <c r="A82" t="str">
        <f>pos('Input Form - EingabeMaske'!J2)</f>
        <v>$J$2</v>
      </c>
      <c r="B82" s="335" t="s">
        <v>584</v>
      </c>
      <c r="C82" s="1146" t="s">
        <v>430</v>
      </c>
      <c r="D82" s="335" t="s">
        <v>243</v>
      </c>
    </row>
    <row r="83" spans="1:9">
      <c r="A83" t="str">
        <f>pos('Input Form - EingabeMaske'!B2)</f>
        <v>$B$2</v>
      </c>
      <c r="B83" s="1133" t="s">
        <v>585</v>
      </c>
      <c r="C83" s="1137" t="s">
        <v>441</v>
      </c>
      <c r="D83" s="335" t="s">
        <v>243</v>
      </c>
    </row>
    <row r="84" spans="1:9">
      <c r="A84" t="str">
        <f>pos('Input Form - EingabeMaske'!B3)</f>
        <v>$B$3</v>
      </c>
      <c r="B84" s="1134" t="s">
        <v>586</v>
      </c>
      <c r="C84" s="1136" t="s">
        <v>438</v>
      </c>
      <c r="D84" s="335" t="s">
        <v>243</v>
      </c>
    </row>
    <row r="85" spans="1:9">
      <c r="A85" t="str">
        <f>pos('Input Form - EingabeMaske'!B4)</f>
        <v>$B$4</v>
      </c>
      <c r="B85" s="1134" t="s">
        <v>587</v>
      </c>
      <c r="C85" s="1136" t="s">
        <v>439</v>
      </c>
      <c r="D85" s="335" t="s">
        <v>243</v>
      </c>
    </row>
    <row r="86" spans="1:9">
      <c r="A86" t="str">
        <f>pos('Input Form - EingabeMaske'!B5)</f>
        <v>$B$5</v>
      </c>
      <c r="B86" s="1135" t="s">
        <v>588</v>
      </c>
      <c r="C86" s="1136" t="s">
        <v>440</v>
      </c>
      <c r="D86" s="335" t="s">
        <v>243</v>
      </c>
    </row>
    <row r="87" spans="1:9">
      <c r="A87" t="str">
        <f>pos('Input Form - EingabeMaske'!B6)</f>
        <v>$B$6</v>
      </c>
      <c r="B87" s="1135" t="s">
        <v>589</v>
      </c>
      <c r="C87" s="1136" t="s">
        <v>442</v>
      </c>
      <c r="D87" s="335" t="s">
        <v>243</v>
      </c>
    </row>
    <row r="88" spans="1:9">
      <c r="C88" s="1141"/>
      <c r="D88" s="335" t="s">
        <v>243</v>
      </c>
    </row>
    <row r="89" spans="1:9">
      <c r="C89" s="1141"/>
      <c r="D89" s="335" t="s">
        <v>243</v>
      </c>
    </row>
    <row r="90" spans="1:9">
      <c r="C90" s="1141"/>
      <c r="D90" s="335" t="s">
        <v>243</v>
      </c>
    </row>
    <row r="91" spans="1:9">
      <c r="C91" s="1141"/>
      <c r="D91" s="335" t="s">
        <v>243</v>
      </c>
    </row>
    <row r="92" spans="1:9">
      <c r="C92" s="1141"/>
      <c r="D92" s="335" t="s">
        <v>243</v>
      </c>
    </row>
    <row r="93" spans="1:9">
      <c r="C93" s="1141"/>
      <c r="D93" s="335" t="s">
        <v>243</v>
      </c>
    </row>
    <row r="94" spans="1:9">
      <c r="C94" s="1141"/>
      <c r="D94" s="335" t="s">
        <v>243</v>
      </c>
      <c r="I94" s="46"/>
    </row>
    <row r="95" spans="1:9">
      <c r="C95" s="1141"/>
      <c r="D95" s="335" t="s">
        <v>243</v>
      </c>
      <c r="I95" s="46"/>
    </row>
    <row r="96" spans="1:9">
      <c r="C96" s="1141"/>
      <c r="D96" s="335" t="s">
        <v>243</v>
      </c>
      <c r="I96" s="46"/>
    </row>
    <row r="97" spans="1:9">
      <c r="C97" s="1141"/>
      <c r="D97" s="335" t="s">
        <v>243</v>
      </c>
      <c r="I97" s="46"/>
    </row>
    <row r="98" spans="1:9">
      <c r="C98" s="1141"/>
      <c r="D98" s="335" t="s">
        <v>243</v>
      </c>
      <c r="I98" s="46"/>
    </row>
    <row r="99" spans="1:9" s="497" customFormat="1" ht="13.5" thickBot="1">
      <c r="C99" s="1149"/>
      <c r="D99" s="497" t="s">
        <v>243</v>
      </c>
      <c r="E99"/>
      <c r="F99"/>
    </row>
    <row r="100" spans="1:9" ht="13.5" thickTop="1">
      <c r="A100" t="str">
        <f>pos('First Sheet - Deckblatt'!A2)</f>
        <v>$A$2</v>
      </c>
      <c r="B100" s="335" t="s">
        <v>754</v>
      </c>
      <c r="C100" s="1146" t="s">
        <v>281</v>
      </c>
      <c r="D100" s="252" t="s">
        <v>86</v>
      </c>
    </row>
    <row r="101" spans="1:9">
      <c r="A101" t="str">
        <f>pos('First Sheet - Deckblatt'!E2)</f>
        <v>$E$2</v>
      </c>
      <c r="B101" t="s">
        <v>590</v>
      </c>
      <c r="C101" s="1141" t="s">
        <v>219</v>
      </c>
      <c r="D101" s="252" t="s">
        <v>86</v>
      </c>
    </row>
    <row r="102" spans="1:9">
      <c r="A102" t="str">
        <f>pos('First Sheet - Deckblatt'!A5)</f>
        <v>$A$5</v>
      </c>
      <c r="B102" t="s">
        <v>591</v>
      </c>
      <c r="C102" s="1141" t="s">
        <v>286</v>
      </c>
      <c r="D102" s="252" t="s">
        <v>86</v>
      </c>
    </row>
    <row r="103" spans="1:9">
      <c r="A103" t="str">
        <f>pos('First Sheet - Deckblatt'!A7)</f>
        <v>$A$7</v>
      </c>
      <c r="B103" s="335" t="s">
        <v>592</v>
      </c>
      <c r="C103" s="1146" t="s">
        <v>343</v>
      </c>
      <c r="D103" s="252" t="s">
        <v>86</v>
      </c>
    </row>
    <row r="104" spans="1:9">
      <c r="A104" t="str">
        <f>pos('First Sheet - Deckblatt'!A13)</f>
        <v>$A$13</v>
      </c>
      <c r="B104" t="s">
        <v>593</v>
      </c>
      <c r="C104" s="1141" t="s">
        <v>287</v>
      </c>
      <c r="D104" s="252" t="s">
        <v>86</v>
      </c>
    </row>
    <row r="105" spans="1:9">
      <c r="C105" s="1141"/>
      <c r="D105" s="252" t="s">
        <v>86</v>
      </c>
    </row>
    <row r="106" spans="1:9">
      <c r="C106" s="1141"/>
      <c r="D106" s="252" t="s">
        <v>86</v>
      </c>
    </row>
    <row r="107" spans="1:9">
      <c r="C107" s="1141"/>
      <c r="D107" s="252" t="s">
        <v>86</v>
      </c>
    </row>
    <row r="108" spans="1:9">
      <c r="C108" s="1141"/>
      <c r="D108" s="252" t="s">
        <v>86</v>
      </c>
    </row>
    <row r="109" spans="1:9">
      <c r="C109" s="1141"/>
      <c r="D109" s="252" t="s">
        <v>86</v>
      </c>
    </row>
    <row r="110" spans="1:9">
      <c r="C110" s="1141"/>
      <c r="D110" s="252" t="s">
        <v>86</v>
      </c>
    </row>
    <row r="111" spans="1:9">
      <c r="C111" s="1141"/>
      <c r="D111" s="252" t="s">
        <v>86</v>
      </c>
    </row>
    <row r="112" spans="1:9">
      <c r="C112" s="1141"/>
      <c r="D112" s="252" t="s">
        <v>86</v>
      </c>
    </row>
    <row r="113" spans="1:6">
      <c r="C113" s="1141"/>
      <c r="D113" s="252" t="s">
        <v>86</v>
      </c>
    </row>
    <row r="114" spans="1:6">
      <c r="C114" s="1141"/>
      <c r="D114" s="252" t="s">
        <v>86</v>
      </c>
    </row>
    <row r="115" spans="1:6">
      <c r="C115" s="1141"/>
      <c r="D115" s="252" t="s">
        <v>86</v>
      </c>
    </row>
    <row r="116" spans="1:6">
      <c r="C116" s="1141"/>
      <c r="D116" s="252" t="s">
        <v>86</v>
      </c>
    </row>
    <row r="117" spans="1:6">
      <c r="C117" s="1141"/>
      <c r="D117" s="252" t="s">
        <v>86</v>
      </c>
    </row>
    <row r="118" spans="1:6">
      <c r="C118" s="1141"/>
      <c r="D118" s="252" t="s">
        <v>86</v>
      </c>
    </row>
    <row r="119" spans="1:6" s="497" customFormat="1" ht="13.5" thickBot="1">
      <c r="C119" s="1149"/>
      <c r="D119" s="497" t="s">
        <v>86</v>
      </c>
      <c r="E119"/>
      <c r="F119"/>
    </row>
    <row r="120" spans="1:6" s="46" customFormat="1" ht="13.5" thickTop="1">
      <c r="A120" s="46" t="str">
        <f>pos('Evaluation-Bewertung'!E3)</f>
        <v>$E$3</v>
      </c>
      <c r="B120" s="46" t="s">
        <v>594</v>
      </c>
      <c r="C120" s="1144" t="s">
        <v>344</v>
      </c>
      <c r="D120" s="252" t="s">
        <v>314</v>
      </c>
      <c r="E120"/>
      <c r="F120"/>
    </row>
    <row r="121" spans="1:6" s="46" customFormat="1">
      <c r="A121" s="46" t="str">
        <f>pos('Evaluation-Bewertung'!E27)</f>
        <v>$E$27</v>
      </c>
      <c r="B121" s="46" t="s">
        <v>595</v>
      </c>
      <c r="C121" s="1144" t="s">
        <v>345</v>
      </c>
      <c r="D121" s="252" t="s">
        <v>314</v>
      </c>
      <c r="E121"/>
      <c r="F121"/>
    </row>
    <row r="122" spans="1:6" s="46" customFormat="1">
      <c r="A122" s="46" t="str">
        <f>pos('Evaluation-Bewertung'!D35)</f>
        <v>$D$35</v>
      </c>
      <c r="B122" s="46" t="s">
        <v>596</v>
      </c>
      <c r="C122" s="1144" t="s">
        <v>346</v>
      </c>
      <c r="D122" s="252" t="s">
        <v>314</v>
      </c>
      <c r="E122"/>
      <c r="F122"/>
    </row>
    <row r="123" spans="1:6" s="46" customFormat="1">
      <c r="A123" s="46" t="str">
        <f>pos('Evaluation-Bewertung'!D20)</f>
        <v>$D$20</v>
      </c>
      <c r="B123" s="626" t="s">
        <v>597</v>
      </c>
      <c r="C123" s="1151" t="s">
        <v>347</v>
      </c>
      <c r="D123" s="252" t="s">
        <v>314</v>
      </c>
      <c r="E123"/>
      <c r="F123"/>
    </row>
    <row r="124" spans="1:6" s="46" customFormat="1">
      <c r="A124" s="46" t="str">
        <f>pos('Evaluation-Bewertung'!Q20)</f>
        <v>$Q$20</v>
      </c>
      <c r="B124" s="626" t="s">
        <v>598</v>
      </c>
      <c r="C124" s="1151" t="s">
        <v>348</v>
      </c>
      <c r="D124" s="252" t="s">
        <v>314</v>
      </c>
      <c r="E124"/>
      <c r="F124"/>
    </row>
    <row r="125" spans="1:6" s="46" customFormat="1">
      <c r="A125" s="46" t="str">
        <f>pos('Evaluation-Bewertung'!L7)</f>
        <v>$L$7</v>
      </c>
      <c r="B125" s="626" t="s">
        <v>599</v>
      </c>
      <c r="C125" s="1151" t="s">
        <v>492</v>
      </c>
      <c r="D125" s="252" t="s">
        <v>314</v>
      </c>
      <c r="E125"/>
      <c r="F125"/>
    </row>
    <row r="126" spans="1:6" s="46" customFormat="1">
      <c r="A126" s="46" t="str">
        <f>pos('Evaluation-Bewertung'!M7)</f>
        <v>$M$7</v>
      </c>
      <c r="B126" s="626" t="s">
        <v>600</v>
      </c>
      <c r="C126" s="1151" t="s">
        <v>491</v>
      </c>
      <c r="D126" s="252" t="s">
        <v>314</v>
      </c>
      <c r="E126"/>
      <c r="F126"/>
    </row>
    <row r="127" spans="1:6" s="46" customFormat="1">
      <c r="A127" s="46" t="str">
        <f>pos('Evaluation-Bewertung'!N7)</f>
        <v>$N$7</v>
      </c>
      <c r="B127" s="626" t="s">
        <v>601</v>
      </c>
      <c r="C127" s="1151" t="s">
        <v>490</v>
      </c>
      <c r="D127" s="252" t="s">
        <v>314</v>
      </c>
      <c r="E127"/>
      <c r="F127"/>
    </row>
    <row r="128" spans="1:6" s="46" customFormat="1">
      <c r="A128" s="46" t="str">
        <f>pos('Evaluation-Bewertung'!D33)</f>
        <v>$D$33</v>
      </c>
      <c r="B128" s="626" t="s">
        <v>602</v>
      </c>
      <c r="C128" s="1151" t="s">
        <v>349</v>
      </c>
      <c r="D128" s="252" t="s">
        <v>314</v>
      </c>
      <c r="E128"/>
      <c r="F128"/>
    </row>
    <row r="129" spans="1:6" s="46" customFormat="1">
      <c r="A129" s="46" t="str">
        <f>pos('Evaluation-Bewertung'!J33)</f>
        <v>$J$33</v>
      </c>
      <c r="B129" s="626" t="s">
        <v>603</v>
      </c>
      <c r="C129" s="1151" t="s">
        <v>350</v>
      </c>
      <c r="D129" s="252" t="s">
        <v>314</v>
      </c>
      <c r="E129"/>
      <c r="F129"/>
    </row>
    <row r="130" spans="1:6" s="46" customFormat="1">
      <c r="A130" s="46" t="str">
        <f>pos('Evaluation-Bewertung'!P33)</f>
        <v>$P$33</v>
      </c>
      <c r="B130" s="46" t="s">
        <v>604</v>
      </c>
      <c r="C130" s="1144" t="s">
        <v>351</v>
      </c>
      <c r="D130" s="252" t="s">
        <v>314</v>
      </c>
      <c r="E130"/>
      <c r="F130"/>
    </row>
    <row r="131" spans="1:6" s="46" customFormat="1">
      <c r="A131" s="46" t="str">
        <f>pos('Evaluation-Bewertung'!T33)</f>
        <v>$T$33</v>
      </c>
      <c r="B131" s="3" t="s">
        <v>605</v>
      </c>
      <c r="C131" s="1144" t="s">
        <v>352</v>
      </c>
      <c r="D131" s="252" t="s">
        <v>314</v>
      </c>
      <c r="E131"/>
      <c r="F131"/>
    </row>
    <row r="132" spans="1:6" s="46" customFormat="1">
      <c r="A132" s="46" t="str">
        <f>pos('Evaluation-Bewertung'!Z33)</f>
        <v>$Z$33</v>
      </c>
      <c r="B132" s="46" t="s">
        <v>606</v>
      </c>
      <c r="C132" s="1144" t="s">
        <v>353</v>
      </c>
      <c r="D132" s="252" t="s">
        <v>314</v>
      </c>
      <c r="E132"/>
      <c r="F132"/>
    </row>
    <row r="133" spans="1:6" s="46" customFormat="1">
      <c r="A133" s="46" t="str">
        <f>pos('Evaluation-Bewertung'!AE33)</f>
        <v>$AE$33</v>
      </c>
      <c r="B133" s="46" t="s">
        <v>607</v>
      </c>
      <c r="C133" s="1144" t="s">
        <v>354</v>
      </c>
      <c r="D133" s="252" t="s">
        <v>314</v>
      </c>
      <c r="E133"/>
      <c r="F133"/>
    </row>
    <row r="134" spans="1:6" s="46" customFormat="1">
      <c r="A134" s="46" t="str">
        <f>pos('Evaluation-Bewertung'!AX33)</f>
        <v>$AX$33</v>
      </c>
      <c r="B134" s="46" t="s">
        <v>608</v>
      </c>
      <c r="C134" s="1144" t="s">
        <v>355</v>
      </c>
      <c r="D134" s="252" t="s">
        <v>314</v>
      </c>
      <c r="E134"/>
      <c r="F134"/>
    </row>
    <row r="135" spans="1:6" s="46" customFormat="1">
      <c r="A135" s="46" t="str">
        <f>pos('Evaluation-Bewertung'!AQ5)</f>
        <v>$AQ$5</v>
      </c>
      <c r="B135" s="626" t="s">
        <v>609</v>
      </c>
      <c r="C135" s="1151" t="s">
        <v>356</v>
      </c>
      <c r="D135" s="252" t="s">
        <v>314</v>
      </c>
      <c r="E135"/>
      <c r="F135"/>
    </row>
    <row r="136" spans="1:6" s="46" customFormat="1">
      <c r="A136" s="46" t="str">
        <f>pos('Evaluation-Bewertung'!AQ33)</f>
        <v>$AQ$33</v>
      </c>
      <c r="B136" s="626" t="s">
        <v>610</v>
      </c>
      <c r="C136" s="1151" t="s">
        <v>357</v>
      </c>
      <c r="D136" s="252" t="s">
        <v>314</v>
      </c>
      <c r="E136"/>
      <c r="F136"/>
    </row>
    <row r="137" spans="1:6" s="46" customFormat="1">
      <c r="A137" s="46" t="str">
        <f>pos('Evaluation-Bewertung'!I1)</f>
        <v>$I$1</v>
      </c>
      <c r="B137" s="626" t="s">
        <v>611</v>
      </c>
      <c r="C137" s="1151" t="s">
        <v>358</v>
      </c>
      <c r="D137" s="252" t="s">
        <v>314</v>
      </c>
      <c r="E137"/>
      <c r="F137"/>
    </row>
    <row r="138" spans="1:6" s="46" customFormat="1" ht="25.5">
      <c r="A138" t="str">
        <f>pos('Evaluation-Bewertung'!AL75)</f>
        <v>$AL$75</v>
      </c>
      <c r="B138" s="14" t="s">
        <v>612</v>
      </c>
      <c r="C138" s="1143" t="s">
        <v>359</v>
      </c>
      <c r="D138" s="252" t="s">
        <v>314</v>
      </c>
      <c r="E138"/>
      <c r="F138"/>
    </row>
    <row r="139" spans="1:6" s="46" customFormat="1" ht="25.5">
      <c r="A139" t="str">
        <f>pos('Evaluation-Bewertung'!AL78)</f>
        <v>$AL$78</v>
      </c>
      <c r="B139" s="14" t="s">
        <v>613</v>
      </c>
      <c r="C139" s="1143" t="s">
        <v>360</v>
      </c>
      <c r="D139" s="252" t="s">
        <v>314</v>
      </c>
      <c r="E139"/>
      <c r="F139"/>
    </row>
    <row r="140" spans="1:6" s="46" customFormat="1">
      <c r="A140" s="46" t="str">
        <f>pos('Evaluation-Bewertung'!E73)</f>
        <v>$E$73</v>
      </c>
      <c r="B140" s="46" t="s">
        <v>614</v>
      </c>
      <c r="C140" s="1144" t="s">
        <v>361</v>
      </c>
      <c r="D140" s="252" t="s">
        <v>314</v>
      </c>
      <c r="E140"/>
      <c r="F140"/>
    </row>
    <row r="141" spans="1:6" s="46" customFormat="1">
      <c r="A141" s="46" t="str">
        <f>pos('Evaluation-Bewertung'!E74)</f>
        <v>$E$74</v>
      </c>
      <c r="B141" s="46" t="s">
        <v>615</v>
      </c>
      <c r="C141" s="1144" t="s">
        <v>362</v>
      </c>
      <c r="D141" s="252" t="s">
        <v>314</v>
      </c>
      <c r="E141"/>
      <c r="F141"/>
    </row>
    <row r="142" spans="1:6" s="46" customFormat="1">
      <c r="A142" s="46" t="str">
        <f>pos('Evaluation-Bewertung'!E75)</f>
        <v>$E$75</v>
      </c>
      <c r="B142" s="46" t="s">
        <v>616</v>
      </c>
      <c r="C142" s="1144" t="s">
        <v>363</v>
      </c>
      <c r="D142" s="252" t="s">
        <v>314</v>
      </c>
      <c r="E142"/>
      <c r="F142"/>
    </row>
    <row r="143" spans="1:6" s="46" customFormat="1">
      <c r="A143" s="46" t="str">
        <f>pos('Evaluation-Bewertung'!E76)</f>
        <v>$E$76</v>
      </c>
      <c r="B143" s="3" t="s">
        <v>617</v>
      </c>
      <c r="C143" s="1142" t="s">
        <v>432</v>
      </c>
      <c r="D143" s="252" t="s">
        <v>314</v>
      </c>
      <c r="E143"/>
      <c r="F143"/>
    </row>
    <row r="144" spans="1:6" s="46" customFormat="1">
      <c r="A144" s="46" t="str">
        <f>pos('Evaluation-Bewertung'!E77)</f>
        <v>$E$77</v>
      </c>
      <c r="B144" s="46" t="s">
        <v>618</v>
      </c>
      <c r="C144" s="1144" t="s">
        <v>364</v>
      </c>
      <c r="D144" s="252" t="s">
        <v>314</v>
      </c>
      <c r="E144"/>
      <c r="F144"/>
    </row>
    <row r="145" spans="1:6" s="46" customFormat="1">
      <c r="A145" s="46" t="str">
        <f>pos('Evaluation-Bewertung'!E78)</f>
        <v>$E$78</v>
      </c>
      <c r="B145" s="3" t="s">
        <v>619</v>
      </c>
      <c r="C145" s="1144" t="s">
        <v>365</v>
      </c>
      <c r="D145" s="252" t="s">
        <v>314</v>
      </c>
      <c r="E145"/>
      <c r="F145"/>
    </row>
    <row r="146" spans="1:6" s="46" customFormat="1">
      <c r="A146" s="46" t="str">
        <f>pos('Evaluation-Bewertung'!C83)</f>
        <v>$C$83</v>
      </c>
      <c r="B146" s="46" t="s">
        <v>620</v>
      </c>
      <c r="C146" s="1144" t="s">
        <v>366</v>
      </c>
      <c r="D146" s="252" t="s">
        <v>314</v>
      </c>
      <c r="E146"/>
      <c r="F146"/>
    </row>
    <row r="147" spans="1:6" s="46" customFormat="1">
      <c r="A147" s="46" t="str">
        <f>pos('Evaluation-Bewertung'!AG83)</f>
        <v>$AG$83</v>
      </c>
      <c r="B147" s="730" t="s">
        <v>621</v>
      </c>
      <c r="C147" s="1145" t="s">
        <v>367</v>
      </c>
      <c r="D147" s="252" t="s">
        <v>314</v>
      </c>
      <c r="E147"/>
      <c r="F147"/>
    </row>
    <row r="148" spans="1:6" s="46" customFormat="1">
      <c r="A148" s="46" t="str">
        <f>pos('Evaluation-Bewertung'!D56)</f>
        <v>$D$56</v>
      </c>
      <c r="B148" s="730" t="s">
        <v>622</v>
      </c>
      <c r="C148" s="1145" t="s">
        <v>368</v>
      </c>
      <c r="D148" s="252" t="s">
        <v>314</v>
      </c>
      <c r="E148"/>
      <c r="F148"/>
    </row>
    <row r="149" spans="1:6" s="46" customFormat="1">
      <c r="A149" s="46" t="str">
        <f>pos('Evaluation-Bewertung'!D71)</f>
        <v>$D$71</v>
      </c>
      <c r="B149" s="730" t="s">
        <v>623</v>
      </c>
      <c r="C149" s="1145" t="s">
        <v>369</v>
      </c>
      <c r="D149" s="252" t="s">
        <v>314</v>
      </c>
      <c r="E149"/>
      <c r="F149"/>
    </row>
    <row r="150" spans="1:6" s="46" customFormat="1">
      <c r="A150" s="46" t="str">
        <f>pos('Evaluation-Bewertung'!U71)</f>
        <v>$U$71</v>
      </c>
      <c r="B150" s="730" t="s">
        <v>624</v>
      </c>
      <c r="C150" s="1145" t="s">
        <v>370</v>
      </c>
      <c r="D150" s="252" t="s">
        <v>314</v>
      </c>
      <c r="E150"/>
      <c r="F150"/>
    </row>
    <row r="151" spans="1:6" s="46" customFormat="1">
      <c r="A151" s="46" t="str">
        <f>pos('Evaluation-Bewertung'!AD74)</f>
        <v>$AD$74</v>
      </c>
      <c r="B151" s="730" t="s">
        <v>625</v>
      </c>
      <c r="C151" s="1145" t="s">
        <v>453</v>
      </c>
      <c r="D151" s="252" t="s">
        <v>314</v>
      </c>
      <c r="E151"/>
      <c r="F151"/>
    </row>
    <row r="152" spans="1:6" s="46" customFormat="1">
      <c r="A152" s="46" t="str">
        <f>pos('Evaluation-Bewertung'!AU71)</f>
        <v>$AU$71</v>
      </c>
      <c r="B152" s="730" t="s">
        <v>626</v>
      </c>
      <c r="C152" s="1145" t="s">
        <v>371</v>
      </c>
      <c r="D152" s="252" t="s">
        <v>314</v>
      </c>
      <c r="E152"/>
      <c r="F152"/>
    </row>
    <row r="153" spans="1:6" s="46" customFormat="1">
      <c r="B153" s="730"/>
      <c r="C153" s="1145"/>
      <c r="D153" s="252" t="s">
        <v>314</v>
      </c>
      <c r="E153"/>
      <c r="F153"/>
    </row>
    <row r="154" spans="1:6" s="46" customFormat="1">
      <c r="B154" s="730"/>
      <c r="C154" s="1145"/>
      <c r="D154" s="252" t="s">
        <v>314</v>
      </c>
      <c r="E154"/>
      <c r="F154"/>
    </row>
    <row r="155" spans="1:6" s="46" customFormat="1">
      <c r="B155" s="730"/>
      <c r="C155" s="1145"/>
      <c r="D155" s="252" t="s">
        <v>314</v>
      </c>
      <c r="E155"/>
      <c r="F155"/>
    </row>
    <row r="156" spans="1:6" s="46" customFormat="1">
      <c r="B156" s="730"/>
      <c r="C156" s="1145"/>
      <c r="D156" s="252" t="s">
        <v>314</v>
      </c>
      <c r="E156"/>
      <c r="F156"/>
    </row>
    <row r="157" spans="1:6" s="46" customFormat="1">
      <c r="B157" s="730"/>
      <c r="C157" s="1145"/>
      <c r="D157" s="252" t="s">
        <v>314</v>
      </c>
      <c r="E157"/>
      <c r="F157"/>
    </row>
    <row r="158" spans="1:6" s="46" customFormat="1">
      <c r="B158" s="730"/>
      <c r="C158" s="1145"/>
      <c r="D158" s="252" t="s">
        <v>314</v>
      </c>
      <c r="E158"/>
      <c r="F158"/>
    </row>
    <row r="159" spans="1:6" s="497" customFormat="1" ht="13.5" thickBot="1">
      <c r="C159" s="1149" t="s">
        <v>279</v>
      </c>
      <c r="D159" s="497" t="s">
        <v>314</v>
      </c>
      <c r="E159"/>
      <c r="F159"/>
    </row>
    <row r="160" spans="1:6" ht="13.5" thickTop="1">
      <c r="A160" t="str">
        <f>pos('Report-Bericht'!C12)</f>
        <v>$C$12</v>
      </c>
      <c r="B160" s="335" t="s">
        <v>627</v>
      </c>
      <c r="C160" s="1146" t="s">
        <v>372</v>
      </c>
      <c r="D160" s="252" t="s">
        <v>244</v>
      </c>
    </row>
    <row r="161" spans="1:4">
      <c r="A161" t="str">
        <f>pos('Report-Bericht'!J12)</f>
        <v>$J$12</v>
      </c>
      <c r="B161" s="335" t="s">
        <v>628</v>
      </c>
      <c r="C161" s="1146" t="s">
        <v>373</v>
      </c>
      <c r="D161" s="252" t="s">
        <v>244</v>
      </c>
    </row>
    <row r="162" spans="1:4" ht="38.25">
      <c r="A162" t="str">
        <f>pos('Report-Bericht'!B20)</f>
        <v>$B$20</v>
      </c>
      <c r="B162" s="496" t="s">
        <v>629</v>
      </c>
      <c r="C162" s="1148" t="s">
        <v>374</v>
      </c>
      <c r="D162" s="252" t="s">
        <v>244</v>
      </c>
    </row>
    <row r="163" spans="1:4">
      <c r="A163" t="str">
        <f>pos('Report-Bericht'!S11)</f>
        <v>$S$11</v>
      </c>
      <c r="B163" t="s">
        <v>630</v>
      </c>
      <c r="C163" s="1141" t="s">
        <v>280</v>
      </c>
      <c r="D163" s="252" t="s">
        <v>244</v>
      </c>
    </row>
    <row r="164" spans="1:4">
      <c r="A164" t="str">
        <f>pos('Report-Bericht'!S34)</f>
        <v>$S$34</v>
      </c>
      <c r="B164" s="335" t="s">
        <v>766</v>
      </c>
      <c r="C164" s="1146" t="s">
        <v>375</v>
      </c>
      <c r="D164" s="252" t="s">
        <v>244</v>
      </c>
    </row>
    <row r="165" spans="1:4">
      <c r="A165" t="str">
        <f>pos('Report-Bericht'!S36)</f>
        <v>$S$36</v>
      </c>
      <c r="B165" s="14" t="s">
        <v>631</v>
      </c>
      <c r="C165" s="1143" t="s">
        <v>294</v>
      </c>
      <c r="D165" s="252" t="s">
        <v>244</v>
      </c>
    </row>
    <row r="166" spans="1:4">
      <c r="A166" t="str">
        <f>pos('Report-Bericht'!L30)</f>
        <v>$L$30</v>
      </c>
      <c r="B166" s="335" t="s">
        <v>632</v>
      </c>
      <c r="C166" s="1146" t="s">
        <v>305</v>
      </c>
      <c r="D166" s="252" t="s">
        <v>244</v>
      </c>
    </row>
    <row r="167" spans="1:4">
      <c r="A167" t="str">
        <f>pos('Report-Bericht'!S12)</f>
        <v>$S$12</v>
      </c>
      <c r="B167" t="s">
        <v>633</v>
      </c>
      <c r="C167" s="1141" t="s">
        <v>376</v>
      </c>
      <c r="D167" s="252" t="s">
        <v>244</v>
      </c>
    </row>
    <row r="168" spans="1:4">
      <c r="A168" t="str">
        <f>pos('Report-Bericht'!S18)</f>
        <v>$S$18</v>
      </c>
      <c r="B168" t="s">
        <v>634</v>
      </c>
      <c r="C168" s="1141" t="s">
        <v>377</v>
      </c>
      <c r="D168" s="252" t="s">
        <v>244</v>
      </c>
    </row>
    <row r="169" spans="1:4">
      <c r="A169" t="str">
        <f>pos('Report-Bericht'!S23)</f>
        <v>$S$23</v>
      </c>
      <c r="B169" t="s">
        <v>635</v>
      </c>
      <c r="C169" s="1141" t="s">
        <v>378</v>
      </c>
      <c r="D169" s="252" t="s">
        <v>244</v>
      </c>
    </row>
    <row r="170" spans="1:4">
      <c r="A170" t="str">
        <f>pos('Report-Bericht'!S28)</f>
        <v>$S$28</v>
      </c>
      <c r="B170" t="s">
        <v>636</v>
      </c>
      <c r="C170" s="1141" t="s">
        <v>379</v>
      </c>
      <c r="D170" s="252" t="s">
        <v>244</v>
      </c>
    </row>
    <row r="171" spans="1:4">
      <c r="A171" t="str">
        <f>pos('Report-Bericht'!S33)</f>
        <v>$S$33</v>
      </c>
      <c r="B171" s="335" t="s">
        <v>637</v>
      </c>
      <c r="C171" s="1146" t="s">
        <v>454</v>
      </c>
      <c r="D171" s="252" t="s">
        <v>244</v>
      </c>
    </row>
    <row r="172" spans="1:4">
      <c r="A172" t="str">
        <f>pos('Report-Bericht'!S34)</f>
        <v>$S$34</v>
      </c>
      <c r="B172" s="335" t="s">
        <v>749</v>
      </c>
      <c r="C172" s="1141" t="s">
        <v>375</v>
      </c>
      <c r="D172" s="252" t="s">
        <v>244</v>
      </c>
    </row>
    <row r="173" spans="1:4">
      <c r="A173" t="str">
        <f>pos('Report-Bericht'!Z34)</f>
        <v>$Z$34</v>
      </c>
      <c r="B173" s="1243" t="s">
        <v>747</v>
      </c>
      <c r="C173" s="1141" t="s">
        <v>380</v>
      </c>
      <c r="D173" s="252" t="s">
        <v>244</v>
      </c>
    </row>
    <row r="174" spans="1:4">
      <c r="A174" t="str">
        <f>pos('Report-Bericht'!C14)</f>
        <v>$C$14</v>
      </c>
      <c r="B174" t="s">
        <v>638</v>
      </c>
      <c r="C174" s="1141" t="s">
        <v>381</v>
      </c>
      <c r="D174" s="252" t="s">
        <v>244</v>
      </c>
    </row>
    <row r="175" spans="1:4">
      <c r="A175" t="str">
        <f>pos('Report-Bericht'!C2)</f>
        <v>$C$2</v>
      </c>
      <c r="B175" s="335" t="s">
        <v>748</v>
      </c>
      <c r="C175" s="1146" t="s">
        <v>753</v>
      </c>
      <c r="D175" s="252" t="s">
        <v>244</v>
      </c>
    </row>
    <row r="176" spans="1:4">
      <c r="A176" t="str">
        <f>pos('Report-Bericht'!C11)</f>
        <v>$C$11</v>
      </c>
      <c r="B176" s="335" t="s">
        <v>639</v>
      </c>
      <c r="C176" s="1146" t="s">
        <v>382</v>
      </c>
      <c r="D176" s="252" t="s">
        <v>244</v>
      </c>
    </row>
    <row r="177" spans="1:6">
      <c r="A177" t="str">
        <f>pos('Report-Bericht'!J14)</f>
        <v>$J$14</v>
      </c>
      <c r="B177" s="335" t="s">
        <v>640</v>
      </c>
      <c r="C177" s="1146" t="s">
        <v>383</v>
      </c>
      <c r="D177" s="252" t="s">
        <v>244</v>
      </c>
    </row>
    <row r="178" spans="1:6">
      <c r="C178" s="1141"/>
      <c r="D178" s="252" t="s">
        <v>244</v>
      </c>
    </row>
    <row r="179" spans="1:6" s="497" customFormat="1" ht="13.5" thickBot="1">
      <c r="C179" s="1149"/>
      <c r="D179" s="497" t="s">
        <v>244</v>
      </c>
      <c r="E179"/>
      <c r="F179"/>
    </row>
    <row r="180" spans="1:6" s="46" customFormat="1" ht="13.5" thickTop="1">
      <c r="A180" s="46" t="str">
        <f>pos('Actionplan-Maßnahmenplan'!B3)</f>
        <v>$B$3</v>
      </c>
      <c r="B180" s="1244" t="s">
        <v>765</v>
      </c>
      <c r="C180" s="1144" t="s">
        <v>384</v>
      </c>
      <c r="D180" s="252" t="s">
        <v>317</v>
      </c>
      <c r="E180"/>
      <c r="F180"/>
    </row>
    <row r="181" spans="1:6" s="46" customFormat="1">
      <c r="A181" s="46" t="str">
        <f>pos('Actionplan-Maßnahmenplan'!F9)</f>
        <v>$F$9</v>
      </c>
      <c r="B181" s="730" t="s">
        <v>641</v>
      </c>
      <c r="C181" s="1145" t="s">
        <v>385</v>
      </c>
      <c r="D181" s="730" t="s">
        <v>317</v>
      </c>
      <c r="E181"/>
      <c r="F181"/>
    </row>
    <row r="182" spans="1:6" s="46" customFormat="1">
      <c r="A182" s="46" t="str">
        <f>pos('Actionplan-Maßnahmenplan'!O9)</f>
        <v>$O$9</v>
      </c>
      <c r="B182" s="730" t="s">
        <v>642</v>
      </c>
      <c r="C182" s="1145" t="s">
        <v>386</v>
      </c>
      <c r="D182" s="730" t="s">
        <v>317</v>
      </c>
      <c r="E182"/>
      <c r="F182"/>
    </row>
    <row r="183" spans="1:6" s="46" customFormat="1">
      <c r="A183" s="46" t="str">
        <f>pos('Actionplan-Maßnahmenplan'!D10)</f>
        <v>$D$10</v>
      </c>
      <c r="B183" s="730" t="s">
        <v>643</v>
      </c>
      <c r="C183" s="1145" t="s">
        <v>387</v>
      </c>
      <c r="D183" s="730" t="s">
        <v>317</v>
      </c>
      <c r="E183"/>
      <c r="F183"/>
    </row>
    <row r="184" spans="1:6" s="46" customFormat="1">
      <c r="A184" s="46" t="str">
        <f>pos('Actionplan-Maßnahmenplan'!H10)</f>
        <v>$H$10</v>
      </c>
      <c r="B184" s="730" t="s">
        <v>644</v>
      </c>
      <c r="C184" s="1145" t="s">
        <v>295</v>
      </c>
      <c r="D184" s="730" t="s">
        <v>317</v>
      </c>
      <c r="E184"/>
      <c r="F184"/>
    </row>
    <row r="185" spans="1:6" s="46" customFormat="1" ht="25.5">
      <c r="A185" s="46" t="str">
        <f>pos('Actionplan-Maßnahmenplan'!I10)</f>
        <v>$I$10</v>
      </c>
      <c r="B185" s="734" t="s">
        <v>763</v>
      </c>
      <c r="C185" s="1156" t="s">
        <v>388</v>
      </c>
      <c r="D185" s="730" t="s">
        <v>317</v>
      </c>
      <c r="E185"/>
      <c r="F185"/>
    </row>
    <row r="186" spans="1:6" s="46" customFormat="1">
      <c r="A186" s="46" t="str">
        <f>pos('Actionplan-Maßnahmenplan'!M10)</f>
        <v>$M$10</v>
      </c>
      <c r="B186" s="3" t="s">
        <v>749</v>
      </c>
      <c r="C186" s="1142" t="s">
        <v>319</v>
      </c>
      <c r="D186" s="730" t="s">
        <v>317</v>
      </c>
      <c r="E186"/>
      <c r="F186"/>
    </row>
    <row r="187" spans="1:6" s="46" customFormat="1">
      <c r="A187" s="46" t="str">
        <f>pos('Actionplan-Maßnahmenplan'!K10)</f>
        <v>$K$10</v>
      </c>
      <c r="B187" s="252" t="s">
        <v>645</v>
      </c>
      <c r="C187" s="1145" t="s">
        <v>318</v>
      </c>
      <c r="D187" s="730" t="s">
        <v>317</v>
      </c>
      <c r="E187"/>
      <c r="F187"/>
    </row>
    <row r="188" spans="1:6" s="46" customFormat="1">
      <c r="A188" s="46" t="str">
        <f>pos('Actionplan-Maßnahmenplan'!O10)</f>
        <v>$O$10</v>
      </c>
      <c r="B188" s="730" t="s">
        <v>646</v>
      </c>
      <c r="C188" s="1145" t="s">
        <v>455</v>
      </c>
      <c r="D188" s="730" t="s">
        <v>317</v>
      </c>
      <c r="E188"/>
      <c r="F188"/>
    </row>
    <row r="189" spans="1:6" s="46" customFormat="1">
      <c r="A189" s="46" t="str">
        <f>pos('Actionplan-Maßnahmenplan'!Q10)</f>
        <v>$Q$10</v>
      </c>
      <c r="B189" s="1244" t="s">
        <v>764</v>
      </c>
      <c r="C189" s="1142" t="s">
        <v>320</v>
      </c>
      <c r="D189" s="730" t="s">
        <v>317</v>
      </c>
      <c r="E189"/>
      <c r="F189"/>
    </row>
    <row r="190" spans="1:6" s="46" customFormat="1">
      <c r="A190" s="46" t="str">
        <f>pos('Actionplan-Maßnahmenplan'!S10)</f>
        <v>$S$10</v>
      </c>
      <c r="B190" s="1244" t="s">
        <v>750</v>
      </c>
      <c r="C190" s="1144" t="s">
        <v>321</v>
      </c>
      <c r="D190" s="730" t="s">
        <v>317</v>
      </c>
      <c r="E190"/>
      <c r="F190"/>
    </row>
    <row r="191" spans="1:6" s="46" customFormat="1">
      <c r="A191" s="46" t="str">
        <f>pos('Actionplan-Maßnahmenplan'!D10)</f>
        <v>$D$10</v>
      </c>
      <c r="B191" s="730" t="s">
        <v>643</v>
      </c>
      <c r="C191" s="1145" t="s">
        <v>323</v>
      </c>
      <c r="D191" s="730" t="s">
        <v>317</v>
      </c>
      <c r="E191"/>
      <c r="F191"/>
    </row>
    <row r="192" spans="1:6" s="46" customFormat="1">
      <c r="A192" s="46" t="str">
        <f>pos('Actionplan-Maßnahmenplan'!AB3)</f>
        <v>$AB$3</v>
      </c>
      <c r="B192" s="730" t="s">
        <v>647</v>
      </c>
      <c r="C192" s="1145" t="s">
        <v>296</v>
      </c>
      <c r="D192" s="730" t="s">
        <v>317</v>
      </c>
      <c r="E192"/>
      <c r="F192"/>
    </row>
    <row r="193" spans="1:6" s="46" customFormat="1">
      <c r="A193" s="46" t="str">
        <f>pos('Actionplan-Maßnahmenplan'!AB10)</f>
        <v>$AB$10</v>
      </c>
      <c r="B193" s="730" t="s">
        <v>648</v>
      </c>
      <c r="C193" s="1145" t="s">
        <v>456</v>
      </c>
      <c r="D193" s="730" t="s">
        <v>317</v>
      </c>
      <c r="E193"/>
      <c r="F193"/>
    </row>
    <row r="194" spans="1:6" s="46" customFormat="1">
      <c r="C194" s="1144"/>
      <c r="D194" s="730" t="s">
        <v>317</v>
      </c>
      <c r="E194"/>
      <c r="F194"/>
    </row>
    <row r="195" spans="1:6" s="46" customFormat="1">
      <c r="C195" s="1144"/>
      <c r="D195" s="730" t="s">
        <v>317</v>
      </c>
      <c r="E195"/>
      <c r="F195"/>
    </row>
    <row r="196" spans="1:6" s="46" customFormat="1">
      <c r="C196" s="1144"/>
      <c r="D196" s="730" t="s">
        <v>317</v>
      </c>
      <c r="E196"/>
      <c r="F196"/>
    </row>
    <row r="197" spans="1:6" s="46" customFormat="1">
      <c r="C197" s="1144"/>
      <c r="D197" s="730" t="s">
        <v>317</v>
      </c>
      <c r="E197"/>
      <c r="F197"/>
    </row>
    <row r="198" spans="1:6" s="46" customFormat="1">
      <c r="C198" s="1144"/>
      <c r="D198" s="730" t="s">
        <v>317</v>
      </c>
      <c r="E198"/>
      <c r="F198"/>
    </row>
    <row r="199" spans="1:6" s="497" customFormat="1" ht="13.5" thickBot="1">
      <c r="C199" s="1149"/>
      <c r="D199" s="497" t="s">
        <v>317</v>
      </c>
      <c r="E199"/>
      <c r="F199"/>
    </row>
    <row r="200" spans="1:6" ht="13.5" thickTop="1">
      <c r="A200" t="str">
        <f>pos('Questions - Fragen'!C2)</f>
        <v>$C$2</v>
      </c>
      <c r="B200" t="s">
        <v>649</v>
      </c>
      <c r="C200" s="1141" t="s">
        <v>281</v>
      </c>
      <c r="D200" s="252" t="s">
        <v>247</v>
      </c>
    </row>
    <row r="201" spans="1:6">
      <c r="A201" t="str">
        <f>pos('Questions - Fragen'!C3)</f>
        <v>$C$3</v>
      </c>
      <c r="B201" s="1243" t="s">
        <v>751</v>
      </c>
      <c r="C201" s="1141" t="s">
        <v>752</v>
      </c>
      <c r="D201" s="252" t="s">
        <v>247</v>
      </c>
    </row>
    <row r="202" spans="1:6">
      <c r="A202" t="str">
        <f>pos('Questions - Fragen'!A9)</f>
        <v>$A$9</v>
      </c>
      <c r="B202" s="335" t="s">
        <v>650</v>
      </c>
      <c r="C202" s="1146" t="s">
        <v>250</v>
      </c>
      <c r="D202" s="252" t="s">
        <v>247</v>
      </c>
    </row>
    <row r="203" spans="1:6">
      <c r="A203" t="str">
        <f>pos('Questions - Fragen'!B9)</f>
        <v>$B$9</v>
      </c>
      <c r="B203" t="s">
        <v>651</v>
      </c>
      <c r="C203" s="1141" t="s">
        <v>251</v>
      </c>
      <c r="D203" s="252" t="s">
        <v>247</v>
      </c>
    </row>
    <row r="204" spans="1:6">
      <c r="A204" t="str">
        <f>pos('Questions - Fragen'!C9)</f>
        <v>$C$9</v>
      </c>
      <c r="B204" t="s">
        <v>652</v>
      </c>
      <c r="C204" s="1141" t="s">
        <v>252</v>
      </c>
      <c r="D204" s="252" t="s">
        <v>247</v>
      </c>
    </row>
    <row r="205" spans="1:6">
      <c r="A205" t="str">
        <f>pos('Questions - Fragen'!E9)</f>
        <v>$E$9</v>
      </c>
      <c r="B205" t="s">
        <v>653</v>
      </c>
      <c r="C205" s="1141" t="s">
        <v>389</v>
      </c>
      <c r="D205" s="252" t="s">
        <v>247</v>
      </c>
    </row>
    <row r="206" spans="1:6">
      <c r="A206" t="str">
        <f>pos('Questions - Fragen'!D12)</f>
        <v>$D$12</v>
      </c>
      <c r="B206" t="s">
        <v>654</v>
      </c>
      <c r="C206" s="1141" t="s">
        <v>390</v>
      </c>
      <c r="D206" s="252" t="s">
        <v>247</v>
      </c>
    </row>
    <row r="207" spans="1:6">
      <c r="A207" t="str">
        <f>pos('Questions - Fragen'!D20)</f>
        <v>$D$20</v>
      </c>
      <c r="B207" s="335" t="s">
        <v>655</v>
      </c>
      <c r="C207" s="1141" t="s">
        <v>248</v>
      </c>
      <c r="D207" s="252" t="s">
        <v>247</v>
      </c>
    </row>
    <row r="208" spans="1:6">
      <c r="A208" t="str">
        <f>pos('Questions - Fragen'!D21)</f>
        <v>$D$21</v>
      </c>
      <c r="B208" s="335" t="s">
        <v>656</v>
      </c>
      <c r="C208" s="1141" t="s">
        <v>249</v>
      </c>
      <c r="D208" s="252" t="s">
        <v>247</v>
      </c>
    </row>
    <row r="209" spans="1:4">
      <c r="A209" t="str">
        <f>pos('Questions - Fragen'!L2)</f>
        <v>$L$2</v>
      </c>
      <c r="B209" s="335" t="s">
        <v>657</v>
      </c>
      <c r="C209" s="1146" t="s">
        <v>508</v>
      </c>
      <c r="D209" s="252" t="s">
        <v>247</v>
      </c>
    </row>
    <row r="210" spans="1:4">
      <c r="A210" t="str">
        <f>pos('Questions - Fragen'!D382)</f>
        <v>$D$382</v>
      </c>
      <c r="B210" s="335" t="s">
        <v>658</v>
      </c>
      <c r="C210" s="1146" t="s">
        <v>514</v>
      </c>
      <c r="D210" s="252" t="s">
        <v>247</v>
      </c>
    </row>
    <row r="211" spans="1:4">
      <c r="A211" t="str">
        <f>pos('Questions - Fragen'!L3)</f>
        <v>$L$3</v>
      </c>
      <c r="B211" s="335" t="s">
        <v>659</v>
      </c>
      <c r="C211" s="1146" t="s">
        <v>315</v>
      </c>
      <c r="D211" s="252" t="s">
        <v>247</v>
      </c>
    </row>
    <row r="212" spans="1:4">
      <c r="A212" t="str">
        <f>pos('Questions - Fragen'!L13)</f>
        <v>$L$13</v>
      </c>
      <c r="B212" t="s">
        <v>660</v>
      </c>
      <c r="C212" s="1141" t="s">
        <v>297</v>
      </c>
      <c r="D212" s="252" t="s">
        <v>247</v>
      </c>
    </row>
    <row r="213" spans="1:4">
      <c r="A213" t="str">
        <f>pos('Questions - Fragen'!L14)</f>
        <v>$L$14</v>
      </c>
      <c r="B213" t="s">
        <v>661</v>
      </c>
      <c r="C213" s="1141" t="s">
        <v>298</v>
      </c>
      <c r="D213" s="252" t="s">
        <v>247</v>
      </c>
    </row>
    <row r="214" spans="1:4">
      <c r="A214" t="str">
        <f>pos('Questions - Fragen'!L15)</f>
        <v>$L$15</v>
      </c>
      <c r="B214" t="s">
        <v>662</v>
      </c>
      <c r="C214" s="1141" t="s">
        <v>391</v>
      </c>
      <c r="D214" s="252" t="s">
        <v>247</v>
      </c>
    </row>
    <row r="215" spans="1:4">
      <c r="A215" t="str">
        <f>pos('Questions - Fragen'!C12)</f>
        <v>$C$12</v>
      </c>
      <c r="B215" s="335" t="s">
        <v>663</v>
      </c>
      <c r="C215" s="1146" t="s">
        <v>392</v>
      </c>
      <c r="D215" s="252" t="s">
        <v>247</v>
      </c>
    </row>
    <row r="216" spans="1:4">
      <c r="A216" t="str">
        <f>pos('Questions - Fragen'!L4)</f>
        <v>$L$4</v>
      </c>
      <c r="B216" s="573" t="s">
        <v>664</v>
      </c>
      <c r="C216" s="1150" t="s">
        <v>393</v>
      </c>
      <c r="D216" s="252" t="s">
        <v>247</v>
      </c>
    </row>
    <row r="217" spans="1:4">
      <c r="A217" t="str">
        <f>pos('Questions - Fragen'!L7)</f>
        <v>$L$7</v>
      </c>
      <c r="B217" s="338" t="s">
        <v>665</v>
      </c>
      <c r="C217" s="1147" t="s">
        <v>394</v>
      </c>
      <c r="D217" s="252" t="s">
        <v>247</v>
      </c>
    </row>
    <row r="218" spans="1:4">
      <c r="A218" s="648" t="str">
        <f>pos('Questions - Fragen'!C12)</f>
        <v>$C$12</v>
      </c>
      <c r="B218" s="649" t="s">
        <v>663</v>
      </c>
      <c r="C218" s="1157" t="s">
        <v>395</v>
      </c>
      <c r="D218" s="252" t="s">
        <v>247</v>
      </c>
    </row>
    <row r="219" spans="1:4">
      <c r="A219" t="str">
        <f>pos('Questions - Fragen'!C13)</f>
        <v>$C$13</v>
      </c>
      <c r="B219" s="496" t="s">
        <v>666</v>
      </c>
      <c r="C219" s="1148" t="s">
        <v>396</v>
      </c>
      <c r="D219" s="252" t="s">
        <v>247</v>
      </c>
    </row>
    <row r="220" spans="1:4" ht="25.5">
      <c r="A220" t="str">
        <f>pos('Questions - Fragen'!C14)</f>
        <v>$C$14</v>
      </c>
      <c r="B220" s="14" t="s">
        <v>667</v>
      </c>
      <c r="C220" s="1148" t="s">
        <v>457</v>
      </c>
      <c r="D220" s="252" t="s">
        <v>247</v>
      </c>
    </row>
    <row r="221" spans="1:4">
      <c r="A221" t="str">
        <f>pos('Questions - Fragen'!C15)</f>
        <v>$C$15</v>
      </c>
      <c r="B221" s="14" t="s">
        <v>668</v>
      </c>
      <c r="C221" s="1148" t="s">
        <v>458</v>
      </c>
      <c r="D221" s="252" t="s">
        <v>247</v>
      </c>
    </row>
    <row r="222" spans="1:4" ht="25.5">
      <c r="A222" t="str">
        <f>pos('Questions - Fragen'!C16)</f>
        <v>$C$16</v>
      </c>
      <c r="B222" s="14" t="s">
        <v>669</v>
      </c>
      <c r="C222" s="1143" t="s">
        <v>397</v>
      </c>
      <c r="D222" s="252" t="s">
        <v>247</v>
      </c>
    </row>
    <row r="223" spans="1:4">
      <c r="A223" t="str">
        <f>pos('Questions - Fragen'!C17)</f>
        <v>$C$17</v>
      </c>
      <c r="B223" s="14" t="s">
        <v>670</v>
      </c>
      <c r="C223" s="1143" t="s">
        <v>398</v>
      </c>
      <c r="D223" s="252" t="s">
        <v>247</v>
      </c>
    </row>
    <row r="224" spans="1:4">
      <c r="A224" t="str">
        <f>pos('Questions - Fragen'!C18)</f>
        <v>$C$18</v>
      </c>
      <c r="B224" s="14" t="s">
        <v>671</v>
      </c>
      <c r="C224" s="1143" t="s">
        <v>399</v>
      </c>
      <c r="D224" s="252" t="s">
        <v>247</v>
      </c>
    </row>
    <row r="225" spans="1:4">
      <c r="A225" t="str">
        <f>pos('Questions - Fragen'!C19)</f>
        <v>$C$19</v>
      </c>
      <c r="B225" s="14" t="s">
        <v>672</v>
      </c>
      <c r="C225" s="1143" t="s">
        <v>400</v>
      </c>
      <c r="D225" s="252" t="s">
        <v>247</v>
      </c>
    </row>
    <row r="226" spans="1:4">
      <c r="A226" s="648" t="str">
        <f>pos('Questions - Fragen'!C20)</f>
        <v>$C$20</v>
      </c>
      <c r="B226" s="649" t="s">
        <v>673</v>
      </c>
      <c r="C226" s="1154" t="s">
        <v>401</v>
      </c>
      <c r="D226" s="252" t="s">
        <v>247</v>
      </c>
    </row>
    <row r="227" spans="1:4">
      <c r="A227" t="str">
        <f>pos('Questions - Fragen'!C22)</f>
        <v>$C$22</v>
      </c>
      <c r="B227" s="14" t="s">
        <v>674</v>
      </c>
      <c r="C227" s="1143" t="s">
        <v>402</v>
      </c>
      <c r="D227" s="252" t="s">
        <v>247</v>
      </c>
    </row>
    <row r="228" spans="1:4">
      <c r="A228" t="str">
        <f>pos('Questions - Fragen'!C25)</f>
        <v>$C$25</v>
      </c>
      <c r="B228" s="14" t="s">
        <v>675</v>
      </c>
      <c r="C228" s="1148" t="s">
        <v>459</v>
      </c>
      <c r="D228" s="252" t="s">
        <v>247</v>
      </c>
    </row>
    <row r="229" spans="1:4">
      <c r="A229" t="str">
        <f>pos('Questions - Fragen'!C28)</f>
        <v>$C$28</v>
      </c>
      <c r="B229" s="14" t="s">
        <v>676</v>
      </c>
      <c r="C229" s="1143" t="s">
        <v>403</v>
      </c>
      <c r="D229" s="252" t="s">
        <v>247</v>
      </c>
    </row>
    <row r="230" spans="1:4" ht="25.5">
      <c r="A230" t="str">
        <f>pos('Questions - Fragen'!C31)</f>
        <v>$C$31</v>
      </c>
      <c r="B230" s="14" t="s">
        <v>677</v>
      </c>
      <c r="C230" s="1148" t="s">
        <v>460</v>
      </c>
      <c r="D230" s="252" t="s">
        <v>247</v>
      </c>
    </row>
    <row r="231" spans="1:4">
      <c r="A231" t="str">
        <f>pos('Questions - Fragen'!C34)</f>
        <v>$C$34</v>
      </c>
      <c r="B231" s="14" t="s">
        <v>678</v>
      </c>
      <c r="C231" s="1143" t="s">
        <v>404</v>
      </c>
      <c r="D231" s="252" t="s">
        <v>247</v>
      </c>
    </row>
    <row r="232" spans="1:4">
      <c r="A232" s="648" t="str">
        <f>pos('Questions - Fragen'!C37)</f>
        <v>$C$37</v>
      </c>
      <c r="B232" s="649" t="s">
        <v>679</v>
      </c>
      <c r="C232" s="1154" t="s">
        <v>405</v>
      </c>
      <c r="D232" s="252" t="s">
        <v>247</v>
      </c>
    </row>
    <row r="233" spans="1:4">
      <c r="A233" t="str">
        <f>pos('Questions - Fragen'!C39)</f>
        <v>$C$39</v>
      </c>
      <c r="B233" s="14" t="s">
        <v>680</v>
      </c>
      <c r="C233" s="1148" t="s">
        <v>461</v>
      </c>
      <c r="D233" s="252" t="s">
        <v>247</v>
      </c>
    </row>
    <row r="234" spans="1:4">
      <c r="A234" t="str">
        <f>pos('Questions - Fragen'!C42)</f>
        <v>$C$42</v>
      </c>
      <c r="B234" s="14" t="s">
        <v>681</v>
      </c>
      <c r="C234" s="1148" t="s">
        <v>462</v>
      </c>
      <c r="D234" s="252" t="s">
        <v>247</v>
      </c>
    </row>
    <row r="235" spans="1:4" ht="25.5">
      <c r="A235" t="str">
        <f>pos('Questions - Fragen'!C45)</f>
        <v>$C$45</v>
      </c>
      <c r="B235" s="14" t="s">
        <v>682</v>
      </c>
      <c r="C235" s="1148" t="s">
        <v>463</v>
      </c>
      <c r="D235" s="252" t="s">
        <v>247</v>
      </c>
    </row>
    <row r="236" spans="1:4">
      <c r="A236" t="str">
        <f>pos('Questions - Fragen'!C48)</f>
        <v>$C$48</v>
      </c>
      <c r="B236" s="14" t="s">
        <v>683</v>
      </c>
      <c r="C236" s="1148" t="s">
        <v>464</v>
      </c>
      <c r="D236" s="252" t="s">
        <v>247</v>
      </c>
    </row>
    <row r="237" spans="1:4" ht="25.5">
      <c r="A237" t="str">
        <f>pos('Questions - Fragen'!C51)</f>
        <v>$C$51</v>
      </c>
      <c r="B237" s="14" t="s">
        <v>684</v>
      </c>
      <c r="C237" s="1143" t="s">
        <v>406</v>
      </c>
      <c r="D237" s="252" t="s">
        <v>247</v>
      </c>
    </row>
    <row r="238" spans="1:4">
      <c r="A238" t="str">
        <f>pos('Questions - Fragen'!C54)</f>
        <v>$C$54</v>
      </c>
      <c r="B238" s="14" t="s">
        <v>685</v>
      </c>
      <c r="C238" s="1143" t="s">
        <v>407</v>
      </c>
      <c r="D238" s="252" t="s">
        <v>247</v>
      </c>
    </row>
    <row r="239" spans="1:4" ht="25.5">
      <c r="A239" t="str">
        <f>pos('Questions - Fragen'!C56)</f>
        <v>$C$56</v>
      </c>
      <c r="B239" s="496" t="s">
        <v>686</v>
      </c>
      <c r="C239" s="1143" t="s">
        <v>465</v>
      </c>
      <c r="D239" s="252" t="s">
        <v>247</v>
      </c>
    </row>
    <row r="240" spans="1:4">
      <c r="A240" t="str">
        <f>pos('Questions - Fragen'!C58)</f>
        <v>$C$58</v>
      </c>
      <c r="B240" s="14" t="s">
        <v>687</v>
      </c>
      <c r="C240" s="1143" t="s">
        <v>408</v>
      </c>
      <c r="D240" s="252" t="s">
        <v>247</v>
      </c>
    </row>
    <row r="241" spans="1:4">
      <c r="A241" s="648" t="str">
        <f>pos('Questions - Fragen'!C61)</f>
        <v>$C$61</v>
      </c>
      <c r="B241" s="649" t="s">
        <v>688</v>
      </c>
      <c r="C241" s="1154" t="s">
        <v>292</v>
      </c>
      <c r="D241" s="252" t="s">
        <v>247</v>
      </c>
    </row>
    <row r="242" spans="1:4">
      <c r="A242" s="85" t="str">
        <f>pos('Questions - Fragen'!C62)</f>
        <v>$C$62</v>
      </c>
      <c r="B242" s="14" t="s">
        <v>689</v>
      </c>
      <c r="C242" s="1148" t="s">
        <v>466</v>
      </c>
      <c r="D242" s="252" t="s">
        <v>247</v>
      </c>
    </row>
    <row r="243" spans="1:4">
      <c r="A243" s="85" t="str">
        <f>pos('Questions - Fragen'!C63)</f>
        <v>$C$63</v>
      </c>
      <c r="B243" s="14" t="s">
        <v>690</v>
      </c>
      <c r="C243" s="1148" t="s">
        <v>467</v>
      </c>
      <c r="D243" s="252" t="s">
        <v>247</v>
      </c>
    </row>
    <row r="244" spans="1:4">
      <c r="A244" s="85" t="str">
        <f>pos('Questions - Fragen'!C64)</f>
        <v>$C$64</v>
      </c>
      <c r="B244" s="14" t="s">
        <v>691</v>
      </c>
      <c r="C244" s="1148" t="s">
        <v>468</v>
      </c>
      <c r="D244" s="252" t="s">
        <v>247</v>
      </c>
    </row>
    <row r="245" spans="1:4">
      <c r="A245" s="85" t="str">
        <f>pos('Questions - Fragen'!C65)</f>
        <v>$C$65</v>
      </c>
      <c r="B245" s="14" t="s">
        <v>692</v>
      </c>
      <c r="C245" s="1148" t="s">
        <v>469</v>
      </c>
      <c r="D245" s="252" t="s">
        <v>247</v>
      </c>
    </row>
    <row r="246" spans="1:4">
      <c r="A246" s="85" t="str">
        <f>pos('Questions - Fragen'!C66)</f>
        <v>$C$66</v>
      </c>
      <c r="B246" s="14" t="s">
        <v>693</v>
      </c>
      <c r="C246" s="1148" t="s">
        <v>470</v>
      </c>
      <c r="D246" s="252" t="s">
        <v>247</v>
      </c>
    </row>
    <row r="247" spans="1:4">
      <c r="A247" s="85" t="str">
        <f>pos('Questions - Fragen'!C67)</f>
        <v>$C$67</v>
      </c>
      <c r="B247" s="14" t="s">
        <v>694</v>
      </c>
      <c r="C247" s="1148" t="s">
        <v>471</v>
      </c>
      <c r="D247" s="252" t="s">
        <v>247</v>
      </c>
    </row>
    <row r="248" spans="1:4">
      <c r="A248" s="85" t="str">
        <f>pos('Questions - Fragen'!C68)</f>
        <v>$C$68</v>
      </c>
      <c r="B248" s="14" t="s">
        <v>695</v>
      </c>
      <c r="C248" s="1148" t="s">
        <v>472</v>
      </c>
      <c r="D248" s="252" t="s">
        <v>247</v>
      </c>
    </row>
    <row r="249" spans="1:4" ht="25.5">
      <c r="A249" s="648" t="str">
        <f>pos('Questions - Fragen'!C69)</f>
        <v>$C$69</v>
      </c>
      <c r="B249" s="649" t="s">
        <v>696</v>
      </c>
      <c r="C249" s="1154" t="s">
        <v>322</v>
      </c>
      <c r="D249" s="252" t="s">
        <v>247</v>
      </c>
    </row>
    <row r="250" spans="1:4">
      <c r="A250" s="645" t="str">
        <f>pos('Questions - Fragen'!C70)</f>
        <v>$C$70</v>
      </c>
      <c r="B250" s="647" t="s">
        <v>697</v>
      </c>
      <c r="C250" s="1152" t="s">
        <v>473</v>
      </c>
      <c r="D250" s="252" t="s">
        <v>247</v>
      </c>
    </row>
    <row r="251" spans="1:4">
      <c r="A251" t="str">
        <f>pos('Questions - Fragen'!C71)</f>
        <v>$C$71</v>
      </c>
      <c r="B251" s="14" t="s">
        <v>698</v>
      </c>
      <c r="C251" s="1148" t="s">
        <v>474</v>
      </c>
      <c r="D251" s="252" t="s">
        <v>247</v>
      </c>
    </row>
    <row r="252" spans="1:4" ht="25.5">
      <c r="A252" t="str">
        <f>pos('Questions - Fragen'!C82)</f>
        <v>$C$82</v>
      </c>
      <c r="B252" s="14" t="s">
        <v>699</v>
      </c>
      <c r="C252" s="1143" t="s">
        <v>475</v>
      </c>
      <c r="D252" s="252" t="s">
        <v>247</v>
      </c>
    </row>
    <row r="253" spans="1:4" ht="25.5">
      <c r="A253" t="str">
        <f>pos('Questions - Fragen'!C93)</f>
        <v>$C$93</v>
      </c>
      <c r="B253" s="14" t="s">
        <v>700</v>
      </c>
      <c r="C253" s="1143" t="s">
        <v>282</v>
      </c>
      <c r="D253" s="252" t="s">
        <v>247</v>
      </c>
    </row>
    <row r="254" spans="1:4" ht="25.5">
      <c r="A254" t="str">
        <f>pos('Questions - Fragen'!C104)</f>
        <v>$C$104</v>
      </c>
      <c r="B254" s="14" t="s">
        <v>701</v>
      </c>
      <c r="C254" s="1143" t="s">
        <v>293</v>
      </c>
      <c r="D254" s="252" t="s">
        <v>247</v>
      </c>
    </row>
    <row r="255" spans="1:4">
      <c r="A255" t="str">
        <f>pos('Questions - Fragen'!C115)</f>
        <v>$C$115</v>
      </c>
      <c r="B255" s="14" t="s">
        <v>702</v>
      </c>
      <c r="C255" s="1143" t="s">
        <v>476</v>
      </c>
      <c r="D255" s="252" t="s">
        <v>247</v>
      </c>
    </row>
    <row r="256" spans="1:4">
      <c r="A256" s="645" t="str">
        <f>pos('Questions - Fragen'!C126)</f>
        <v>$C$126</v>
      </c>
      <c r="B256" s="647" t="s">
        <v>703</v>
      </c>
      <c r="C256" s="1157" t="s">
        <v>477</v>
      </c>
      <c r="D256" s="252" t="s">
        <v>247</v>
      </c>
    </row>
    <row r="257" spans="1:4">
      <c r="A257" t="str">
        <f>pos('Questions - Fragen'!C127)</f>
        <v>$C$127</v>
      </c>
      <c r="B257" s="14" t="s">
        <v>704</v>
      </c>
      <c r="C257" s="1143" t="s">
        <v>478</v>
      </c>
      <c r="D257" s="252" t="s">
        <v>247</v>
      </c>
    </row>
    <row r="258" spans="1:4">
      <c r="A258" t="str">
        <f>pos('Questions - Fragen'!C138)</f>
        <v>$C$138</v>
      </c>
      <c r="B258" s="14" t="s">
        <v>705</v>
      </c>
      <c r="C258" s="1143" t="s">
        <v>479</v>
      </c>
      <c r="D258" s="252" t="s">
        <v>247</v>
      </c>
    </row>
    <row r="259" spans="1:4">
      <c r="A259" t="str">
        <f>pos('Questions - Fragen'!C149)</f>
        <v>$C$149</v>
      </c>
      <c r="B259" s="14" t="s">
        <v>706</v>
      </c>
      <c r="C259" s="1143" t="s">
        <v>409</v>
      </c>
      <c r="D259" s="252" t="s">
        <v>247</v>
      </c>
    </row>
    <row r="260" spans="1:4">
      <c r="A260" t="str">
        <f>pos('Questions - Fragen'!C160)</f>
        <v>$C$160</v>
      </c>
      <c r="B260" s="14" t="s">
        <v>707</v>
      </c>
      <c r="C260" s="1143" t="s">
        <v>480</v>
      </c>
      <c r="D260" s="252" t="s">
        <v>247</v>
      </c>
    </row>
    <row r="261" spans="1:4">
      <c r="A261" t="str">
        <f>pos('Questions - Fragen'!C171)</f>
        <v>$C$171</v>
      </c>
      <c r="B261" s="14" t="s">
        <v>708</v>
      </c>
      <c r="C261" s="1143" t="s">
        <v>481</v>
      </c>
      <c r="D261" s="252" t="s">
        <v>247</v>
      </c>
    </row>
    <row r="262" spans="1:4" ht="25.5">
      <c r="A262" s="645" t="str">
        <f>pos('Questions - Fragen'!C182)</f>
        <v>$C$182</v>
      </c>
      <c r="B262" s="647" t="s">
        <v>709</v>
      </c>
      <c r="C262" s="1152" t="s">
        <v>482</v>
      </c>
      <c r="D262" s="252" t="s">
        <v>247</v>
      </c>
    </row>
    <row r="263" spans="1:4">
      <c r="A263" s="85" t="str">
        <f>pos('Questions - Fragen'!C183)</f>
        <v>$C$183</v>
      </c>
      <c r="B263" s="650" t="s">
        <v>710</v>
      </c>
      <c r="C263" s="1143" t="s">
        <v>410</v>
      </c>
      <c r="D263" s="252" t="s">
        <v>247</v>
      </c>
    </row>
    <row r="264" spans="1:4" ht="25.5">
      <c r="A264" t="str">
        <f>pos('Questions - Fragen'!C194)</f>
        <v>$C$194</v>
      </c>
      <c r="B264" s="14" t="s">
        <v>711</v>
      </c>
      <c r="C264" s="1143" t="s">
        <v>411</v>
      </c>
      <c r="D264" s="252" t="s">
        <v>247</v>
      </c>
    </row>
    <row r="265" spans="1:4">
      <c r="A265" t="str">
        <f>pos('Questions - Fragen'!C205)</f>
        <v>$C$205</v>
      </c>
      <c r="B265" s="14" t="s">
        <v>712</v>
      </c>
      <c r="C265" s="1143" t="s">
        <v>412</v>
      </c>
      <c r="D265" s="252" t="s">
        <v>247</v>
      </c>
    </row>
    <row r="266" spans="1:4" ht="25.5">
      <c r="A266" s="645" t="str">
        <f>pos('Questions - Fragen'!C216)</f>
        <v>$C$216</v>
      </c>
      <c r="B266" s="647" t="s">
        <v>713</v>
      </c>
      <c r="C266" s="1152" t="s">
        <v>483</v>
      </c>
      <c r="D266" s="252" t="s">
        <v>247</v>
      </c>
    </row>
    <row r="267" spans="1:4" ht="25.5">
      <c r="A267" t="str">
        <f>pos('Questions - Fragen'!C217)</f>
        <v>$C$217</v>
      </c>
      <c r="B267" s="14" t="s">
        <v>714</v>
      </c>
      <c r="C267" s="1143" t="s">
        <v>413</v>
      </c>
      <c r="D267" s="252" t="s">
        <v>247</v>
      </c>
    </row>
    <row r="268" spans="1:4">
      <c r="A268" t="str">
        <f>pos('Questions - Fragen'!C228)</f>
        <v>$C$228</v>
      </c>
      <c r="B268" s="14" t="s">
        <v>715</v>
      </c>
      <c r="C268" s="1143" t="s">
        <v>414</v>
      </c>
      <c r="D268" s="252" t="s">
        <v>247</v>
      </c>
    </row>
    <row r="269" spans="1:4" ht="25.5">
      <c r="A269" t="str">
        <f>pos('Questions - Fragen'!C239)</f>
        <v>$C$239</v>
      </c>
      <c r="B269" s="14" t="s">
        <v>716</v>
      </c>
      <c r="C269" s="1143" t="s">
        <v>484</v>
      </c>
      <c r="D269" s="252" t="s">
        <v>247</v>
      </c>
    </row>
    <row r="270" spans="1:4">
      <c r="A270" t="str">
        <f>pos('Questions - Fragen'!C250)</f>
        <v>$C$250</v>
      </c>
      <c r="B270" s="14" t="s">
        <v>717</v>
      </c>
      <c r="C270" s="1143" t="s">
        <v>415</v>
      </c>
      <c r="D270" s="252" t="s">
        <v>247</v>
      </c>
    </row>
    <row r="271" spans="1:4">
      <c r="A271" t="str">
        <f>pos('Questions - Fragen'!C261)</f>
        <v>$C$261</v>
      </c>
      <c r="B271" s="14" t="s">
        <v>718</v>
      </c>
      <c r="C271" s="1143" t="s">
        <v>485</v>
      </c>
      <c r="D271" s="252" t="s">
        <v>247</v>
      </c>
    </row>
    <row r="272" spans="1:4" ht="25.5">
      <c r="A272" s="645" t="str">
        <f>pos('Questions - Fragen'!C272)</f>
        <v>$C$272</v>
      </c>
      <c r="B272" s="647" t="s">
        <v>719</v>
      </c>
      <c r="C272" s="1153" t="s">
        <v>416</v>
      </c>
      <c r="D272" s="252" t="s">
        <v>247</v>
      </c>
    </row>
    <row r="273" spans="1:4">
      <c r="A273" t="str">
        <f>pos('Questions - Fragen'!C273)</f>
        <v>$C$273</v>
      </c>
      <c r="B273" s="14" t="s">
        <v>720</v>
      </c>
      <c r="C273" s="1143" t="s">
        <v>417</v>
      </c>
      <c r="D273" s="252" t="s">
        <v>247</v>
      </c>
    </row>
    <row r="274" spans="1:4">
      <c r="A274" t="str">
        <f>pos('Questions - Fragen'!C284)</f>
        <v>$C$284</v>
      </c>
      <c r="B274" s="14" t="s">
        <v>721</v>
      </c>
      <c r="C274" s="1143" t="s">
        <v>418</v>
      </c>
      <c r="D274" s="252" t="s">
        <v>247</v>
      </c>
    </row>
    <row r="275" spans="1:4" ht="25.5">
      <c r="A275" t="str">
        <f>pos('Questions - Fragen'!C295)</f>
        <v>$C$295</v>
      </c>
      <c r="B275" s="14" t="s">
        <v>722</v>
      </c>
      <c r="C275" s="1143" t="s">
        <v>419</v>
      </c>
      <c r="D275" s="252" t="s">
        <v>247</v>
      </c>
    </row>
    <row r="276" spans="1:4">
      <c r="A276" t="str">
        <f>pos('Questions - Fragen'!C306)</f>
        <v>$C$306</v>
      </c>
      <c r="B276" s="14" t="s">
        <v>723</v>
      </c>
      <c r="C276" s="1143" t="s">
        <v>420</v>
      </c>
      <c r="D276" s="252" t="s">
        <v>247</v>
      </c>
    </row>
    <row r="277" spans="1:4" ht="25.5">
      <c r="A277" s="645" t="str">
        <f>pos('Questions - Fragen'!C317)</f>
        <v>$C$317</v>
      </c>
      <c r="B277" s="647" t="s">
        <v>724</v>
      </c>
      <c r="C277" s="1153" t="s">
        <v>421</v>
      </c>
      <c r="D277" s="252" t="s">
        <v>247</v>
      </c>
    </row>
    <row r="278" spans="1:4" ht="25.5">
      <c r="A278" t="str">
        <f>pos('Questions - Fragen'!C318)</f>
        <v>$C$318</v>
      </c>
      <c r="B278" s="14" t="s">
        <v>725</v>
      </c>
      <c r="C278" s="1143" t="s">
        <v>486</v>
      </c>
      <c r="D278" s="252" t="s">
        <v>247</v>
      </c>
    </row>
    <row r="279" spans="1:4" ht="25.5">
      <c r="A279" t="str">
        <f>pos('Questions - Fragen'!C329)</f>
        <v>$C$329</v>
      </c>
      <c r="B279" s="14" t="s">
        <v>726</v>
      </c>
      <c r="C279" s="1143" t="s">
        <v>422</v>
      </c>
      <c r="D279" s="252" t="s">
        <v>247</v>
      </c>
    </row>
    <row r="280" spans="1:4">
      <c r="A280" t="str">
        <f>pos('Questions - Fragen'!C340)</f>
        <v>$C$340</v>
      </c>
      <c r="B280" s="14" t="s">
        <v>727</v>
      </c>
      <c r="C280" s="1143" t="s">
        <v>487</v>
      </c>
      <c r="D280" s="252" t="s">
        <v>247</v>
      </c>
    </row>
    <row r="281" spans="1:4">
      <c r="A281" t="str">
        <f>pos('Questions - Fragen'!C351)</f>
        <v>$C$351</v>
      </c>
      <c r="B281" s="14" t="s">
        <v>728</v>
      </c>
      <c r="C281" s="1143" t="s">
        <v>423</v>
      </c>
      <c r="D281" s="252" t="s">
        <v>247</v>
      </c>
    </row>
    <row r="282" spans="1:4">
      <c r="A282" s="645" t="str">
        <f>pos('Questions - Fragen'!C362)</f>
        <v>$C$362</v>
      </c>
      <c r="B282" s="646" t="s">
        <v>729</v>
      </c>
      <c r="C282" s="1152" t="s">
        <v>424</v>
      </c>
      <c r="D282" s="252" t="s">
        <v>247</v>
      </c>
    </row>
    <row r="283" spans="1:4">
      <c r="A283" t="str">
        <f>pos('Questions - Fragen'!C363)</f>
        <v>$C$363</v>
      </c>
      <c r="B283" s="14" t="s">
        <v>730</v>
      </c>
      <c r="C283" s="1143" t="s">
        <v>425</v>
      </c>
      <c r="D283" s="252" t="s">
        <v>247</v>
      </c>
    </row>
    <row r="284" spans="1:4">
      <c r="A284" t="str">
        <f>pos('Questions - Fragen'!C364)</f>
        <v>$C$364</v>
      </c>
      <c r="B284" s="14" t="s">
        <v>731</v>
      </c>
      <c r="C284" s="1143" t="s">
        <v>426</v>
      </c>
      <c r="D284" s="252" t="s">
        <v>247</v>
      </c>
    </row>
    <row r="285" spans="1:4">
      <c r="A285" t="str">
        <f>pos('Questions - Fragen'!C365)</f>
        <v>$C$365</v>
      </c>
      <c r="B285" s="14" t="s">
        <v>732</v>
      </c>
      <c r="C285" s="1143" t="s">
        <v>427</v>
      </c>
      <c r="D285" s="252" t="s">
        <v>247</v>
      </c>
    </row>
    <row r="286" spans="1:4" ht="25.5">
      <c r="A286" t="str">
        <f>pos('Questions - Fragen'!C366)</f>
        <v>$C$366</v>
      </c>
      <c r="B286" s="14" t="s">
        <v>733</v>
      </c>
      <c r="C286" s="1143" t="s">
        <v>488</v>
      </c>
      <c r="D286" s="252" t="s">
        <v>247</v>
      </c>
    </row>
    <row r="287" spans="1:4">
      <c r="A287" t="str">
        <f>pos('Questions - Fragen'!C367)</f>
        <v>$C$367</v>
      </c>
      <c r="B287" s="14" t="s">
        <v>734</v>
      </c>
      <c r="C287" s="1143" t="s">
        <v>489</v>
      </c>
      <c r="D287" s="252" t="s">
        <v>247</v>
      </c>
    </row>
    <row r="288" spans="1:4" ht="30">
      <c r="A288" t="str">
        <f>pos('Questions - Fragen'!L69)</f>
        <v>$L$69</v>
      </c>
      <c r="B288" s="652" t="s">
        <v>735</v>
      </c>
      <c r="C288" s="1155" t="s">
        <v>428</v>
      </c>
      <c r="D288" s="252" t="s">
        <v>247</v>
      </c>
    </row>
    <row r="289" spans="1:4" ht="15">
      <c r="B289" s="651"/>
      <c r="C289" s="651"/>
      <c r="D289" s="252" t="s">
        <v>247</v>
      </c>
    </row>
    <row r="290" spans="1:4">
      <c r="D290" s="252" t="s">
        <v>247</v>
      </c>
    </row>
    <row r="291" spans="1:4">
      <c r="D291" s="252" t="s">
        <v>247</v>
      </c>
    </row>
    <row r="292" spans="1:4">
      <c r="D292" s="252" t="s">
        <v>247</v>
      </c>
    </row>
    <row r="293" spans="1:4">
      <c r="D293" s="252" t="s">
        <v>247</v>
      </c>
    </row>
    <row r="294" spans="1:4">
      <c r="D294" s="252" t="s">
        <v>247</v>
      </c>
    </row>
    <row r="295" spans="1:4">
      <c r="D295" s="252" t="s">
        <v>247</v>
      </c>
    </row>
    <row r="296" spans="1:4">
      <c r="D296" s="252" t="s">
        <v>247</v>
      </c>
    </row>
    <row r="297" spans="1:4">
      <c r="D297" s="252" t="s">
        <v>247</v>
      </c>
    </row>
    <row r="298" spans="1:4">
      <c r="D298" s="252" t="s">
        <v>247</v>
      </c>
    </row>
    <row r="299" spans="1:4">
      <c r="D299" s="252" t="s">
        <v>247</v>
      </c>
    </row>
    <row r="300" spans="1:4" ht="13.5" thickBot="1">
      <c r="A300" s="497"/>
      <c r="B300" s="497"/>
      <c r="C300" s="497"/>
      <c r="D300" s="815" t="s">
        <v>247</v>
      </c>
    </row>
    <row r="301" spans="1:4" ht="242.25" customHeight="1" thickTop="1">
      <c r="A301" t="str">
        <f>pos(Disclaimer!A1)</f>
        <v>$A$1</v>
      </c>
      <c r="B301" s="496"/>
      <c r="C301" s="496"/>
      <c r="D301" s="335" t="s">
        <v>503</v>
      </c>
    </row>
  </sheetData>
  <printOptions headings="1"/>
  <pageMargins left="0.7" right="0.7" top="0.57999999999999996" bottom="0.6" header="0.3" footer="0.3"/>
  <pageSetup paperSize="9" scale="26" fitToHeight="0" orientation="landscape"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0"/>
  <dimension ref="A1:C1116"/>
  <sheetViews>
    <sheetView workbookViewId="0">
      <pane ySplit="1" topLeftCell="A119" activePane="bottomLeft" state="frozen"/>
      <selection pane="bottomLeft" activeCell="A2" sqref="A2"/>
    </sheetView>
  </sheetViews>
  <sheetFormatPr defaultColWidth="11.42578125" defaultRowHeight="12.75"/>
  <cols>
    <col min="1" max="1" width="25.140625" bestFit="1" customWidth="1"/>
    <col min="2" max="2" width="7.28515625" bestFit="1" customWidth="1"/>
    <col min="3" max="3" width="20.7109375" bestFit="1" customWidth="1"/>
  </cols>
  <sheetData>
    <row r="1" spans="1:3" s="336" customFormat="1">
      <c r="A1" s="336" t="s">
        <v>324</v>
      </c>
      <c r="B1" s="336" t="s">
        <v>325</v>
      </c>
      <c r="C1" s="336" t="s">
        <v>326</v>
      </c>
    </row>
    <row r="2" spans="1:3">
      <c r="A2" s="335" t="s">
        <v>494</v>
      </c>
      <c r="B2" t="str">
        <f>pos('Input Form - EingabeMaske'!C9)</f>
        <v>$C$9</v>
      </c>
      <c r="C2" t="str">
        <f ca="1">IF(INDIRECT("'"&amp;A2&amp;"'!"&amp;B2)=0,"",INDIRECT("'"&amp;A2&amp;"'!"&amp;B2))</f>
        <v/>
      </c>
    </row>
    <row r="3" spans="1:3">
      <c r="A3" s="335" t="str">
        <f>$A$2</f>
        <v>Input Form - EingabeMaske</v>
      </c>
      <c r="B3" t="str">
        <f>pos('Input Form - EingabeMaske'!C10)</f>
        <v>$C$10</v>
      </c>
      <c r="C3">
        <f t="shared" ref="C3:C67" ca="1" si="0">IF(INDIRECT("'"&amp;A3&amp;"'!"&amp;B3)=0,"",INDIRECT("'"&amp;A3&amp;"'!"&amp;B3))</f>
        <v>45713</v>
      </c>
    </row>
    <row r="4" spans="1:3">
      <c r="A4" s="335" t="str">
        <f t="shared" ref="A4:A67" si="1">$A$2</f>
        <v>Input Form - EingabeMaske</v>
      </c>
      <c r="B4" t="str">
        <f>pos('Input Form - EingabeMaske'!C12)</f>
        <v>$C$12</v>
      </c>
      <c r="C4" t="str">
        <f t="shared" ca="1" si="0"/>
        <v>New Process Moldshop to follow up after IATF Audit Nov. 2024</v>
      </c>
    </row>
    <row r="5" spans="1:3">
      <c r="A5" s="335" t="str">
        <f t="shared" si="1"/>
        <v>Input Form - EingabeMaske</v>
      </c>
      <c r="B5" t="str">
        <f>pos('Input Form - EingabeMaske'!C13)</f>
        <v>$C$13</v>
      </c>
      <c r="C5" t="str">
        <f t="shared" ca="1" si="0"/>
        <v>Q-management</v>
      </c>
    </row>
    <row r="6" spans="1:3">
      <c r="A6" s="335" t="str">
        <f t="shared" si="1"/>
        <v>Input Form - EingabeMaske</v>
      </c>
      <c r="B6" t="str">
        <f>pos('Input Form - EingabeMaske'!C14)</f>
        <v>$C$14</v>
      </c>
      <c r="C6" t="str">
        <f t="shared" ca="1" si="0"/>
        <v>M. Sundquist, M Hosseinpour &amp; I Sundberg</v>
      </c>
    </row>
    <row r="7" spans="1:3">
      <c r="A7" s="335" t="str">
        <f t="shared" si="1"/>
        <v>Input Form - EingabeMaske</v>
      </c>
      <c r="B7" t="str">
        <f>pos('Input Form - EingabeMaske'!C15)</f>
        <v>$C$15</v>
      </c>
      <c r="C7" t="str">
        <f t="shared" ca="1" si="0"/>
        <v>Anton Zhorov</v>
      </c>
    </row>
    <row r="8" spans="1:3">
      <c r="A8" s="335" t="str">
        <f t="shared" si="1"/>
        <v>Input Form - EingabeMaske</v>
      </c>
      <c r="B8" t="str">
        <f>pos('Input Form - EingabeMaske'!C17)</f>
        <v>$C$17</v>
      </c>
      <c r="C8" t="str">
        <f t="shared" ca="1" si="0"/>
        <v/>
      </c>
    </row>
    <row r="9" spans="1:3">
      <c r="A9" s="335" t="str">
        <f t="shared" si="1"/>
        <v>Input Form - EingabeMaske</v>
      </c>
      <c r="B9" t="str">
        <f>pos('Input Form - EingabeMaske'!C18)</f>
        <v>$C$18</v>
      </c>
      <c r="C9" t="str">
        <f t="shared" ca="1" si="0"/>
        <v/>
      </c>
    </row>
    <row r="10" spans="1:3">
      <c r="A10" s="335" t="str">
        <f t="shared" si="1"/>
        <v>Input Form - EingabeMaske</v>
      </c>
      <c r="B10" t="str">
        <f>pos('Input Form - EingabeMaske'!C19)</f>
        <v>$C$19</v>
      </c>
      <c r="C10" t="str">
        <f t="shared" ca="1" si="0"/>
        <v/>
      </c>
    </row>
    <row r="11" spans="1:3">
      <c r="A11" s="335" t="str">
        <f t="shared" si="1"/>
        <v>Input Form - EingabeMaske</v>
      </c>
      <c r="B11" t="str">
        <f>pos('Input Form - EingabeMaske'!C20)</f>
        <v>$C$20</v>
      </c>
      <c r="C11" t="str">
        <f t="shared" ca="1" si="0"/>
        <v/>
      </c>
    </row>
    <row r="12" spans="1:3">
      <c r="A12" s="335" t="str">
        <f t="shared" si="1"/>
        <v>Input Form - EingabeMaske</v>
      </c>
      <c r="B12" t="str">
        <f>pos('Input Form - EingabeMaske'!C21)</f>
        <v>$C$21</v>
      </c>
      <c r="C12" t="str">
        <f t="shared" ca="1" si="0"/>
        <v/>
      </c>
    </row>
    <row r="13" spans="1:3">
      <c r="A13" s="335" t="str">
        <f t="shared" si="1"/>
        <v>Input Form - EingabeMaske</v>
      </c>
      <c r="B13" t="str">
        <f>pos('Input Form - EingabeMaske'!C22)</f>
        <v>$C$22</v>
      </c>
      <c r="C13" t="str">
        <f t="shared" ca="1" si="0"/>
        <v/>
      </c>
    </row>
    <row r="14" spans="1:3">
      <c r="A14" s="335" t="str">
        <f t="shared" si="1"/>
        <v>Input Form - EingabeMaske</v>
      </c>
      <c r="B14" t="str">
        <f>pos('Input Form - EingabeMaske'!C23)</f>
        <v>$C$23</v>
      </c>
      <c r="C14" t="str">
        <f t="shared" ca="1" si="0"/>
        <v/>
      </c>
    </row>
    <row r="15" spans="1:3">
      <c r="A15" s="335" t="str">
        <f t="shared" si="1"/>
        <v>Input Form - EingabeMaske</v>
      </c>
      <c r="B15" t="str">
        <f>pos('Input Form - EingabeMaske'!C24)</f>
        <v>$C$24</v>
      </c>
      <c r="C15" t="str">
        <f t="shared" ca="1" si="0"/>
        <v/>
      </c>
    </row>
    <row r="16" spans="1:3">
      <c r="A16" s="335" t="str">
        <f t="shared" si="1"/>
        <v>Input Form - EingabeMaske</v>
      </c>
      <c r="B16" t="str">
        <f>pos('Input Form - EingabeMaske'!C25)</f>
        <v>$C$25</v>
      </c>
      <c r="C16" t="str">
        <f t="shared" ca="1" si="0"/>
        <v/>
      </c>
    </row>
    <row r="17" spans="1:3">
      <c r="A17" s="335" t="str">
        <f t="shared" si="1"/>
        <v>Input Form - EingabeMaske</v>
      </c>
      <c r="B17" t="str">
        <f>pos('Input Form - EingabeMaske'!C26)</f>
        <v>$C$26</v>
      </c>
      <c r="C17" t="str">
        <f t="shared" ca="1" si="0"/>
        <v/>
      </c>
    </row>
    <row r="18" spans="1:3">
      <c r="A18" s="335" t="str">
        <f t="shared" si="1"/>
        <v>Input Form - EingabeMaske</v>
      </c>
      <c r="B18" t="str">
        <f>pos('Input Form - EingabeMaske'!E10)</f>
        <v>$E$10</v>
      </c>
      <c r="C18" t="str">
        <f t="shared" ca="1" si="0"/>
        <v/>
      </c>
    </row>
    <row r="19" spans="1:3">
      <c r="A19" s="335" t="str">
        <f t="shared" si="1"/>
        <v>Input Form - EingabeMaske</v>
      </c>
      <c r="B19" t="str">
        <f>pos('Input Form - EingabeMaske'!E13)</f>
        <v>$E$13</v>
      </c>
      <c r="C19" t="str">
        <f t="shared" ca="1" si="0"/>
        <v>Quality Dep.</v>
      </c>
    </row>
    <row r="20" spans="1:3">
      <c r="A20" s="335" t="str">
        <f t="shared" si="1"/>
        <v>Input Form - EingabeMaske</v>
      </c>
      <c r="B20" t="str">
        <f>pos('Input Form - EingabeMaske'!E14)</f>
        <v>$E$14</v>
      </c>
      <c r="C20" t="str">
        <f t="shared" ca="1" si="0"/>
        <v>Quality Dep.</v>
      </c>
    </row>
    <row r="21" spans="1:3">
      <c r="A21" s="335" t="str">
        <f t="shared" si="1"/>
        <v>Input Form - EingabeMaske</v>
      </c>
      <c r="B21" t="str">
        <f>pos('Input Form - EingabeMaske'!E15)</f>
        <v>$E$15</v>
      </c>
      <c r="C21" t="str">
        <f t="shared" ca="1" si="0"/>
        <v>Casthouse</v>
      </c>
    </row>
    <row r="22" spans="1:3">
      <c r="A22" s="335" t="str">
        <f t="shared" si="1"/>
        <v>Input Form - EingabeMaske</v>
      </c>
      <c r="B22" t="str">
        <f>pos('Input Form - EingabeMaske'!E18)</f>
        <v>$E$18</v>
      </c>
      <c r="C22" t="str">
        <f t="shared" ca="1" si="0"/>
        <v/>
      </c>
    </row>
    <row r="23" spans="1:3">
      <c r="A23" s="335" t="str">
        <f t="shared" si="1"/>
        <v>Input Form - EingabeMaske</v>
      </c>
      <c r="B23" t="str">
        <f>pos('Input Form - EingabeMaske'!E19)</f>
        <v>$E$19</v>
      </c>
      <c r="C23" t="str">
        <f t="shared" ca="1" si="0"/>
        <v>Mats Andersson</v>
      </c>
    </row>
    <row r="24" spans="1:3">
      <c r="A24" s="335" t="str">
        <f t="shared" si="1"/>
        <v>Input Form - EingabeMaske</v>
      </c>
      <c r="B24" t="str">
        <f>pos('Input Form - EingabeMaske'!E20)</f>
        <v>$E$20</v>
      </c>
      <c r="C24" t="str">
        <f t="shared" ca="1" si="0"/>
        <v>Regina de Paula</v>
      </c>
    </row>
    <row r="25" spans="1:3">
      <c r="A25" s="335" t="str">
        <f t="shared" si="1"/>
        <v>Input Form - EingabeMaske</v>
      </c>
      <c r="B25" t="str">
        <f>pos('Input Form - EingabeMaske'!E21)</f>
        <v>$E$21</v>
      </c>
      <c r="C25" t="str">
        <f t="shared" ca="1" si="0"/>
        <v/>
      </c>
    </row>
    <row r="26" spans="1:3">
      <c r="A26" s="335" t="str">
        <f t="shared" si="1"/>
        <v>Input Form - EingabeMaske</v>
      </c>
      <c r="B26" t="str">
        <f>pos('Input Form - EingabeMaske'!E22)</f>
        <v>$E$22</v>
      </c>
      <c r="C26" t="str">
        <f t="shared" ca="1" si="0"/>
        <v/>
      </c>
    </row>
    <row r="27" spans="1:3">
      <c r="A27" s="335" t="str">
        <f t="shared" si="1"/>
        <v>Input Form - EingabeMaske</v>
      </c>
      <c r="B27" t="str">
        <f>pos('Input Form - EingabeMaske'!F18)</f>
        <v>$F$18</v>
      </c>
      <c r="C27" t="str">
        <f t="shared" ca="1" si="0"/>
        <v/>
      </c>
    </row>
    <row r="28" spans="1:3">
      <c r="A28" s="335" t="str">
        <f t="shared" si="1"/>
        <v>Input Form - EingabeMaske</v>
      </c>
      <c r="B28" t="str">
        <f>pos('Input Form - EingabeMaske'!F19)</f>
        <v>$F$19</v>
      </c>
      <c r="C28" t="str">
        <f t="shared" ca="1" si="0"/>
        <v>CEO</v>
      </c>
    </row>
    <row r="29" spans="1:3">
      <c r="A29" s="335" t="str">
        <f t="shared" si="1"/>
        <v>Input Form - EingabeMaske</v>
      </c>
      <c r="B29" t="str">
        <f>pos('Input Form - EingabeMaske'!F20)</f>
        <v>$F$20</v>
      </c>
      <c r="C29" t="str">
        <f t="shared" ca="1" si="0"/>
        <v>BS &amp; Quality Director</v>
      </c>
    </row>
    <row r="30" spans="1:3">
      <c r="A30" s="335" t="str">
        <f t="shared" si="1"/>
        <v>Input Form - EingabeMaske</v>
      </c>
      <c r="B30" t="str">
        <f>pos('Input Form - EingabeMaske'!F21)</f>
        <v>$F$21</v>
      </c>
      <c r="C30" t="str">
        <f t="shared" ca="1" si="0"/>
        <v/>
      </c>
    </row>
    <row r="31" spans="1:3">
      <c r="A31" s="335" t="str">
        <f t="shared" si="1"/>
        <v>Input Form - EingabeMaske</v>
      </c>
      <c r="B31" t="str">
        <f>pos('Input Form - EingabeMaske'!F22)</f>
        <v>$F$22</v>
      </c>
      <c r="C31" t="str">
        <f t="shared" ca="1" si="0"/>
        <v/>
      </c>
    </row>
    <row r="32" spans="1:3">
      <c r="A32" s="335" t="str">
        <f t="shared" si="1"/>
        <v>Input Form - EingabeMaske</v>
      </c>
      <c r="B32" t="str">
        <f>pos('Input Form - EingabeMaske'!C28)</f>
        <v>$C$28</v>
      </c>
      <c r="C32" t="str">
        <f t="shared" ca="1" si="0"/>
        <v/>
      </c>
    </row>
    <row r="33" spans="1:3">
      <c r="A33" s="335" t="str">
        <f t="shared" si="1"/>
        <v>Input Form - EingabeMaske</v>
      </c>
      <c r="B33" t="str">
        <f>pos('Input Form - EingabeMaske'!C29)</f>
        <v>$C$29</v>
      </c>
      <c r="C33" t="str">
        <f t="shared" ca="1" si="0"/>
        <v/>
      </c>
    </row>
    <row r="34" spans="1:3">
      <c r="A34" s="335" t="str">
        <f t="shared" si="1"/>
        <v>Input Form - EingabeMaske</v>
      </c>
      <c r="B34" t="str">
        <f>pos('Input Form - EingabeMaske'!C30)</f>
        <v>$C$30</v>
      </c>
      <c r="C34" t="str">
        <f t="shared" ca="1" si="0"/>
        <v/>
      </c>
    </row>
    <row r="35" spans="1:3">
      <c r="A35" s="335" t="str">
        <f t="shared" si="1"/>
        <v>Input Form - EingabeMaske</v>
      </c>
      <c r="B35" t="str">
        <f>pos('Input Form - EingabeMaske'!C31)</f>
        <v>$C$31</v>
      </c>
      <c r="C35" t="str">
        <f t="shared" ca="1" si="0"/>
        <v/>
      </c>
    </row>
    <row r="36" spans="1:3">
      <c r="A36" s="335" t="str">
        <f t="shared" si="1"/>
        <v>Input Form - EingabeMaske</v>
      </c>
      <c r="B36" t="str">
        <f>pos('Input Form - EingabeMaske'!D28)</f>
        <v>$D$28</v>
      </c>
      <c r="C36" t="str">
        <f t="shared" ca="1" si="0"/>
        <v/>
      </c>
    </row>
    <row r="37" spans="1:3">
      <c r="A37" s="335" t="str">
        <f t="shared" si="1"/>
        <v>Input Form - EingabeMaske</v>
      </c>
      <c r="B37" t="str">
        <f>pos('Input Form - EingabeMaske'!D29)</f>
        <v>$D$29</v>
      </c>
      <c r="C37" t="str">
        <f t="shared" ca="1" si="0"/>
        <v/>
      </c>
    </row>
    <row r="38" spans="1:3">
      <c r="A38" s="335" t="str">
        <f t="shared" si="1"/>
        <v>Input Form - EingabeMaske</v>
      </c>
      <c r="B38" t="str">
        <f>pos('Input Form - EingabeMaske'!D30)</f>
        <v>$D$30</v>
      </c>
      <c r="C38" t="str">
        <f t="shared" ca="1" si="0"/>
        <v/>
      </c>
    </row>
    <row r="39" spans="1:3">
      <c r="A39" s="335" t="str">
        <f t="shared" si="1"/>
        <v>Input Form - EingabeMaske</v>
      </c>
      <c r="B39" t="str">
        <f>pos('Input Form - EingabeMaske'!D31)</f>
        <v>$D$31</v>
      </c>
      <c r="C39" t="str">
        <f t="shared" ca="1" si="0"/>
        <v/>
      </c>
    </row>
    <row r="40" spans="1:3">
      <c r="A40" s="335" t="str">
        <f t="shared" si="1"/>
        <v>Input Form - EingabeMaske</v>
      </c>
      <c r="B40" t="str">
        <f>pos('Input Form - EingabeMaske'!E28)</f>
        <v>$E$28</v>
      </c>
      <c r="C40" t="str">
        <f t="shared" ca="1" si="0"/>
        <v/>
      </c>
    </row>
    <row r="41" spans="1:3">
      <c r="A41" s="335" t="str">
        <f t="shared" si="1"/>
        <v>Input Form - EingabeMaske</v>
      </c>
      <c r="B41" t="str">
        <f>pos('Input Form - EingabeMaske'!E29)</f>
        <v>$E$29</v>
      </c>
      <c r="C41" t="str">
        <f t="shared" ca="1" si="0"/>
        <v/>
      </c>
    </row>
    <row r="42" spans="1:3">
      <c r="A42" s="335" t="str">
        <f t="shared" si="1"/>
        <v>Input Form - EingabeMaske</v>
      </c>
      <c r="B42" t="str">
        <f>pos('Input Form - EingabeMaske'!E30)</f>
        <v>$E$30</v>
      </c>
      <c r="C42" t="str">
        <f t="shared" ca="1" si="0"/>
        <v/>
      </c>
    </row>
    <row r="43" spans="1:3">
      <c r="A43" s="335" t="str">
        <f t="shared" si="1"/>
        <v>Input Form - EingabeMaske</v>
      </c>
      <c r="B43" t="str">
        <f>pos('Input Form - EingabeMaske'!E31)</f>
        <v>$E$31</v>
      </c>
      <c r="C43" t="str">
        <f t="shared" ca="1" si="0"/>
        <v/>
      </c>
    </row>
    <row r="44" spans="1:3">
      <c r="A44" s="335" t="str">
        <f t="shared" si="1"/>
        <v>Input Form - EingabeMaske</v>
      </c>
      <c r="B44" t="str">
        <f>pos('Input Form - EingabeMaske'!F28)</f>
        <v>$F$28</v>
      </c>
      <c r="C44" t="str">
        <f t="shared" ca="1" si="0"/>
        <v/>
      </c>
    </row>
    <row r="45" spans="1:3">
      <c r="A45" s="335" t="str">
        <f t="shared" si="1"/>
        <v>Input Form - EingabeMaske</v>
      </c>
      <c r="B45" t="str">
        <f>pos('Input Form - EingabeMaske'!F29)</f>
        <v>$F$29</v>
      </c>
      <c r="C45" t="str">
        <f t="shared" ca="1" si="0"/>
        <v/>
      </c>
    </row>
    <row r="46" spans="1:3">
      <c r="A46" s="335" t="str">
        <f t="shared" si="1"/>
        <v>Input Form - EingabeMaske</v>
      </c>
      <c r="B46" t="str">
        <f>pos('Input Form - EingabeMaske'!F30)</f>
        <v>$F$30</v>
      </c>
      <c r="C46" t="str">
        <f t="shared" ca="1" si="0"/>
        <v/>
      </c>
    </row>
    <row r="47" spans="1:3">
      <c r="A47" s="335" t="str">
        <f t="shared" si="1"/>
        <v>Input Form - EingabeMaske</v>
      </c>
      <c r="B47" t="str">
        <f>pos('Input Form - EingabeMaske'!F31)</f>
        <v>$F$31</v>
      </c>
      <c r="C47" t="str">
        <f t="shared" ca="1" si="0"/>
        <v/>
      </c>
    </row>
    <row r="48" spans="1:3">
      <c r="A48" s="335" t="str">
        <f t="shared" si="1"/>
        <v>Input Form - EingabeMaske</v>
      </c>
      <c r="B48" t="str">
        <f>pos('Input Form - EingabeMaske'!C34)</f>
        <v>$C$34</v>
      </c>
      <c r="C48" t="str">
        <f t="shared" ca="1" si="0"/>
        <v>Billets</v>
      </c>
    </row>
    <row r="49" spans="1:3">
      <c r="A49" s="335" t="str">
        <f t="shared" si="1"/>
        <v>Input Form - EingabeMaske</v>
      </c>
      <c r="B49" t="str">
        <f>pos('Input Form - EingabeMaske'!D34)</f>
        <v>$D$34</v>
      </c>
      <c r="C49" t="str">
        <f t="shared" ca="1" si="0"/>
        <v/>
      </c>
    </row>
    <row r="50" spans="1:3">
      <c r="A50" s="335" t="str">
        <f t="shared" si="1"/>
        <v>Input Form - EingabeMaske</v>
      </c>
      <c r="B50" t="str">
        <f>pos('Input Form - EingabeMaske'!E34)</f>
        <v>$E$34</v>
      </c>
      <c r="C50" t="str">
        <f t="shared" ca="1" si="0"/>
        <v/>
      </c>
    </row>
    <row r="51" spans="1:3">
      <c r="A51" s="335" t="str">
        <f t="shared" si="1"/>
        <v>Input Form - EingabeMaske</v>
      </c>
      <c r="B51" t="str">
        <f>pos('Input Form - EingabeMaske'!F34)</f>
        <v>$F$34</v>
      </c>
      <c r="C51" t="str">
        <f t="shared" ca="1" si="0"/>
        <v/>
      </c>
    </row>
    <row r="52" spans="1:3">
      <c r="A52" s="335" t="str">
        <f t="shared" si="1"/>
        <v>Input Form - EingabeMaske</v>
      </c>
      <c r="B52" t="str">
        <f>pos('Input Form - EingabeMaske'!D36)</f>
        <v>$D$36</v>
      </c>
      <c r="C52">
        <f t="shared" ca="1" si="0"/>
        <v>1</v>
      </c>
    </row>
    <row r="53" spans="1:3">
      <c r="A53" s="335" t="str">
        <f t="shared" si="1"/>
        <v>Input Form - EingabeMaske</v>
      </c>
      <c r="B53" t="str">
        <f>pos('Input Form - EingabeMaske'!C38)</f>
        <v>$C$38</v>
      </c>
      <c r="C53" t="str">
        <f t="shared" ca="1" si="0"/>
        <v>Stage 1: Moldshop Process</v>
      </c>
    </row>
    <row r="54" spans="1:3">
      <c r="A54" s="335" t="str">
        <f t="shared" si="1"/>
        <v>Input Form - EingabeMaske</v>
      </c>
      <c r="B54" t="str">
        <f>pos('Input Form - EingabeMaske'!C39)</f>
        <v>$C$39</v>
      </c>
      <c r="C54" t="str">
        <f t="shared" ca="1" si="0"/>
        <v>Stage 2:</v>
      </c>
    </row>
    <row r="55" spans="1:3">
      <c r="A55" s="335" t="str">
        <f t="shared" si="1"/>
        <v>Input Form - EingabeMaske</v>
      </c>
      <c r="B55" t="str">
        <f>pos('Input Form - EingabeMaske'!C40)</f>
        <v>$C$40</v>
      </c>
      <c r="C55" t="str">
        <f t="shared" ca="1" si="0"/>
        <v>Stage 3</v>
      </c>
    </row>
    <row r="56" spans="1:3">
      <c r="A56" s="335" t="str">
        <f t="shared" si="1"/>
        <v>Input Form - EingabeMaske</v>
      </c>
      <c r="B56" t="str">
        <f>pos('Input Form - EingabeMaske'!D38)</f>
        <v>$D$38</v>
      </c>
      <c r="C56">
        <f t="shared" ca="1" si="0"/>
        <v>2</v>
      </c>
    </row>
    <row r="57" spans="1:3">
      <c r="A57" s="335" t="str">
        <f t="shared" si="1"/>
        <v>Input Form - EingabeMaske</v>
      </c>
      <c r="B57" t="str">
        <f>pos('Input Form - EingabeMaske'!D39)</f>
        <v>$D$39</v>
      </c>
      <c r="C57">
        <f t="shared" ca="1" si="0"/>
        <v>3</v>
      </c>
    </row>
    <row r="58" spans="1:3">
      <c r="A58" s="335" t="str">
        <f t="shared" si="1"/>
        <v>Input Form - EingabeMaske</v>
      </c>
      <c r="B58" t="str">
        <f>pos('Input Form - EingabeMaske'!D40)</f>
        <v>$D$40</v>
      </c>
      <c r="C58">
        <f t="shared" ca="1" si="0"/>
        <v>5</v>
      </c>
    </row>
    <row r="59" spans="1:3">
      <c r="A59" s="335" t="str">
        <f t="shared" si="1"/>
        <v>Input Form - EingabeMaske</v>
      </c>
      <c r="B59" t="str">
        <f>pos('Input Form - EingabeMaske'!C54)</f>
        <v>$C$54</v>
      </c>
      <c r="C59" t="str">
        <f t="shared" ca="1" si="0"/>
        <v>X</v>
      </c>
    </row>
    <row r="60" spans="1:3">
      <c r="A60" s="335" t="str">
        <f t="shared" si="1"/>
        <v>Input Form - EingabeMaske</v>
      </c>
      <c r="B60" t="str">
        <f>pos('Input Form - EingabeMaske'!C55)</f>
        <v>$C$55</v>
      </c>
      <c r="C60" t="str">
        <f t="shared" ca="1" si="0"/>
        <v>X</v>
      </c>
    </row>
    <row r="61" spans="1:3">
      <c r="A61" s="335" t="str">
        <f t="shared" si="1"/>
        <v>Input Form - EingabeMaske</v>
      </c>
      <c r="B61" t="str">
        <f>pos('Input Form - EingabeMaske'!C56)</f>
        <v>$C$56</v>
      </c>
      <c r="C61" t="str">
        <f t="shared" ca="1" si="0"/>
        <v>X</v>
      </c>
    </row>
    <row r="62" spans="1:3">
      <c r="A62" s="335" t="str">
        <f t="shared" si="1"/>
        <v>Input Form - EingabeMaske</v>
      </c>
      <c r="B62" t="str">
        <f>pos('Input Form - EingabeMaske'!C57)</f>
        <v>$C$57</v>
      </c>
      <c r="C62" t="str">
        <f t="shared" ca="1" si="0"/>
        <v>X</v>
      </c>
    </row>
    <row r="63" spans="1:3">
      <c r="A63" s="335" t="str">
        <f t="shared" si="1"/>
        <v>Input Form - EingabeMaske</v>
      </c>
      <c r="B63" t="str">
        <f>pos('Input Form - EingabeMaske'!D54)</f>
        <v>$D$54</v>
      </c>
      <c r="C63" t="str">
        <f t="shared" ca="1" si="0"/>
        <v/>
      </c>
    </row>
    <row r="64" spans="1:3">
      <c r="A64" s="335" t="str">
        <f t="shared" si="1"/>
        <v>Input Form - EingabeMaske</v>
      </c>
      <c r="B64" t="str">
        <f>pos('Input Form - EingabeMaske'!D55)</f>
        <v>$D$55</v>
      </c>
      <c r="C64" t="str">
        <f t="shared" ca="1" si="0"/>
        <v/>
      </c>
    </row>
    <row r="65" spans="1:3">
      <c r="A65" s="335" t="str">
        <f t="shared" si="1"/>
        <v>Input Form - EingabeMaske</v>
      </c>
      <c r="B65" t="str">
        <f>pos('Input Form - EingabeMaske'!D56)</f>
        <v>$D$56</v>
      </c>
      <c r="C65" t="str">
        <f t="shared" ca="1" si="0"/>
        <v/>
      </c>
    </row>
    <row r="66" spans="1:3">
      <c r="A66" s="335" t="str">
        <f t="shared" si="1"/>
        <v>Input Form - EingabeMaske</v>
      </c>
      <c r="B66" t="str">
        <f>pos('Input Form - EingabeMaske'!D57)</f>
        <v>$D$57</v>
      </c>
      <c r="C66" t="str">
        <f t="shared" ca="1" si="0"/>
        <v/>
      </c>
    </row>
    <row r="67" spans="1:3">
      <c r="A67" s="335" t="str">
        <f t="shared" si="1"/>
        <v>Input Form - EingabeMaske</v>
      </c>
      <c r="B67" t="str">
        <f>pos('Input Form - EingabeMaske'!E54)</f>
        <v>$E$54</v>
      </c>
      <c r="C67" t="str">
        <f t="shared" ca="1" si="0"/>
        <v/>
      </c>
    </row>
    <row r="68" spans="1:3">
      <c r="A68" s="335" t="str">
        <f t="shared" ref="A68:A114" si="2">$A$2</f>
        <v>Input Form - EingabeMaske</v>
      </c>
      <c r="B68" t="str">
        <f>pos('Input Form - EingabeMaske'!E55)</f>
        <v>$E$55</v>
      </c>
      <c r="C68" t="str">
        <f t="shared" ref="C68:C131" ca="1" si="3">IF(INDIRECT("'"&amp;A68&amp;"'!"&amp;B68)=0,"",INDIRECT("'"&amp;A68&amp;"'!"&amp;B68))</f>
        <v/>
      </c>
    </row>
    <row r="69" spans="1:3">
      <c r="A69" s="335" t="str">
        <f t="shared" si="2"/>
        <v>Input Form - EingabeMaske</v>
      </c>
      <c r="B69" t="str">
        <f>pos('Input Form - EingabeMaske'!E56)</f>
        <v>$E$56</v>
      </c>
      <c r="C69" t="str">
        <f t="shared" ca="1" si="3"/>
        <v/>
      </c>
    </row>
    <row r="70" spans="1:3">
      <c r="A70" s="335" t="str">
        <f t="shared" si="2"/>
        <v>Input Form - EingabeMaske</v>
      </c>
      <c r="B70" t="str">
        <f>pos('Input Form - EingabeMaske'!E57)</f>
        <v>$E$57</v>
      </c>
      <c r="C70" t="str">
        <f t="shared" ca="1" si="3"/>
        <v/>
      </c>
    </row>
    <row r="71" spans="1:3">
      <c r="A71" s="335" t="str">
        <f t="shared" si="2"/>
        <v>Input Form - EingabeMaske</v>
      </c>
      <c r="B71" t="str">
        <f>pos('Input Form - EingabeMaske'!F54)</f>
        <v>$F$54</v>
      </c>
      <c r="C71" t="str">
        <f t="shared" ca="1" si="3"/>
        <v/>
      </c>
    </row>
    <row r="72" spans="1:3">
      <c r="A72" s="335" t="str">
        <f t="shared" si="2"/>
        <v>Input Form - EingabeMaske</v>
      </c>
      <c r="B72" t="str">
        <f>pos('Input Form - EingabeMaske'!F55)</f>
        <v>$F$55</v>
      </c>
      <c r="C72" t="str">
        <f t="shared" ca="1" si="3"/>
        <v/>
      </c>
    </row>
    <row r="73" spans="1:3">
      <c r="A73" s="335" t="str">
        <f t="shared" si="2"/>
        <v>Input Form - EingabeMaske</v>
      </c>
      <c r="B73" t="str">
        <f>pos('Input Form - EingabeMaske'!F56)</f>
        <v>$F$56</v>
      </c>
      <c r="C73" t="str">
        <f t="shared" ca="1" si="3"/>
        <v/>
      </c>
    </row>
    <row r="74" spans="1:3">
      <c r="A74" s="335" t="str">
        <f t="shared" si="2"/>
        <v>Input Form - EingabeMaske</v>
      </c>
      <c r="B74" t="str">
        <f>pos('Input Form - EingabeMaske'!F57)</f>
        <v>$F$57</v>
      </c>
      <c r="C74" t="str">
        <f t="shared" ca="1" si="3"/>
        <v/>
      </c>
    </row>
    <row r="75" spans="1:3">
      <c r="A75" s="335" t="str">
        <f t="shared" si="2"/>
        <v>Input Form - EingabeMaske</v>
      </c>
      <c r="B75" t="str">
        <f>pos('Input Form - EingabeMaske'!C66)</f>
        <v>$C$66</v>
      </c>
      <c r="C75" t="str">
        <f t="shared" ca="1" si="3"/>
        <v/>
      </c>
    </row>
    <row r="76" spans="1:3">
      <c r="A76" s="335" t="str">
        <f t="shared" si="2"/>
        <v>Input Form - EingabeMaske</v>
      </c>
      <c r="B76" t="str">
        <f>pos('Input Form - EingabeMaske'!C67)</f>
        <v>$C$67</v>
      </c>
      <c r="C76" t="str">
        <f t="shared" ca="1" si="3"/>
        <v/>
      </c>
    </row>
    <row r="77" spans="1:3">
      <c r="A77" s="335" t="str">
        <f t="shared" si="2"/>
        <v>Input Form - EingabeMaske</v>
      </c>
      <c r="B77" t="str">
        <f>pos('Input Form - EingabeMaske'!C68)</f>
        <v>$C$68</v>
      </c>
      <c r="C77" t="str">
        <f t="shared" ca="1" si="3"/>
        <v/>
      </c>
    </row>
    <row r="78" spans="1:3">
      <c r="A78" s="335" t="str">
        <f t="shared" si="2"/>
        <v>Input Form - EingabeMaske</v>
      </c>
      <c r="B78" t="str">
        <f>pos('Input Form - EingabeMaske'!C69)</f>
        <v>$C$69</v>
      </c>
      <c r="C78" t="str">
        <f t="shared" ca="1" si="3"/>
        <v/>
      </c>
    </row>
    <row r="79" spans="1:3">
      <c r="A79" s="335" t="str">
        <f t="shared" si="2"/>
        <v>Input Form - EingabeMaske</v>
      </c>
      <c r="B79" t="str">
        <f>pos('Input Form - EingabeMaske'!C70)</f>
        <v>$C$70</v>
      </c>
      <c r="C79" t="str">
        <f t="shared" ca="1" si="3"/>
        <v/>
      </c>
    </row>
    <row r="80" spans="1:3">
      <c r="A80" s="335" t="str">
        <f t="shared" si="2"/>
        <v>Input Form - EingabeMaske</v>
      </c>
      <c r="B80" t="str">
        <f>pos('Input Form - EingabeMaske'!C71)</f>
        <v>$C$71</v>
      </c>
      <c r="C80" t="str">
        <f t="shared" ca="1" si="3"/>
        <v/>
      </c>
    </row>
    <row r="81" spans="1:3">
      <c r="A81" s="335" t="str">
        <f t="shared" si="2"/>
        <v>Input Form - EingabeMaske</v>
      </c>
      <c r="B81" t="str">
        <f>pos('Input Form - EingabeMaske'!C72)</f>
        <v>$C$72</v>
      </c>
      <c r="C81" t="str">
        <f t="shared" ca="1" si="3"/>
        <v/>
      </c>
    </row>
    <row r="82" spans="1:3">
      <c r="A82" s="335" t="str">
        <f t="shared" si="2"/>
        <v>Input Form - EingabeMaske</v>
      </c>
      <c r="B82" t="str">
        <f>pos('Input Form - EingabeMaske'!D67)</f>
        <v>$D$67</v>
      </c>
      <c r="C82" t="str">
        <f t="shared" ca="1" si="3"/>
        <v/>
      </c>
    </row>
    <row r="83" spans="1:3">
      <c r="A83" s="335" t="str">
        <f t="shared" si="2"/>
        <v>Input Form - EingabeMaske</v>
      </c>
      <c r="B83" t="str">
        <f>pos('Input Form - EingabeMaske'!D68)</f>
        <v>$D$68</v>
      </c>
      <c r="C83" t="str">
        <f t="shared" ca="1" si="3"/>
        <v/>
      </c>
    </row>
    <row r="84" spans="1:3">
      <c r="A84" s="335" t="str">
        <f t="shared" si="2"/>
        <v>Input Form - EingabeMaske</v>
      </c>
      <c r="B84" t="str">
        <f>pos('Input Form - EingabeMaske'!D69)</f>
        <v>$D$69</v>
      </c>
      <c r="C84" t="str">
        <f t="shared" ca="1" si="3"/>
        <v/>
      </c>
    </row>
    <row r="85" spans="1:3">
      <c r="A85" s="335" t="str">
        <f t="shared" si="2"/>
        <v>Input Form - EingabeMaske</v>
      </c>
      <c r="B85" t="str">
        <f>pos('Input Form - EingabeMaske'!D70)</f>
        <v>$D$70</v>
      </c>
      <c r="C85" t="str">
        <f t="shared" ca="1" si="3"/>
        <v/>
      </c>
    </row>
    <row r="86" spans="1:3">
      <c r="A86" s="335" t="str">
        <f t="shared" si="2"/>
        <v>Input Form - EingabeMaske</v>
      </c>
      <c r="B86" t="str">
        <f>pos('Input Form - EingabeMaske'!D71)</f>
        <v>$D$71</v>
      </c>
      <c r="C86" t="str">
        <f t="shared" ca="1" si="3"/>
        <v/>
      </c>
    </row>
    <row r="87" spans="1:3">
      <c r="A87" s="335" t="str">
        <f t="shared" si="2"/>
        <v>Input Form - EingabeMaske</v>
      </c>
      <c r="B87" t="str">
        <f>pos('Input Form - EingabeMaske'!D72)</f>
        <v>$D$72</v>
      </c>
      <c r="C87" t="str">
        <f t="shared" ca="1" si="3"/>
        <v/>
      </c>
    </row>
    <row r="88" spans="1:3">
      <c r="A88" s="335" t="str">
        <f t="shared" si="2"/>
        <v>Input Form - EingabeMaske</v>
      </c>
      <c r="B88" t="str">
        <f>pos('Input Form - EingabeMaske'!C74)</f>
        <v>$C$74</v>
      </c>
      <c r="C88" t="str">
        <f t="shared" ca="1" si="3"/>
        <v/>
      </c>
    </row>
    <row r="89" spans="1:3">
      <c r="A89" s="335" t="str">
        <f t="shared" si="2"/>
        <v>Input Form - EingabeMaske</v>
      </c>
      <c r="B89" t="str">
        <f>pos('Input Form - EingabeMaske'!C75)</f>
        <v>$C$75</v>
      </c>
      <c r="C89" t="str">
        <f t="shared" ca="1" si="3"/>
        <v/>
      </c>
    </row>
    <row r="90" spans="1:3">
      <c r="A90" s="335" t="str">
        <f t="shared" si="2"/>
        <v>Input Form - EingabeMaske</v>
      </c>
      <c r="B90" t="str">
        <f>pos('Input Form - EingabeMaske'!C76)</f>
        <v>$C$76</v>
      </c>
      <c r="C90" t="str">
        <f t="shared" ca="1" si="3"/>
        <v/>
      </c>
    </row>
    <row r="91" spans="1:3">
      <c r="A91" s="335" t="str">
        <f t="shared" si="2"/>
        <v>Input Form - EingabeMaske</v>
      </c>
      <c r="B91" t="str">
        <f>pos('Input Form - EingabeMaske'!C77)</f>
        <v>$C$77</v>
      </c>
      <c r="C91" t="str">
        <f t="shared" ca="1" si="3"/>
        <v/>
      </c>
    </row>
    <row r="92" spans="1:3">
      <c r="A92" s="335" t="str">
        <f t="shared" si="2"/>
        <v>Input Form - EingabeMaske</v>
      </c>
      <c r="B92" t="str">
        <f>pos('Input Form - EingabeMaske'!C78)</f>
        <v>$C$78</v>
      </c>
      <c r="C92" t="str">
        <f t="shared" ca="1" si="3"/>
        <v/>
      </c>
    </row>
    <row r="93" spans="1:3">
      <c r="A93" s="335" t="str">
        <f t="shared" si="2"/>
        <v>Input Form - EingabeMaske</v>
      </c>
      <c r="B93" t="str">
        <f>pos('Input Form - EingabeMaske'!C79)</f>
        <v>$C$79</v>
      </c>
      <c r="C93" t="str">
        <f t="shared" ca="1" si="3"/>
        <v/>
      </c>
    </row>
    <row r="94" spans="1:3">
      <c r="A94" s="335" t="str">
        <f t="shared" si="2"/>
        <v>Input Form - EingabeMaske</v>
      </c>
      <c r="B94" t="str">
        <f>pos('Input Form - EingabeMaske'!C80)</f>
        <v>$C$80</v>
      </c>
      <c r="C94" t="str">
        <f t="shared" ca="1" si="3"/>
        <v/>
      </c>
    </row>
    <row r="95" spans="1:3">
      <c r="A95" s="335" t="str">
        <f t="shared" si="2"/>
        <v>Input Form - EingabeMaske</v>
      </c>
      <c r="B95" t="str">
        <f>pos('Input Form - EingabeMaske'!D74)</f>
        <v>$D$74</v>
      </c>
      <c r="C95" t="str">
        <f t="shared" ca="1" si="3"/>
        <v/>
      </c>
    </row>
    <row r="96" spans="1:3">
      <c r="A96" s="335" t="str">
        <f t="shared" si="2"/>
        <v>Input Form - EingabeMaske</v>
      </c>
      <c r="B96" t="str">
        <f>pos('Input Form - EingabeMaske'!D75)</f>
        <v>$D$75</v>
      </c>
      <c r="C96" t="str">
        <f t="shared" ca="1" si="3"/>
        <v/>
      </c>
    </row>
    <row r="97" spans="1:3">
      <c r="A97" s="335" t="str">
        <f t="shared" si="2"/>
        <v>Input Form - EingabeMaske</v>
      </c>
      <c r="B97" t="str">
        <f>pos('Input Form - EingabeMaske'!D76)</f>
        <v>$D$76</v>
      </c>
      <c r="C97" t="str">
        <f t="shared" ca="1" si="3"/>
        <v/>
      </c>
    </row>
    <row r="98" spans="1:3">
      <c r="A98" s="335" t="str">
        <f t="shared" si="2"/>
        <v>Input Form - EingabeMaske</v>
      </c>
      <c r="B98" t="str">
        <f>pos('Input Form - EingabeMaske'!D77)</f>
        <v>$D$77</v>
      </c>
      <c r="C98" t="str">
        <f t="shared" ca="1" si="3"/>
        <v/>
      </c>
    </row>
    <row r="99" spans="1:3">
      <c r="A99" s="335" t="str">
        <f t="shared" si="2"/>
        <v>Input Form - EingabeMaske</v>
      </c>
      <c r="B99" t="str">
        <f>pos('Input Form - EingabeMaske'!D78)</f>
        <v>$D$78</v>
      </c>
      <c r="C99" t="str">
        <f t="shared" ca="1" si="3"/>
        <v/>
      </c>
    </row>
    <row r="100" spans="1:3">
      <c r="A100" s="335" t="str">
        <f t="shared" si="2"/>
        <v>Input Form - EingabeMaske</v>
      </c>
      <c r="B100" t="str">
        <f>pos('Input Form - EingabeMaske'!D79)</f>
        <v>$D$79</v>
      </c>
      <c r="C100" t="str">
        <f t="shared" ca="1" si="3"/>
        <v/>
      </c>
    </row>
    <row r="101" spans="1:3">
      <c r="A101" s="335" t="str">
        <f t="shared" si="2"/>
        <v>Input Form - EingabeMaske</v>
      </c>
      <c r="B101" t="str">
        <f>pos('Input Form - EingabeMaske'!D80)</f>
        <v>$D$80</v>
      </c>
      <c r="C101" t="str">
        <f t="shared" ca="1" si="3"/>
        <v/>
      </c>
    </row>
    <row r="102" spans="1:3">
      <c r="A102" s="335" t="str">
        <f t="shared" si="2"/>
        <v>Input Form - EingabeMaske</v>
      </c>
      <c r="B102" t="str">
        <f>pos('Input Form - EingabeMaske'!F66)</f>
        <v>$F$66</v>
      </c>
      <c r="C102" t="str">
        <f t="shared" ca="1" si="3"/>
        <v/>
      </c>
    </row>
    <row r="103" spans="1:3">
      <c r="A103" s="335" t="str">
        <f t="shared" si="2"/>
        <v>Input Form - EingabeMaske</v>
      </c>
      <c r="B103" t="str">
        <f>pos('Input Form - EingabeMaske'!F67)</f>
        <v>$F$67</v>
      </c>
      <c r="C103" t="str">
        <f t="shared" ca="1" si="3"/>
        <v/>
      </c>
    </row>
    <row r="104" spans="1:3">
      <c r="A104" s="335" t="str">
        <f t="shared" si="2"/>
        <v>Input Form - EingabeMaske</v>
      </c>
      <c r="B104" t="str">
        <f>pos('Input Form - EingabeMaske'!F68)</f>
        <v>$F$68</v>
      </c>
      <c r="C104" t="str">
        <f t="shared" ca="1" si="3"/>
        <v/>
      </c>
    </row>
    <row r="105" spans="1:3">
      <c r="A105" s="335" t="str">
        <f t="shared" si="2"/>
        <v>Input Form - EingabeMaske</v>
      </c>
      <c r="B105" t="str">
        <f>pos('Input Form - EingabeMaske'!G66)</f>
        <v>$G$66</v>
      </c>
      <c r="C105" t="str">
        <f t="shared" ca="1" si="3"/>
        <v/>
      </c>
    </row>
    <row r="106" spans="1:3">
      <c r="A106" s="335" t="str">
        <f t="shared" si="2"/>
        <v>Input Form - EingabeMaske</v>
      </c>
      <c r="B106" t="str">
        <f>pos('Input Form - EingabeMaske'!G67)</f>
        <v>$G$67</v>
      </c>
      <c r="C106" t="str">
        <f t="shared" ca="1" si="3"/>
        <v/>
      </c>
    </row>
    <row r="107" spans="1:3">
      <c r="A107" s="335" t="str">
        <f t="shared" si="2"/>
        <v>Input Form - EingabeMaske</v>
      </c>
      <c r="B107" t="str">
        <f>pos('Input Form - EingabeMaske'!G68)</f>
        <v>$G$68</v>
      </c>
      <c r="C107" t="str">
        <f t="shared" ca="1" si="3"/>
        <v/>
      </c>
    </row>
    <row r="108" spans="1:3">
      <c r="A108" s="335" t="str">
        <f t="shared" si="2"/>
        <v>Input Form - EingabeMaske</v>
      </c>
      <c r="B108" t="str">
        <f>pos('Input Form - EingabeMaske'!F74)</f>
        <v>$F$74</v>
      </c>
      <c r="C108" t="str">
        <f t="shared" ca="1" si="3"/>
        <v/>
      </c>
    </row>
    <row r="109" spans="1:3">
      <c r="A109" s="335" t="str">
        <f t="shared" si="2"/>
        <v>Input Form - EingabeMaske</v>
      </c>
      <c r="B109" t="str">
        <f>pos('Input Form - EingabeMaske'!F75)</f>
        <v>$F$75</v>
      </c>
      <c r="C109" t="str">
        <f t="shared" ca="1" si="3"/>
        <v/>
      </c>
    </row>
    <row r="110" spans="1:3">
      <c r="A110" s="335" t="str">
        <f t="shared" si="2"/>
        <v>Input Form - EingabeMaske</v>
      </c>
      <c r="B110" t="str">
        <f>pos('Input Form - EingabeMaske'!F76)</f>
        <v>$F$76</v>
      </c>
      <c r="C110" t="str">
        <f t="shared" ca="1" si="3"/>
        <v/>
      </c>
    </row>
    <row r="111" spans="1:3">
      <c r="A111" s="335" t="str">
        <f t="shared" si="2"/>
        <v>Input Form - EingabeMaske</v>
      </c>
      <c r="B111" t="str">
        <f>pos('Input Form - EingabeMaske'!G74)</f>
        <v>$G$74</v>
      </c>
      <c r="C111" t="str">
        <f t="shared" ca="1" si="3"/>
        <v/>
      </c>
    </row>
    <row r="112" spans="1:3">
      <c r="A112" s="335" t="str">
        <f t="shared" si="2"/>
        <v>Input Form - EingabeMaske</v>
      </c>
      <c r="B112" t="str">
        <f>pos('Input Form - EingabeMaske'!G75)</f>
        <v>$G$75</v>
      </c>
      <c r="C112" t="str">
        <f t="shared" ca="1" si="3"/>
        <v/>
      </c>
    </row>
    <row r="113" spans="1:3">
      <c r="A113" s="335" t="str">
        <f t="shared" si="2"/>
        <v>Input Form - EingabeMaske</v>
      </c>
      <c r="B113" t="str">
        <f>pos('Input Form - EingabeMaske'!G76)</f>
        <v>$G$76</v>
      </c>
      <c r="C113" t="str">
        <f t="shared" ca="1" si="3"/>
        <v/>
      </c>
    </row>
    <row r="114" spans="1:3">
      <c r="A114" s="335" t="str">
        <f t="shared" si="2"/>
        <v>Input Form - EingabeMaske</v>
      </c>
      <c r="B114" t="str">
        <f>pos('Input Form - EingabeMaske'!I14)</f>
        <v>$I$14</v>
      </c>
      <c r="C114" t="str">
        <f t="shared" ca="1" si="3"/>
        <v/>
      </c>
    </row>
    <row r="115" spans="1:3">
      <c r="A115" s="335" t="s">
        <v>495</v>
      </c>
      <c r="B115" t="str">
        <f>pos('Questions - Fragen'!D13)</f>
        <v>$D$13</v>
      </c>
      <c r="C115" t="str">
        <f t="shared" ca="1" si="3"/>
        <v>н.о.</v>
      </c>
    </row>
    <row r="116" spans="1:3">
      <c r="A116" s="335" t="str">
        <f>$A$115</f>
        <v>Questions - Fragen</v>
      </c>
      <c r="B116" t="str">
        <f>pos('Questions - Fragen'!D14)</f>
        <v>$D$14</v>
      </c>
      <c r="C116" t="str">
        <f t="shared" ca="1" si="3"/>
        <v>н.о.</v>
      </c>
    </row>
    <row r="117" spans="1:3">
      <c r="A117" s="335" t="str">
        <f t="shared" ref="A117:A180" si="4">$A$115</f>
        <v>Questions - Fragen</v>
      </c>
      <c r="B117" t="str">
        <f>pos('Questions - Fragen'!D15)</f>
        <v>$D$15</v>
      </c>
      <c r="C117" t="str">
        <f t="shared" ca="1" si="3"/>
        <v>н.о.</v>
      </c>
    </row>
    <row r="118" spans="1:3">
      <c r="A118" s="335" t="str">
        <f t="shared" si="4"/>
        <v>Questions - Fragen</v>
      </c>
      <c r="B118" t="str">
        <f>pos('Questions - Fragen'!D16)</f>
        <v>$D$16</v>
      </c>
      <c r="C118" t="str">
        <f t="shared" ca="1" si="3"/>
        <v>н.о.</v>
      </c>
    </row>
    <row r="119" spans="1:3">
      <c r="A119" s="335" t="str">
        <f t="shared" si="4"/>
        <v>Questions - Fragen</v>
      </c>
      <c r="B119" t="str">
        <f>pos('Questions - Fragen'!D17)</f>
        <v>$D$17</v>
      </c>
      <c r="C119" t="str">
        <f t="shared" ca="1" si="3"/>
        <v>н.о.</v>
      </c>
    </row>
    <row r="120" spans="1:3">
      <c r="A120" s="335" t="str">
        <f t="shared" si="4"/>
        <v>Questions - Fragen</v>
      </c>
      <c r="B120" t="str">
        <f>pos('Questions - Fragen'!D18)</f>
        <v>$D$18</v>
      </c>
      <c r="C120" t="str">
        <f t="shared" ca="1" si="3"/>
        <v>н.о.</v>
      </c>
    </row>
    <row r="121" spans="1:3">
      <c r="A121" s="335" t="str">
        <f t="shared" si="4"/>
        <v>Questions - Fragen</v>
      </c>
      <c r="B121" t="str">
        <f>pos('Questions - Fragen'!D19)</f>
        <v>$D$19</v>
      </c>
      <c r="C121" t="str">
        <f t="shared" ca="1" si="3"/>
        <v>н.о.</v>
      </c>
    </row>
    <row r="122" spans="1:3">
      <c r="A122" s="335" t="str">
        <f t="shared" si="4"/>
        <v>Questions - Fragen</v>
      </c>
      <c r="B122" t="str">
        <f>pos('Questions - Fragen'!D23)</f>
        <v>$D$23</v>
      </c>
      <c r="C122" t="str">
        <f t="shared" ca="1" si="3"/>
        <v>н.о.</v>
      </c>
    </row>
    <row r="123" spans="1:3">
      <c r="A123" s="335" t="str">
        <f t="shared" si="4"/>
        <v>Questions - Fragen</v>
      </c>
      <c r="B123" t="str">
        <f>pos('Questions - Fragen'!D24)</f>
        <v>$D$24</v>
      </c>
      <c r="C123" t="str">
        <f t="shared" ca="1" si="3"/>
        <v>н.о.</v>
      </c>
    </row>
    <row r="124" spans="1:3">
      <c r="A124" s="335" t="str">
        <f t="shared" si="4"/>
        <v>Questions - Fragen</v>
      </c>
      <c r="B124" t="str">
        <f>pos('Questions - Fragen'!D26)</f>
        <v>$D$26</v>
      </c>
      <c r="C124" t="str">
        <f t="shared" ca="1" si="3"/>
        <v>н.о.</v>
      </c>
    </row>
    <row r="125" spans="1:3">
      <c r="A125" s="335" t="str">
        <f t="shared" si="4"/>
        <v>Questions - Fragen</v>
      </c>
      <c r="B125" t="str">
        <f>pos('Questions - Fragen'!D27)</f>
        <v>$D$27</v>
      </c>
      <c r="C125" t="str">
        <f t="shared" ca="1" si="3"/>
        <v>н.о.</v>
      </c>
    </row>
    <row r="126" spans="1:3">
      <c r="A126" s="335" t="str">
        <f t="shared" si="4"/>
        <v>Questions - Fragen</v>
      </c>
      <c r="B126" t="str">
        <f>pos('Questions - Fragen'!D29)</f>
        <v>$D$29</v>
      </c>
      <c r="C126" t="str">
        <f t="shared" ca="1" si="3"/>
        <v>н.о.</v>
      </c>
    </row>
    <row r="127" spans="1:3">
      <c r="A127" s="335" t="str">
        <f t="shared" si="4"/>
        <v>Questions - Fragen</v>
      </c>
      <c r="B127" t="str">
        <f>pos('Questions - Fragen'!D30)</f>
        <v>$D$30</v>
      </c>
      <c r="C127" t="str">
        <f t="shared" ca="1" si="3"/>
        <v>н.о.</v>
      </c>
    </row>
    <row r="128" spans="1:3">
      <c r="A128" s="335" t="str">
        <f t="shared" si="4"/>
        <v>Questions - Fragen</v>
      </c>
      <c r="B128" t="str">
        <f>pos('Questions - Fragen'!D32)</f>
        <v>$D$32</v>
      </c>
      <c r="C128" t="str">
        <f t="shared" ca="1" si="3"/>
        <v>н.о.</v>
      </c>
    </row>
    <row r="129" spans="1:3">
      <c r="A129" s="335" t="str">
        <f t="shared" si="4"/>
        <v>Questions - Fragen</v>
      </c>
      <c r="B129" t="str">
        <f>pos('Questions - Fragen'!D33)</f>
        <v>$D$33</v>
      </c>
      <c r="C129" t="str">
        <f t="shared" ca="1" si="3"/>
        <v>н.о.</v>
      </c>
    </row>
    <row r="130" spans="1:3">
      <c r="A130" s="335" t="str">
        <f t="shared" si="4"/>
        <v>Questions - Fragen</v>
      </c>
      <c r="B130" t="str">
        <f>pos('Questions - Fragen'!D35)</f>
        <v>$D$35</v>
      </c>
      <c r="C130" t="str">
        <f t="shared" ca="1" si="3"/>
        <v>н.о.</v>
      </c>
    </row>
    <row r="131" spans="1:3">
      <c r="A131" s="335" t="str">
        <f t="shared" si="4"/>
        <v>Questions - Fragen</v>
      </c>
      <c r="B131" t="str">
        <f>pos('Questions - Fragen'!D36)</f>
        <v>$D$36</v>
      </c>
      <c r="C131" t="str">
        <f t="shared" ca="1" si="3"/>
        <v>н.о.</v>
      </c>
    </row>
    <row r="132" spans="1:3">
      <c r="A132" s="335" t="str">
        <f t="shared" si="4"/>
        <v>Questions - Fragen</v>
      </c>
      <c r="B132" t="str">
        <f>pos('Questions - Fragen'!D40)</f>
        <v>$D$40</v>
      </c>
      <c r="C132" t="str">
        <f t="shared" ref="C132:C197" ca="1" si="5">IF(INDIRECT("'"&amp;A132&amp;"'!"&amp;B132)=0,"",INDIRECT("'"&amp;A132&amp;"'!"&amp;B132))</f>
        <v>н.о.</v>
      </c>
    </row>
    <row r="133" spans="1:3">
      <c r="A133" s="335" t="str">
        <f t="shared" si="4"/>
        <v>Questions - Fragen</v>
      </c>
      <c r="B133" t="str">
        <f>pos('Questions - Fragen'!D41)</f>
        <v>$D$41</v>
      </c>
      <c r="C133" t="str">
        <f t="shared" ca="1" si="5"/>
        <v>н.о.</v>
      </c>
    </row>
    <row r="134" spans="1:3">
      <c r="A134" s="335" t="str">
        <f t="shared" si="4"/>
        <v>Questions - Fragen</v>
      </c>
      <c r="B134" t="str">
        <f>pos('Questions - Fragen'!D43)</f>
        <v>$D$43</v>
      </c>
      <c r="C134" t="str">
        <f t="shared" ca="1" si="5"/>
        <v>н.о.</v>
      </c>
    </row>
    <row r="135" spans="1:3">
      <c r="A135" s="335" t="str">
        <f t="shared" si="4"/>
        <v>Questions - Fragen</v>
      </c>
      <c r="B135" t="str">
        <f>pos('Questions - Fragen'!D44)</f>
        <v>$D$44</v>
      </c>
      <c r="C135" t="str">
        <f t="shared" ca="1" si="5"/>
        <v>н.о.</v>
      </c>
    </row>
    <row r="136" spans="1:3">
      <c r="A136" s="335" t="str">
        <f t="shared" si="4"/>
        <v>Questions - Fragen</v>
      </c>
      <c r="B136" t="str">
        <f>pos('Questions - Fragen'!D46)</f>
        <v>$D$46</v>
      </c>
      <c r="C136" t="str">
        <f t="shared" ca="1" si="5"/>
        <v>н.о.</v>
      </c>
    </row>
    <row r="137" spans="1:3">
      <c r="A137" s="335" t="str">
        <f t="shared" si="4"/>
        <v>Questions - Fragen</v>
      </c>
      <c r="B137" t="str">
        <f>pos('Questions - Fragen'!D47)</f>
        <v>$D$47</v>
      </c>
      <c r="C137" t="str">
        <f t="shared" ca="1" si="5"/>
        <v>н.о.</v>
      </c>
    </row>
    <row r="138" spans="1:3">
      <c r="A138" s="335" t="str">
        <f t="shared" si="4"/>
        <v>Questions - Fragen</v>
      </c>
      <c r="B138" t="str">
        <f>pos('Questions - Fragen'!D49)</f>
        <v>$D$49</v>
      </c>
      <c r="C138" t="str">
        <f t="shared" ca="1" si="5"/>
        <v>н.о.</v>
      </c>
    </row>
    <row r="139" spans="1:3">
      <c r="A139" s="335" t="str">
        <f t="shared" si="4"/>
        <v>Questions - Fragen</v>
      </c>
      <c r="B139" t="str">
        <f>pos('Questions - Fragen'!D50)</f>
        <v>$D$50</v>
      </c>
      <c r="C139" t="str">
        <f t="shared" ca="1" si="5"/>
        <v>н.о.</v>
      </c>
    </row>
    <row r="140" spans="1:3">
      <c r="A140" s="335" t="str">
        <f t="shared" si="4"/>
        <v>Questions - Fragen</v>
      </c>
      <c r="B140" t="str">
        <f>pos('Questions - Fragen'!D52)</f>
        <v>$D$52</v>
      </c>
      <c r="C140" t="str">
        <f t="shared" ca="1" si="5"/>
        <v>н.о.</v>
      </c>
    </row>
    <row r="141" spans="1:3">
      <c r="A141" s="335" t="str">
        <f t="shared" si="4"/>
        <v>Questions - Fragen</v>
      </c>
      <c r="B141" t="str">
        <f>pos('Questions - Fragen'!D53)</f>
        <v>$D$53</v>
      </c>
      <c r="C141" t="str">
        <f t="shared" ca="1" si="5"/>
        <v>н.о.</v>
      </c>
    </row>
    <row r="142" spans="1:3">
      <c r="A142" s="335" t="str">
        <f t="shared" si="4"/>
        <v>Questions - Fragen</v>
      </c>
      <c r="B142" t="str">
        <f>pos('Questions - Fragen'!D55)</f>
        <v>$D$55</v>
      </c>
      <c r="C142" t="str">
        <f t="shared" ca="1" si="5"/>
        <v>н.о.</v>
      </c>
    </row>
    <row r="143" spans="1:3">
      <c r="A143" s="335" t="str">
        <f t="shared" si="4"/>
        <v>Questions - Fragen</v>
      </c>
      <c r="B143" t="str">
        <f>pos('Questions - Fragen'!D57)</f>
        <v>$D$57</v>
      </c>
      <c r="C143" t="str">
        <f t="shared" ca="1" si="5"/>
        <v>н.о.</v>
      </c>
    </row>
    <row r="144" spans="1:3">
      <c r="A144" s="335" t="str">
        <f t="shared" si="4"/>
        <v>Questions - Fragen</v>
      </c>
      <c r="B144" t="str">
        <f>pos('Questions - Fragen'!D59)</f>
        <v>$D$59</v>
      </c>
      <c r="C144" t="str">
        <f t="shared" ca="1" si="5"/>
        <v>н.о.</v>
      </c>
    </row>
    <row r="145" spans="1:3">
      <c r="A145" s="335" t="str">
        <f t="shared" si="4"/>
        <v>Questions - Fragen</v>
      </c>
      <c r="B145" t="str">
        <f>pos('Questions - Fragen'!D60)</f>
        <v>$D$60</v>
      </c>
      <c r="C145" t="str">
        <f t="shared" ca="1" si="5"/>
        <v>н.о.</v>
      </c>
    </row>
    <row r="146" spans="1:3">
      <c r="A146" s="335" t="str">
        <f t="shared" si="4"/>
        <v>Questions - Fragen</v>
      </c>
      <c r="B146" t="str">
        <f>pos('Questions - Fragen'!D62)</f>
        <v>$D$62</v>
      </c>
      <c r="C146" t="str">
        <f t="shared" ca="1" si="5"/>
        <v>н.о.</v>
      </c>
    </row>
    <row r="147" spans="1:3">
      <c r="A147" s="335" t="str">
        <f t="shared" si="4"/>
        <v>Questions - Fragen</v>
      </c>
      <c r="B147" t="str">
        <f>pos('Questions - Fragen'!D63)</f>
        <v>$D$63</v>
      </c>
      <c r="C147" t="str">
        <f t="shared" ca="1" si="5"/>
        <v>н.о.</v>
      </c>
    </row>
    <row r="148" spans="1:3">
      <c r="A148" s="335" t="str">
        <f t="shared" si="4"/>
        <v>Questions - Fragen</v>
      </c>
      <c r="B148" t="str">
        <f>pos('Questions - Fragen'!D64)</f>
        <v>$D$64</v>
      </c>
      <c r="C148" t="str">
        <f t="shared" ca="1" si="5"/>
        <v>н.о.</v>
      </c>
    </row>
    <row r="149" spans="1:3">
      <c r="A149" s="335" t="str">
        <f t="shared" si="4"/>
        <v>Questions - Fragen</v>
      </c>
      <c r="B149" t="str">
        <f>pos('Questions - Fragen'!D65)</f>
        <v>$D$65</v>
      </c>
      <c r="C149" t="str">
        <f t="shared" ca="1" si="5"/>
        <v>н.о.</v>
      </c>
    </row>
    <row r="150" spans="1:3">
      <c r="A150" s="335" t="str">
        <f t="shared" si="4"/>
        <v>Questions - Fragen</v>
      </c>
      <c r="B150" t="str">
        <f>pos('Questions - Fragen'!D66)</f>
        <v>$D$66</v>
      </c>
      <c r="C150" t="str">
        <f t="shared" ca="1" si="5"/>
        <v>н.о.</v>
      </c>
    </row>
    <row r="151" spans="1:3">
      <c r="A151" s="335" t="str">
        <f t="shared" si="4"/>
        <v>Questions - Fragen</v>
      </c>
      <c r="B151" t="str">
        <f>pos('Questions - Fragen'!D67)</f>
        <v>$D$67</v>
      </c>
      <c r="C151" t="str">
        <f t="shared" ca="1" si="5"/>
        <v>н.о.</v>
      </c>
    </row>
    <row r="152" spans="1:3">
      <c r="A152" s="335" t="str">
        <f t="shared" si="4"/>
        <v>Questions - Fragen</v>
      </c>
      <c r="B152" t="str">
        <f>pos('Questions - Fragen'!D68)</f>
        <v>$D$68</v>
      </c>
      <c r="C152" t="str">
        <f t="shared" ca="1" si="5"/>
        <v>н.о.</v>
      </c>
    </row>
    <row r="153" spans="1:3">
      <c r="A153" s="335" t="str">
        <f t="shared" si="4"/>
        <v>Questions - Fragen</v>
      </c>
      <c r="B153" t="str">
        <f>pos('Questions - Fragen'!D72)</f>
        <v>$D$72</v>
      </c>
      <c r="C153">
        <f t="shared" ca="1" si="5"/>
        <v>10</v>
      </c>
    </row>
    <row r="154" spans="1:3">
      <c r="A154" s="335" t="str">
        <f t="shared" si="4"/>
        <v>Questions - Fragen</v>
      </c>
      <c r="B154" t="str">
        <f>pos('Questions - Fragen'!D73)</f>
        <v>$D$73</v>
      </c>
      <c r="C154">
        <f t="shared" ca="1" si="5"/>
        <v>10</v>
      </c>
    </row>
    <row r="155" spans="1:3">
      <c r="A155" s="335" t="str">
        <f t="shared" si="4"/>
        <v>Questions - Fragen</v>
      </c>
      <c r="B155" t="str">
        <f>pos('Questions - Fragen'!D74)</f>
        <v>$D$74</v>
      </c>
      <c r="C155" t="str">
        <f t="shared" ca="1" si="5"/>
        <v>n.e.</v>
      </c>
    </row>
    <row r="156" spans="1:3">
      <c r="A156" s="335" t="str">
        <f t="shared" si="4"/>
        <v>Questions - Fragen</v>
      </c>
      <c r="B156" t="str">
        <f>pos('Questions - Fragen'!D83)</f>
        <v>$D$83</v>
      </c>
      <c r="C156">
        <f t="shared" ca="1" si="5"/>
        <v>10</v>
      </c>
    </row>
    <row r="157" spans="1:3">
      <c r="A157" s="335" t="str">
        <f t="shared" si="4"/>
        <v>Questions - Fragen</v>
      </c>
      <c r="B157" t="str">
        <f>pos('Questions - Fragen'!D84)</f>
        <v>$D$84</v>
      </c>
      <c r="C157">
        <f t="shared" ca="1" si="5"/>
        <v>10</v>
      </c>
    </row>
    <row r="158" spans="1:3">
      <c r="A158" s="335" t="str">
        <f t="shared" si="4"/>
        <v>Questions - Fragen</v>
      </c>
      <c r="B158" t="str">
        <f>pos('Questions - Fragen'!D85)</f>
        <v>$D$85</v>
      </c>
      <c r="C158" t="str">
        <f t="shared" ca="1" si="5"/>
        <v>n.e.</v>
      </c>
    </row>
    <row r="159" spans="1:3">
      <c r="A159" s="335" t="str">
        <f t="shared" si="4"/>
        <v>Questions - Fragen</v>
      </c>
      <c r="B159" t="str">
        <f>pos('Questions - Fragen'!D94)</f>
        <v>$D$94</v>
      </c>
      <c r="C159">
        <f t="shared" ca="1" si="5"/>
        <v>10</v>
      </c>
    </row>
    <row r="160" spans="1:3">
      <c r="A160" s="335" t="str">
        <f t="shared" si="4"/>
        <v>Questions - Fragen</v>
      </c>
      <c r="B160" t="str">
        <f>pos('Questions - Fragen'!D95)</f>
        <v>$D$95</v>
      </c>
      <c r="C160">
        <f t="shared" ca="1" si="5"/>
        <v>10</v>
      </c>
    </row>
    <row r="161" spans="1:3">
      <c r="A161" s="335" t="str">
        <f t="shared" si="4"/>
        <v>Questions - Fragen</v>
      </c>
      <c r="B161" t="str">
        <f>pos('Questions - Fragen'!D96)</f>
        <v>$D$96</v>
      </c>
      <c r="C161" t="str">
        <f t="shared" ca="1" si="5"/>
        <v>n.e.</v>
      </c>
    </row>
    <row r="162" spans="1:3">
      <c r="A162" s="335" t="str">
        <f t="shared" si="4"/>
        <v>Questions - Fragen</v>
      </c>
      <c r="B162" t="str">
        <f>pos('Questions - Fragen'!D105)</f>
        <v>$D$105</v>
      </c>
      <c r="C162">
        <f t="shared" ca="1" si="5"/>
        <v>10</v>
      </c>
    </row>
    <row r="163" spans="1:3">
      <c r="A163" s="335" t="str">
        <f t="shared" si="4"/>
        <v>Questions - Fragen</v>
      </c>
      <c r="B163" t="str">
        <f>pos('Questions - Fragen'!D106)</f>
        <v>$D$106</v>
      </c>
      <c r="C163">
        <f t="shared" ca="1" si="5"/>
        <v>10</v>
      </c>
    </row>
    <row r="164" spans="1:3">
      <c r="A164" s="335" t="str">
        <f t="shared" si="4"/>
        <v>Questions - Fragen</v>
      </c>
      <c r="B164" t="str">
        <f>pos('Questions - Fragen'!D107)</f>
        <v>$D$107</v>
      </c>
      <c r="C164" t="str">
        <f t="shared" ca="1" si="5"/>
        <v>n.e.</v>
      </c>
    </row>
    <row r="165" spans="1:3">
      <c r="A165" s="335" t="str">
        <f t="shared" si="4"/>
        <v>Questions - Fragen</v>
      </c>
      <c r="B165" t="str">
        <f>pos('Questions - Fragen'!D116)</f>
        <v>$D$116</v>
      </c>
      <c r="C165" t="str">
        <f t="shared" ca="1" si="5"/>
        <v>n.e.</v>
      </c>
    </row>
    <row r="166" spans="1:3">
      <c r="A166" s="335" t="str">
        <f t="shared" si="4"/>
        <v>Questions - Fragen</v>
      </c>
      <c r="B166" t="str">
        <f>pos('Questions - Fragen'!D117)</f>
        <v>$D$117</v>
      </c>
      <c r="C166" t="str">
        <f t="shared" ca="1" si="5"/>
        <v>n.e.</v>
      </c>
    </row>
    <row r="167" spans="1:3">
      <c r="A167" s="335" t="str">
        <f t="shared" si="4"/>
        <v>Questions - Fragen</v>
      </c>
      <c r="B167" t="str">
        <f>pos('Questions - Fragen'!D118)</f>
        <v>$D$118</v>
      </c>
      <c r="C167" t="str">
        <f t="shared" ca="1" si="5"/>
        <v>n.e.</v>
      </c>
    </row>
    <row r="168" spans="1:3">
      <c r="A168" s="335" t="str">
        <f t="shared" si="4"/>
        <v>Questions - Fragen</v>
      </c>
      <c r="B168" t="str">
        <f>pos('Questions - Fragen'!D128)</f>
        <v>$D$128</v>
      </c>
      <c r="C168" t="str">
        <f t="shared" ca="1" si="5"/>
        <v>n.e.</v>
      </c>
    </row>
    <row r="169" spans="1:3">
      <c r="A169" s="335" t="str">
        <f t="shared" si="4"/>
        <v>Questions - Fragen</v>
      </c>
      <c r="B169" t="str">
        <f>pos('Questions - Fragen'!D129)</f>
        <v>$D$129</v>
      </c>
      <c r="C169" t="str">
        <f t="shared" ca="1" si="5"/>
        <v>n.e.</v>
      </c>
    </row>
    <row r="170" spans="1:3">
      <c r="A170" s="335" t="str">
        <f t="shared" si="4"/>
        <v>Questions - Fragen</v>
      </c>
      <c r="B170" t="str">
        <f>pos('Questions - Fragen'!D130)</f>
        <v>$D$130</v>
      </c>
      <c r="C170" t="str">
        <f t="shared" ca="1" si="5"/>
        <v>n.e.</v>
      </c>
    </row>
    <row r="171" spans="1:3">
      <c r="A171" s="335" t="str">
        <f t="shared" si="4"/>
        <v>Questions - Fragen</v>
      </c>
      <c r="B171" t="str">
        <f>pos('Questions - Fragen'!D139)</f>
        <v>$D$139</v>
      </c>
      <c r="C171" t="str">
        <f t="shared" ca="1" si="5"/>
        <v>n.e.</v>
      </c>
    </row>
    <row r="172" spans="1:3">
      <c r="A172" s="335" t="str">
        <f t="shared" si="4"/>
        <v>Questions - Fragen</v>
      </c>
      <c r="B172" t="str">
        <f>pos('Questions - Fragen'!D140)</f>
        <v>$D$140</v>
      </c>
      <c r="C172" t="str">
        <f t="shared" ca="1" si="5"/>
        <v>n.e.</v>
      </c>
    </row>
    <row r="173" spans="1:3">
      <c r="A173" s="335" t="str">
        <f t="shared" si="4"/>
        <v>Questions - Fragen</v>
      </c>
      <c r="B173" t="str">
        <f>pos('Questions - Fragen'!D141)</f>
        <v>$D$141</v>
      </c>
      <c r="C173" t="str">
        <f t="shared" ca="1" si="5"/>
        <v>n.e.</v>
      </c>
    </row>
    <row r="174" spans="1:3">
      <c r="A174" s="335" t="str">
        <f t="shared" si="4"/>
        <v>Questions - Fragen</v>
      </c>
      <c r="B174" t="str">
        <f>pos('Questions - Fragen'!D150)</f>
        <v>$D$150</v>
      </c>
      <c r="C174" t="str">
        <f t="shared" ca="1" si="5"/>
        <v>n.e.</v>
      </c>
    </row>
    <row r="175" spans="1:3">
      <c r="A175" s="335" t="str">
        <f t="shared" si="4"/>
        <v>Questions - Fragen</v>
      </c>
      <c r="B175" t="str">
        <f>pos('Questions - Fragen'!D151)</f>
        <v>$D$151</v>
      </c>
      <c r="C175">
        <f t="shared" ca="1" si="5"/>
        <v>10</v>
      </c>
    </row>
    <row r="176" spans="1:3">
      <c r="A176" s="335" t="str">
        <f t="shared" si="4"/>
        <v>Questions - Fragen</v>
      </c>
      <c r="B176" t="str">
        <f>pos('Questions - Fragen'!D152)</f>
        <v>$D$152</v>
      </c>
      <c r="C176" t="str">
        <f t="shared" ca="1" si="5"/>
        <v>n.e.</v>
      </c>
    </row>
    <row r="177" spans="1:3">
      <c r="A177" s="335" t="str">
        <f t="shared" si="4"/>
        <v>Questions - Fragen</v>
      </c>
      <c r="B177" t="str">
        <f>pos('Questions - Fragen'!D161)</f>
        <v>$D$161</v>
      </c>
      <c r="C177">
        <f t="shared" ca="1" si="5"/>
        <v>10</v>
      </c>
    </row>
    <row r="178" spans="1:3">
      <c r="A178" s="335" t="str">
        <f t="shared" si="4"/>
        <v>Questions - Fragen</v>
      </c>
      <c r="B178" t="str">
        <f>pos('Questions - Fragen'!D162)</f>
        <v>$D$162</v>
      </c>
      <c r="C178">
        <f t="shared" ca="1" si="5"/>
        <v>10</v>
      </c>
    </row>
    <row r="179" spans="1:3">
      <c r="A179" s="335" t="str">
        <f t="shared" si="4"/>
        <v>Questions - Fragen</v>
      </c>
      <c r="B179" t="str">
        <f>pos('Questions - Fragen'!D163)</f>
        <v>$D$163</v>
      </c>
      <c r="C179">
        <f t="shared" ca="1" si="5"/>
        <v>10</v>
      </c>
    </row>
    <row r="180" spans="1:3">
      <c r="A180" s="335" t="str">
        <f t="shared" si="4"/>
        <v>Questions - Fragen</v>
      </c>
      <c r="B180" t="str">
        <f>pos('Questions - Fragen'!D172)</f>
        <v>$D$172</v>
      </c>
      <c r="C180">
        <f t="shared" ca="1" si="5"/>
        <v>10</v>
      </c>
    </row>
    <row r="181" spans="1:3">
      <c r="A181" s="335" t="str">
        <f t="shared" ref="A181:A244" si="6">$A$115</f>
        <v>Questions - Fragen</v>
      </c>
      <c r="B181" t="str">
        <f>pos('Questions - Fragen'!D173)</f>
        <v>$D$173</v>
      </c>
      <c r="C181">
        <f t="shared" ca="1" si="5"/>
        <v>10</v>
      </c>
    </row>
    <row r="182" spans="1:3">
      <c r="A182" s="335" t="str">
        <f t="shared" si="6"/>
        <v>Questions - Fragen</v>
      </c>
      <c r="B182" t="str">
        <f>pos('Questions - Fragen'!D174)</f>
        <v>$D$174</v>
      </c>
      <c r="C182" t="str">
        <f t="shared" ca="1" si="5"/>
        <v>n.e.</v>
      </c>
    </row>
    <row r="183" spans="1:3">
      <c r="A183" s="335" t="str">
        <f t="shared" si="6"/>
        <v>Questions - Fragen</v>
      </c>
      <c r="B183" t="str">
        <f>pos('Questions - Fragen'!D184)</f>
        <v>$D$184</v>
      </c>
      <c r="C183">
        <f t="shared" ca="1" si="5"/>
        <v>10</v>
      </c>
    </row>
    <row r="184" spans="1:3">
      <c r="A184" s="335" t="str">
        <f t="shared" si="6"/>
        <v>Questions - Fragen</v>
      </c>
      <c r="B184" t="str">
        <f>pos('Questions - Fragen'!D185)</f>
        <v>$D$185</v>
      </c>
      <c r="C184">
        <f t="shared" ca="1" si="5"/>
        <v>10</v>
      </c>
    </row>
    <row r="185" spans="1:3">
      <c r="A185" s="335" t="str">
        <f t="shared" si="6"/>
        <v>Questions - Fragen</v>
      </c>
      <c r="B185" t="str">
        <f>pos('Questions - Fragen'!D186)</f>
        <v>$D$186</v>
      </c>
      <c r="C185" t="str">
        <f t="shared" ca="1" si="5"/>
        <v>n.e.</v>
      </c>
    </row>
    <row r="186" spans="1:3">
      <c r="A186" s="335" t="str">
        <f t="shared" si="6"/>
        <v>Questions - Fragen</v>
      </c>
      <c r="B186" t="str">
        <f>pos('Questions - Fragen'!D195)</f>
        <v>$D$195</v>
      </c>
      <c r="C186">
        <f t="shared" ca="1" si="5"/>
        <v>10</v>
      </c>
    </row>
    <row r="187" spans="1:3">
      <c r="A187" s="335" t="str">
        <f t="shared" si="6"/>
        <v>Questions - Fragen</v>
      </c>
      <c r="B187" t="str">
        <f>pos('Questions - Fragen'!D196)</f>
        <v>$D$196</v>
      </c>
      <c r="C187">
        <f t="shared" ca="1" si="5"/>
        <v>10</v>
      </c>
    </row>
    <row r="188" spans="1:3">
      <c r="A188" s="335" t="str">
        <f t="shared" si="6"/>
        <v>Questions - Fragen</v>
      </c>
      <c r="B188" t="str">
        <f>pos('Questions - Fragen'!D197)</f>
        <v>$D$197</v>
      </c>
      <c r="C188">
        <f t="shared" ca="1" si="5"/>
        <v>10</v>
      </c>
    </row>
    <row r="189" spans="1:3">
      <c r="A189" s="335" t="str">
        <f t="shared" si="6"/>
        <v>Questions - Fragen</v>
      </c>
      <c r="B189" t="str">
        <f>pos('Questions - Fragen'!D206)</f>
        <v>$D$206</v>
      </c>
      <c r="C189">
        <f t="shared" ca="1" si="5"/>
        <v>10</v>
      </c>
    </row>
    <row r="190" spans="1:3">
      <c r="A190" s="335" t="str">
        <f t="shared" si="6"/>
        <v>Questions - Fragen</v>
      </c>
      <c r="B190" t="str">
        <f>pos('Questions - Fragen'!D207)</f>
        <v>$D$207</v>
      </c>
      <c r="C190">
        <f t="shared" ca="1" si="5"/>
        <v>10</v>
      </c>
    </row>
    <row r="191" spans="1:3">
      <c r="A191" s="335" t="str">
        <f t="shared" si="6"/>
        <v>Questions - Fragen</v>
      </c>
      <c r="B191" t="str">
        <f>pos('Questions - Fragen'!D208)</f>
        <v>$D$208</v>
      </c>
      <c r="C191" t="str">
        <f t="shared" ca="1" si="5"/>
        <v>n.e.</v>
      </c>
    </row>
    <row r="192" spans="1:3">
      <c r="A192" s="335" t="str">
        <f t="shared" si="6"/>
        <v>Questions - Fragen</v>
      </c>
      <c r="B192" t="str">
        <f>pos('Questions - Fragen'!D218)</f>
        <v>$D$218</v>
      </c>
      <c r="C192" t="str">
        <f t="shared" ca="1" si="5"/>
        <v>n.e.</v>
      </c>
    </row>
    <row r="193" spans="1:3">
      <c r="A193" s="335" t="str">
        <f t="shared" si="6"/>
        <v>Questions - Fragen</v>
      </c>
      <c r="B193" t="str">
        <f>pos('Questions - Fragen'!D219)</f>
        <v>$D$219</v>
      </c>
      <c r="C193">
        <f t="shared" ca="1" si="5"/>
        <v>10</v>
      </c>
    </row>
    <row r="194" spans="1:3">
      <c r="A194" s="335" t="str">
        <f t="shared" si="6"/>
        <v>Questions - Fragen</v>
      </c>
      <c r="B194" t="str">
        <f>pos('Questions - Fragen'!D220)</f>
        <v>$D$220</v>
      </c>
      <c r="C194" t="str">
        <f t="shared" ca="1" si="5"/>
        <v>n.e.</v>
      </c>
    </row>
    <row r="195" spans="1:3">
      <c r="A195" s="335" t="str">
        <f t="shared" si="6"/>
        <v>Questions - Fragen</v>
      </c>
      <c r="B195" t="str">
        <f>pos('Questions - Fragen'!D229)</f>
        <v>$D$229</v>
      </c>
      <c r="C195">
        <f t="shared" ca="1" si="5"/>
        <v>6</v>
      </c>
    </row>
    <row r="196" spans="1:3">
      <c r="A196" s="335" t="str">
        <f t="shared" si="6"/>
        <v>Questions - Fragen</v>
      </c>
      <c r="B196" t="str">
        <f>pos('Questions - Fragen'!D230)</f>
        <v>$D$230</v>
      </c>
      <c r="C196">
        <f t="shared" ca="1" si="5"/>
        <v>10</v>
      </c>
    </row>
    <row r="197" spans="1:3">
      <c r="A197" s="335" t="str">
        <f t="shared" si="6"/>
        <v>Questions - Fragen</v>
      </c>
      <c r="B197" t="str">
        <f>pos('Questions - Fragen'!D231)</f>
        <v>$D$231</v>
      </c>
      <c r="C197">
        <f t="shared" ca="1" si="5"/>
        <v>10</v>
      </c>
    </row>
    <row r="198" spans="1:3">
      <c r="A198" s="335" t="str">
        <f t="shared" si="6"/>
        <v>Questions - Fragen</v>
      </c>
      <c r="B198" t="str">
        <f>pos('Questions - Fragen'!D240)</f>
        <v>$D$240</v>
      </c>
      <c r="C198">
        <f t="shared" ref="C198:C261" ca="1" si="7">IF(INDIRECT("'"&amp;A198&amp;"'!"&amp;B198)=0,"",INDIRECT("'"&amp;A198&amp;"'!"&amp;B198))</f>
        <v>10</v>
      </c>
    </row>
    <row r="199" spans="1:3">
      <c r="A199" s="335" t="str">
        <f t="shared" si="6"/>
        <v>Questions - Fragen</v>
      </c>
      <c r="B199" t="str">
        <f>pos('Questions - Fragen'!D241)</f>
        <v>$D$241</v>
      </c>
      <c r="C199">
        <f t="shared" ca="1" si="7"/>
        <v>10</v>
      </c>
    </row>
    <row r="200" spans="1:3">
      <c r="A200" s="335" t="str">
        <f t="shared" si="6"/>
        <v>Questions - Fragen</v>
      </c>
      <c r="B200" t="str">
        <f>pos('Questions - Fragen'!D242)</f>
        <v>$D$242</v>
      </c>
      <c r="C200" t="str">
        <f t="shared" ca="1" si="7"/>
        <v>n.e.</v>
      </c>
    </row>
    <row r="201" spans="1:3">
      <c r="A201" s="335" t="str">
        <f t="shared" si="6"/>
        <v>Questions - Fragen</v>
      </c>
      <c r="B201" t="str">
        <f>pos('Questions - Fragen'!D251)</f>
        <v>$D$251</v>
      </c>
      <c r="C201">
        <f t="shared" ca="1" si="7"/>
        <v>10</v>
      </c>
    </row>
    <row r="202" spans="1:3">
      <c r="A202" s="335" t="str">
        <f t="shared" si="6"/>
        <v>Questions - Fragen</v>
      </c>
      <c r="B202" t="str">
        <f>pos('Questions - Fragen'!D252)</f>
        <v>$D$252</v>
      </c>
      <c r="C202" t="str">
        <f t="shared" ca="1" si="7"/>
        <v>n.e.</v>
      </c>
    </row>
    <row r="203" spans="1:3">
      <c r="A203" s="335" t="str">
        <f t="shared" si="6"/>
        <v>Questions - Fragen</v>
      </c>
      <c r="B203" t="str">
        <f>pos('Questions - Fragen'!D253)</f>
        <v>$D$253</v>
      </c>
      <c r="C203" t="str">
        <f t="shared" ca="1" si="7"/>
        <v>n.e.</v>
      </c>
    </row>
    <row r="204" spans="1:3">
      <c r="A204" s="335" t="str">
        <f t="shared" si="6"/>
        <v>Questions - Fragen</v>
      </c>
      <c r="B204" t="str">
        <f>pos('Questions - Fragen'!D262)</f>
        <v>$D$262</v>
      </c>
      <c r="C204">
        <f t="shared" ca="1" si="7"/>
        <v>10</v>
      </c>
    </row>
    <row r="205" spans="1:3">
      <c r="A205" s="335" t="str">
        <f t="shared" si="6"/>
        <v>Questions - Fragen</v>
      </c>
      <c r="B205" t="str">
        <f>pos('Questions - Fragen'!D263)</f>
        <v>$D$263</v>
      </c>
      <c r="C205">
        <f t="shared" ca="1" si="7"/>
        <v>10</v>
      </c>
    </row>
    <row r="206" spans="1:3">
      <c r="A206" s="335" t="str">
        <f t="shared" si="6"/>
        <v>Questions - Fragen</v>
      </c>
      <c r="B206" t="str">
        <f>pos('Questions - Fragen'!D264)</f>
        <v>$D$264</v>
      </c>
      <c r="C206" t="str">
        <f t="shared" ca="1" si="7"/>
        <v>n.e.</v>
      </c>
    </row>
    <row r="207" spans="1:3">
      <c r="A207" s="335" t="str">
        <f t="shared" si="6"/>
        <v>Questions - Fragen</v>
      </c>
      <c r="B207" t="str">
        <f>pos('Questions - Fragen'!D274)</f>
        <v>$D$274</v>
      </c>
      <c r="C207">
        <f t="shared" ca="1" si="7"/>
        <v>10</v>
      </c>
    </row>
    <row r="208" spans="1:3">
      <c r="A208" s="335" t="str">
        <f t="shared" si="6"/>
        <v>Questions - Fragen</v>
      </c>
      <c r="B208" t="str">
        <f>pos('Questions - Fragen'!D275)</f>
        <v>$D$275</v>
      </c>
      <c r="C208">
        <f t="shared" ca="1" si="7"/>
        <v>10</v>
      </c>
    </row>
    <row r="209" spans="1:3">
      <c r="A209" s="335" t="str">
        <f t="shared" si="6"/>
        <v>Questions - Fragen</v>
      </c>
      <c r="B209" t="str">
        <f>pos('Questions - Fragen'!D276)</f>
        <v>$D$276</v>
      </c>
      <c r="C209" t="str">
        <f t="shared" ca="1" si="7"/>
        <v>n.e.</v>
      </c>
    </row>
    <row r="210" spans="1:3">
      <c r="A210" s="335" t="str">
        <f t="shared" si="6"/>
        <v>Questions - Fragen</v>
      </c>
      <c r="B210" t="str">
        <f>pos('Questions - Fragen'!D285)</f>
        <v>$D$285</v>
      </c>
      <c r="C210">
        <f t="shared" ca="1" si="7"/>
        <v>10</v>
      </c>
    </row>
    <row r="211" spans="1:3">
      <c r="A211" s="335" t="str">
        <f t="shared" si="6"/>
        <v>Questions - Fragen</v>
      </c>
      <c r="B211" t="str">
        <f>pos('Questions - Fragen'!D286)</f>
        <v>$D$286</v>
      </c>
      <c r="C211">
        <f t="shared" ca="1" si="7"/>
        <v>10</v>
      </c>
    </row>
    <row r="212" spans="1:3">
      <c r="A212" s="335" t="str">
        <f t="shared" si="6"/>
        <v>Questions - Fragen</v>
      </c>
      <c r="B212" t="str">
        <f>pos('Questions - Fragen'!D287)</f>
        <v>$D$287</v>
      </c>
      <c r="C212" t="str">
        <f t="shared" ca="1" si="7"/>
        <v>n.e.</v>
      </c>
    </row>
    <row r="213" spans="1:3">
      <c r="A213" s="335" t="str">
        <f t="shared" si="6"/>
        <v>Questions - Fragen</v>
      </c>
      <c r="B213" t="str">
        <f>pos('Questions - Fragen'!D296)</f>
        <v>$D$296</v>
      </c>
      <c r="C213">
        <f t="shared" ca="1" si="7"/>
        <v>10</v>
      </c>
    </row>
    <row r="214" spans="1:3">
      <c r="A214" s="335" t="str">
        <f t="shared" si="6"/>
        <v>Questions - Fragen</v>
      </c>
      <c r="B214" t="str">
        <f>pos('Questions - Fragen'!D297)</f>
        <v>$D$297</v>
      </c>
      <c r="C214">
        <f t="shared" ca="1" si="7"/>
        <v>10</v>
      </c>
    </row>
    <row r="215" spans="1:3">
      <c r="A215" s="335" t="str">
        <f t="shared" si="6"/>
        <v>Questions - Fragen</v>
      </c>
      <c r="B215" t="str">
        <f>pos('Questions - Fragen'!D298)</f>
        <v>$D$298</v>
      </c>
      <c r="C215" t="str">
        <f t="shared" ca="1" si="7"/>
        <v>n.e.</v>
      </c>
    </row>
    <row r="216" spans="1:3">
      <c r="A216" s="335" t="str">
        <f t="shared" si="6"/>
        <v>Questions - Fragen</v>
      </c>
      <c r="B216" t="str">
        <f>pos('Questions - Fragen'!D307)</f>
        <v>$D$307</v>
      </c>
      <c r="C216">
        <f t="shared" ca="1" si="7"/>
        <v>10</v>
      </c>
    </row>
    <row r="217" spans="1:3">
      <c r="A217" s="335" t="str">
        <f t="shared" si="6"/>
        <v>Questions - Fragen</v>
      </c>
      <c r="B217" t="str">
        <f>pos('Questions - Fragen'!D308)</f>
        <v>$D$308</v>
      </c>
      <c r="C217">
        <f t="shared" ca="1" si="7"/>
        <v>10</v>
      </c>
    </row>
    <row r="218" spans="1:3">
      <c r="A218" s="335" t="str">
        <f t="shared" si="6"/>
        <v>Questions - Fragen</v>
      </c>
      <c r="B218" t="str">
        <f>pos('Questions - Fragen'!D309)</f>
        <v>$D$309</v>
      </c>
      <c r="C218" t="str">
        <f t="shared" ca="1" si="7"/>
        <v>n.e.</v>
      </c>
    </row>
    <row r="219" spans="1:3">
      <c r="A219" s="335" t="str">
        <f t="shared" si="6"/>
        <v>Questions - Fragen</v>
      </c>
      <c r="B219" t="str">
        <f>pos('Questions - Fragen'!D319)</f>
        <v>$D$319</v>
      </c>
      <c r="C219">
        <f t="shared" ca="1" si="7"/>
        <v>10</v>
      </c>
    </row>
    <row r="220" spans="1:3">
      <c r="A220" s="335" t="str">
        <f t="shared" si="6"/>
        <v>Questions - Fragen</v>
      </c>
      <c r="B220" t="str">
        <f>pos('Questions - Fragen'!D320)</f>
        <v>$D$320</v>
      </c>
      <c r="C220">
        <f t="shared" ca="1" si="7"/>
        <v>10</v>
      </c>
    </row>
    <row r="221" spans="1:3">
      <c r="A221" s="335" t="str">
        <f t="shared" si="6"/>
        <v>Questions - Fragen</v>
      </c>
      <c r="B221" t="str">
        <f>pos('Questions - Fragen'!D321)</f>
        <v>$D$321</v>
      </c>
      <c r="C221" t="str">
        <f t="shared" ca="1" si="7"/>
        <v>n.e.</v>
      </c>
    </row>
    <row r="222" spans="1:3">
      <c r="A222" s="335" t="str">
        <f t="shared" si="6"/>
        <v>Questions - Fragen</v>
      </c>
      <c r="B222" t="str">
        <f>pos('Questions - Fragen'!D330)</f>
        <v>$D$330</v>
      </c>
      <c r="C222">
        <f t="shared" ca="1" si="7"/>
        <v>10</v>
      </c>
    </row>
    <row r="223" spans="1:3">
      <c r="A223" s="335" t="str">
        <f t="shared" si="6"/>
        <v>Questions - Fragen</v>
      </c>
      <c r="B223" t="str">
        <f>pos('Questions - Fragen'!D331)</f>
        <v>$D$331</v>
      </c>
      <c r="C223">
        <f t="shared" ca="1" si="7"/>
        <v>10</v>
      </c>
    </row>
    <row r="224" spans="1:3">
      <c r="A224" s="335" t="str">
        <f t="shared" si="6"/>
        <v>Questions - Fragen</v>
      </c>
      <c r="B224" t="str">
        <f>pos('Questions - Fragen'!D332)</f>
        <v>$D$332</v>
      </c>
      <c r="C224" t="str">
        <f t="shared" ca="1" si="7"/>
        <v>n.e.</v>
      </c>
    </row>
    <row r="225" spans="1:3">
      <c r="A225" s="335" t="str">
        <f t="shared" si="6"/>
        <v>Questions - Fragen</v>
      </c>
      <c r="B225" t="str">
        <f>pos('Questions - Fragen'!D341)</f>
        <v>$D$341</v>
      </c>
      <c r="C225">
        <f t="shared" ca="1" si="7"/>
        <v>8</v>
      </c>
    </row>
    <row r="226" spans="1:3">
      <c r="A226" s="335" t="str">
        <f t="shared" si="6"/>
        <v>Questions - Fragen</v>
      </c>
      <c r="B226" t="str">
        <f>pos('Questions - Fragen'!D342)</f>
        <v>$D$342</v>
      </c>
      <c r="C226">
        <f t="shared" ca="1" si="7"/>
        <v>10</v>
      </c>
    </row>
    <row r="227" spans="1:3">
      <c r="A227" s="335" t="str">
        <f t="shared" si="6"/>
        <v>Questions - Fragen</v>
      </c>
      <c r="B227" t="str">
        <f>pos('Questions - Fragen'!D343)</f>
        <v>$D$343</v>
      </c>
      <c r="C227" t="str">
        <f t="shared" ca="1" si="7"/>
        <v>n.e.</v>
      </c>
    </row>
    <row r="228" spans="1:3">
      <c r="A228" s="335" t="str">
        <f t="shared" si="6"/>
        <v>Questions - Fragen</v>
      </c>
      <c r="B228" t="str">
        <f>pos('Questions - Fragen'!D352)</f>
        <v>$D$352</v>
      </c>
      <c r="C228">
        <f t="shared" ca="1" si="7"/>
        <v>10</v>
      </c>
    </row>
    <row r="229" spans="1:3">
      <c r="A229" s="335" t="str">
        <f t="shared" si="6"/>
        <v>Questions - Fragen</v>
      </c>
      <c r="B229" t="str">
        <f>pos('Questions - Fragen'!D353)</f>
        <v>$D$353</v>
      </c>
      <c r="C229">
        <f t="shared" ca="1" si="7"/>
        <v>10</v>
      </c>
    </row>
    <row r="230" spans="1:3">
      <c r="A230" s="335" t="str">
        <f t="shared" si="6"/>
        <v>Questions - Fragen</v>
      </c>
      <c r="B230" t="str">
        <f>pos('Questions - Fragen'!D354)</f>
        <v>$D$354</v>
      </c>
      <c r="C230" t="str">
        <f t="shared" ca="1" si="7"/>
        <v>n.e.</v>
      </c>
    </row>
    <row r="231" spans="1:3">
      <c r="A231" s="335" t="str">
        <f t="shared" si="6"/>
        <v>Questions - Fragen</v>
      </c>
      <c r="B231" t="str">
        <f>pos('Questions - Fragen'!D363)</f>
        <v>$D$363</v>
      </c>
      <c r="C231" t="str">
        <f t="shared" ca="1" si="7"/>
        <v>н.о.</v>
      </c>
    </row>
    <row r="232" spans="1:3">
      <c r="A232" s="335" t="str">
        <f t="shared" si="6"/>
        <v>Questions - Fragen</v>
      </c>
      <c r="B232" t="str">
        <f>pos('Questions - Fragen'!D364)</f>
        <v>$D$364</v>
      </c>
      <c r="C232" t="str">
        <f t="shared" ca="1" si="7"/>
        <v>н.о.</v>
      </c>
    </row>
    <row r="233" spans="1:3">
      <c r="A233" s="335" t="str">
        <f t="shared" si="6"/>
        <v>Questions - Fragen</v>
      </c>
      <c r="B233" t="str">
        <f>pos('Questions - Fragen'!D365)</f>
        <v>$D$365</v>
      </c>
      <c r="C233" t="str">
        <f t="shared" ca="1" si="7"/>
        <v>н.о.</v>
      </c>
    </row>
    <row r="234" spans="1:3">
      <c r="A234" s="335" t="str">
        <f t="shared" si="6"/>
        <v>Questions - Fragen</v>
      </c>
      <c r="B234" t="str">
        <f>pos('Questions - Fragen'!D366)</f>
        <v>$D$366</v>
      </c>
      <c r="C234" t="str">
        <f t="shared" ca="1" si="7"/>
        <v>н.о.</v>
      </c>
    </row>
    <row r="235" spans="1:3">
      <c r="A235" s="335" t="str">
        <f t="shared" si="6"/>
        <v>Questions - Fragen</v>
      </c>
      <c r="B235" t="str">
        <f>pos('Questions - Fragen'!D367)</f>
        <v>$D$367</v>
      </c>
      <c r="C235" t="str">
        <f t="shared" ca="1" si="7"/>
        <v>н.о.</v>
      </c>
    </row>
    <row r="236" spans="1:3">
      <c r="A236" s="335" t="str">
        <f t="shared" si="6"/>
        <v>Questions - Fragen</v>
      </c>
      <c r="B236" t="str">
        <f>pos('Questions - Fragen'!E13)</f>
        <v>$E$13</v>
      </c>
      <c r="C236" t="str">
        <f t="shared" ca="1" si="7"/>
        <v>Enter text</v>
      </c>
    </row>
    <row r="237" spans="1:3">
      <c r="A237" s="335" t="str">
        <f t="shared" si="6"/>
        <v>Questions - Fragen</v>
      </c>
      <c r="B237" t="str">
        <f>pos('Questions - Fragen'!E14)</f>
        <v>$E$14</v>
      </c>
      <c r="C237" t="str">
        <f t="shared" ca="1" si="7"/>
        <v>Enter text</v>
      </c>
    </row>
    <row r="238" spans="1:3">
      <c r="A238" s="335" t="str">
        <f t="shared" si="6"/>
        <v>Questions - Fragen</v>
      </c>
      <c r="B238" t="str">
        <f>pos('Questions - Fragen'!E15)</f>
        <v>$E$15</v>
      </c>
      <c r="C238" t="str">
        <f t="shared" ca="1" si="7"/>
        <v>Enter text</v>
      </c>
    </row>
    <row r="239" spans="1:3">
      <c r="A239" s="335" t="str">
        <f t="shared" si="6"/>
        <v>Questions - Fragen</v>
      </c>
      <c r="B239" t="str">
        <f>pos('Questions - Fragen'!E16)</f>
        <v>$E$16</v>
      </c>
      <c r="C239" t="str">
        <f t="shared" ca="1" si="7"/>
        <v>Enter text</v>
      </c>
    </row>
    <row r="240" spans="1:3">
      <c r="A240" s="335" t="str">
        <f t="shared" si="6"/>
        <v>Questions - Fragen</v>
      </c>
      <c r="B240" t="str">
        <f>pos('Questions - Fragen'!E17)</f>
        <v>$E$17</v>
      </c>
      <c r="C240" t="str">
        <f t="shared" ca="1" si="7"/>
        <v>Enter text</v>
      </c>
    </row>
    <row r="241" spans="1:3">
      <c r="A241" s="335" t="str">
        <f t="shared" si="6"/>
        <v>Questions - Fragen</v>
      </c>
      <c r="B241" t="str">
        <f>pos('Questions - Fragen'!E18)</f>
        <v>$E$18</v>
      </c>
      <c r="C241" t="str">
        <f t="shared" ca="1" si="7"/>
        <v>Enter text</v>
      </c>
    </row>
    <row r="242" spans="1:3">
      <c r="A242" s="335" t="str">
        <f t="shared" si="6"/>
        <v>Questions - Fragen</v>
      </c>
      <c r="B242" t="str">
        <f>pos('Questions - Fragen'!E19)</f>
        <v>$E$19</v>
      </c>
      <c r="C242" t="str">
        <f t="shared" ca="1" si="7"/>
        <v>Enter text</v>
      </c>
    </row>
    <row r="243" spans="1:3">
      <c r="A243" s="335" t="str">
        <f t="shared" si="6"/>
        <v>Questions - Fragen</v>
      </c>
      <c r="B243" t="str">
        <f>pos('Questions - Fragen'!E23)</f>
        <v>$E$23</v>
      </c>
      <c r="C243" t="str">
        <f t="shared" ca="1" si="7"/>
        <v>Enter text</v>
      </c>
    </row>
    <row r="244" spans="1:3">
      <c r="A244" s="335" t="str">
        <f t="shared" si="6"/>
        <v>Questions - Fragen</v>
      </c>
      <c r="B244" t="str">
        <f>pos('Questions - Fragen'!E24)</f>
        <v>$E$24</v>
      </c>
      <c r="C244" t="str">
        <f t="shared" ca="1" si="7"/>
        <v>Enter text</v>
      </c>
    </row>
    <row r="245" spans="1:3">
      <c r="A245" s="335" t="str">
        <f t="shared" ref="A245:A401" si="8">$A$115</f>
        <v>Questions - Fragen</v>
      </c>
      <c r="B245" t="str">
        <f>pos('Questions - Fragen'!E26)</f>
        <v>$E$26</v>
      </c>
      <c r="C245" t="str">
        <f t="shared" ca="1" si="7"/>
        <v>Enter text</v>
      </c>
    </row>
    <row r="246" spans="1:3">
      <c r="A246" s="335" t="str">
        <f t="shared" si="8"/>
        <v>Questions - Fragen</v>
      </c>
      <c r="B246" t="str">
        <f>pos('Questions - Fragen'!E27)</f>
        <v>$E$27</v>
      </c>
      <c r="C246" t="str">
        <f t="shared" ca="1" si="7"/>
        <v>Enter text</v>
      </c>
    </row>
    <row r="247" spans="1:3">
      <c r="A247" s="335" t="str">
        <f t="shared" si="8"/>
        <v>Questions - Fragen</v>
      </c>
      <c r="B247" t="str">
        <f>pos('Questions - Fragen'!E29)</f>
        <v>$E$29</v>
      </c>
      <c r="C247" t="str">
        <f t="shared" ca="1" si="7"/>
        <v>Enter text</v>
      </c>
    </row>
    <row r="248" spans="1:3">
      <c r="A248" s="335" t="str">
        <f t="shared" si="8"/>
        <v>Questions - Fragen</v>
      </c>
      <c r="B248" t="str">
        <f>pos('Questions - Fragen'!E30)</f>
        <v>$E$30</v>
      </c>
      <c r="C248" t="str">
        <f t="shared" ca="1" si="7"/>
        <v>Enter text</v>
      </c>
    </row>
    <row r="249" spans="1:3">
      <c r="A249" s="335" t="str">
        <f t="shared" si="8"/>
        <v>Questions - Fragen</v>
      </c>
      <c r="B249" t="str">
        <f>pos('Questions - Fragen'!E32)</f>
        <v>$E$32</v>
      </c>
      <c r="C249" t="str">
        <f t="shared" ca="1" si="7"/>
        <v>Enter text</v>
      </c>
    </row>
    <row r="250" spans="1:3">
      <c r="A250" s="335" t="str">
        <f t="shared" si="8"/>
        <v>Questions - Fragen</v>
      </c>
      <c r="B250" t="str">
        <f>pos('Questions - Fragen'!E33)</f>
        <v>$E$33</v>
      </c>
      <c r="C250" t="str">
        <f t="shared" ca="1" si="7"/>
        <v>Enter text</v>
      </c>
    </row>
    <row r="251" spans="1:3">
      <c r="A251" s="335" t="str">
        <f t="shared" si="8"/>
        <v>Questions - Fragen</v>
      </c>
      <c r="B251" t="str">
        <f>pos('Questions - Fragen'!E35)</f>
        <v>$E$35</v>
      </c>
      <c r="C251" t="str">
        <f t="shared" ca="1" si="7"/>
        <v>Enter text</v>
      </c>
    </row>
    <row r="252" spans="1:3">
      <c r="A252" s="335" t="str">
        <f t="shared" si="8"/>
        <v>Questions - Fragen</v>
      </c>
      <c r="B252" t="str">
        <f>pos('Questions - Fragen'!E36)</f>
        <v>$E$36</v>
      </c>
      <c r="C252" t="str">
        <f t="shared" ca="1" si="7"/>
        <v>Enter text</v>
      </c>
    </row>
    <row r="253" spans="1:3">
      <c r="A253" s="335" t="str">
        <f t="shared" si="8"/>
        <v>Questions - Fragen</v>
      </c>
      <c r="B253" t="str">
        <f>pos('Questions - Fragen'!E40)</f>
        <v>$E$40</v>
      </c>
      <c r="C253" t="str">
        <f t="shared" ca="1" si="7"/>
        <v>Enter text</v>
      </c>
    </row>
    <row r="254" spans="1:3">
      <c r="A254" s="335" t="str">
        <f t="shared" si="8"/>
        <v>Questions - Fragen</v>
      </c>
      <c r="B254" t="str">
        <f>pos('Questions - Fragen'!E41)</f>
        <v>$E$41</v>
      </c>
      <c r="C254" t="str">
        <f t="shared" ca="1" si="7"/>
        <v>Enter text</v>
      </c>
    </row>
    <row r="255" spans="1:3">
      <c r="A255" s="335" t="str">
        <f t="shared" si="8"/>
        <v>Questions - Fragen</v>
      </c>
      <c r="B255" t="str">
        <f>pos('Questions - Fragen'!E43)</f>
        <v>$E$43</v>
      </c>
      <c r="C255" t="str">
        <f t="shared" ca="1" si="7"/>
        <v>Enter text</v>
      </c>
    </row>
    <row r="256" spans="1:3">
      <c r="A256" s="335" t="str">
        <f t="shared" si="8"/>
        <v>Questions - Fragen</v>
      </c>
      <c r="B256" t="str">
        <f>pos('Questions - Fragen'!E44)</f>
        <v>$E$44</v>
      </c>
      <c r="C256" t="str">
        <f t="shared" ca="1" si="7"/>
        <v>Enter text</v>
      </c>
    </row>
    <row r="257" spans="1:3">
      <c r="A257" s="335" t="str">
        <f t="shared" si="8"/>
        <v>Questions - Fragen</v>
      </c>
      <c r="B257" t="str">
        <f>pos('Questions - Fragen'!E46)</f>
        <v>$E$46</v>
      </c>
      <c r="C257" t="str">
        <f t="shared" ca="1" si="7"/>
        <v>Enter text</v>
      </c>
    </row>
    <row r="258" spans="1:3">
      <c r="A258" s="335" t="str">
        <f t="shared" si="8"/>
        <v>Questions - Fragen</v>
      </c>
      <c r="B258" t="str">
        <f>pos('Questions - Fragen'!E47)</f>
        <v>$E$47</v>
      </c>
      <c r="C258" t="str">
        <f t="shared" ca="1" si="7"/>
        <v>Enter text</v>
      </c>
    </row>
    <row r="259" spans="1:3">
      <c r="A259" s="335" t="str">
        <f t="shared" si="8"/>
        <v>Questions - Fragen</v>
      </c>
      <c r="B259" t="str">
        <f>pos('Questions - Fragen'!E49)</f>
        <v>$E$49</v>
      </c>
      <c r="C259" t="str">
        <f t="shared" ca="1" si="7"/>
        <v>Enter text</v>
      </c>
    </row>
    <row r="260" spans="1:3">
      <c r="A260" s="335" t="str">
        <f t="shared" si="8"/>
        <v>Questions - Fragen</v>
      </c>
      <c r="B260" t="str">
        <f>pos('Questions - Fragen'!E50)</f>
        <v>$E$50</v>
      </c>
      <c r="C260" t="str">
        <f t="shared" ca="1" si="7"/>
        <v>Enter text</v>
      </c>
    </row>
    <row r="261" spans="1:3">
      <c r="A261" s="335" t="str">
        <f t="shared" si="8"/>
        <v>Questions - Fragen</v>
      </c>
      <c r="B261" t="str">
        <f>pos('Questions - Fragen'!E52)</f>
        <v>$E$52</v>
      </c>
      <c r="C261" t="str">
        <f t="shared" ca="1" si="7"/>
        <v>Enter text</v>
      </c>
    </row>
    <row r="262" spans="1:3">
      <c r="A262" s="335" t="str">
        <f t="shared" si="8"/>
        <v>Questions - Fragen</v>
      </c>
      <c r="B262" t="str">
        <f>pos('Questions - Fragen'!E53)</f>
        <v>$E$53</v>
      </c>
      <c r="C262" t="str">
        <f t="shared" ref="C262:C512" ca="1" si="9">IF(INDIRECT("'"&amp;A262&amp;"'!"&amp;B262)=0,"",INDIRECT("'"&amp;A262&amp;"'!"&amp;B262))</f>
        <v>Enter text</v>
      </c>
    </row>
    <row r="263" spans="1:3">
      <c r="A263" s="335" t="str">
        <f t="shared" si="8"/>
        <v>Questions - Fragen</v>
      </c>
      <c r="B263" t="str">
        <f>pos('Questions - Fragen'!E55)</f>
        <v>$E$55</v>
      </c>
      <c r="C263" t="str">
        <f t="shared" ca="1" si="9"/>
        <v>Enter text</v>
      </c>
    </row>
    <row r="264" spans="1:3">
      <c r="A264" s="335" t="str">
        <f t="shared" si="8"/>
        <v>Questions - Fragen</v>
      </c>
      <c r="B264" t="str">
        <f>pos('Questions - Fragen'!E57)</f>
        <v>$E$57</v>
      </c>
      <c r="C264" t="str">
        <f t="shared" ca="1" si="9"/>
        <v>Enter text</v>
      </c>
    </row>
    <row r="265" spans="1:3">
      <c r="A265" s="335" t="str">
        <f t="shared" si="8"/>
        <v>Questions - Fragen</v>
      </c>
      <c r="B265" t="str">
        <f>pos('Questions - Fragen'!E59)</f>
        <v>$E$59</v>
      </c>
      <c r="C265" t="str">
        <f t="shared" ca="1" si="9"/>
        <v>Enter text</v>
      </c>
    </row>
    <row r="266" spans="1:3">
      <c r="A266" s="335" t="str">
        <f t="shared" si="8"/>
        <v>Questions - Fragen</v>
      </c>
      <c r="B266" t="str">
        <f>pos('Questions - Fragen'!E60)</f>
        <v>$E$60</v>
      </c>
      <c r="C266" t="str">
        <f t="shared" ca="1" si="9"/>
        <v>Enter text</v>
      </c>
    </row>
    <row r="267" spans="1:3">
      <c r="A267" s="335" t="str">
        <f t="shared" si="8"/>
        <v>Questions - Fragen</v>
      </c>
      <c r="B267" t="str">
        <f>pos('Questions - Fragen'!E62)</f>
        <v>$E$62</v>
      </c>
      <c r="C267" t="str">
        <f t="shared" ca="1" si="9"/>
        <v>Enter text</v>
      </c>
    </row>
    <row r="268" spans="1:3">
      <c r="A268" s="335" t="str">
        <f t="shared" si="8"/>
        <v>Questions - Fragen</v>
      </c>
      <c r="B268" t="str">
        <f>pos('Questions - Fragen'!E63)</f>
        <v>$E$63</v>
      </c>
      <c r="C268" t="str">
        <f t="shared" ca="1" si="9"/>
        <v>Enter text</v>
      </c>
    </row>
    <row r="269" spans="1:3">
      <c r="A269" s="335" t="str">
        <f t="shared" si="8"/>
        <v>Questions - Fragen</v>
      </c>
      <c r="B269" t="str">
        <f>pos('Questions - Fragen'!E64)</f>
        <v>$E$64</v>
      </c>
      <c r="C269" t="str">
        <f t="shared" ca="1" si="9"/>
        <v>Enter text</v>
      </c>
    </row>
    <row r="270" spans="1:3">
      <c r="A270" s="335" t="str">
        <f t="shared" si="8"/>
        <v>Questions - Fragen</v>
      </c>
      <c r="B270" t="str">
        <f>pos('Questions - Fragen'!E65)</f>
        <v>$E$65</v>
      </c>
      <c r="C270" t="str">
        <f t="shared" ca="1" si="9"/>
        <v>Enter text</v>
      </c>
    </row>
    <row r="271" spans="1:3">
      <c r="A271" s="335" t="str">
        <f t="shared" si="8"/>
        <v>Questions - Fragen</v>
      </c>
      <c r="B271" t="str">
        <f>pos('Questions - Fragen'!E66)</f>
        <v>$E$66</v>
      </c>
      <c r="C271" t="str">
        <f t="shared" ca="1" si="9"/>
        <v>Enter text</v>
      </c>
    </row>
    <row r="272" spans="1:3">
      <c r="A272" s="335" t="str">
        <f t="shared" si="8"/>
        <v>Questions - Fragen</v>
      </c>
      <c r="B272" t="str">
        <f>pos('Questions - Fragen'!E67)</f>
        <v>$E$67</v>
      </c>
      <c r="C272" t="str">
        <f t="shared" ca="1" si="9"/>
        <v>Enter text</v>
      </c>
    </row>
    <row r="273" spans="1:3">
      <c r="A273" s="335" t="str">
        <f t="shared" si="8"/>
        <v>Questions - Fragen</v>
      </c>
      <c r="B273" t="str">
        <f>pos('Questions - Fragen'!E68)</f>
        <v>$E$68</v>
      </c>
      <c r="C273" t="str">
        <f t="shared" ca="1" si="9"/>
        <v>Enter text</v>
      </c>
    </row>
    <row r="274" spans="1:3">
      <c r="A274" s="335" t="str">
        <f t="shared" si="8"/>
        <v>Questions - Fragen</v>
      </c>
      <c r="B274" t="str">
        <f>pos('Questions - Fragen'!E72)</f>
        <v>$E$72</v>
      </c>
      <c r="C274" t="str">
        <f t="shared" ca="1" si="9"/>
        <v>No weak points identified</v>
      </c>
    </row>
    <row r="275" spans="1:3">
      <c r="A275" s="335" t="str">
        <f t="shared" si="8"/>
        <v>Questions - Fragen</v>
      </c>
      <c r="B275" t="str">
        <f>pos('Questions - Fragen'!E73)</f>
        <v>$E$73</v>
      </c>
      <c r="C275" t="str">
        <f t="shared" ca="1" si="9"/>
        <v>No weak points identified</v>
      </c>
    </row>
    <row r="276" spans="1:3">
      <c r="A276" s="335" t="str">
        <f t="shared" si="8"/>
        <v>Questions - Fragen</v>
      </c>
      <c r="B276" t="str">
        <f>pos('Questions - Fragen'!E74)</f>
        <v>$E$74</v>
      </c>
      <c r="C276" t="str">
        <f t="shared" ca="1" si="9"/>
        <v>Enter text</v>
      </c>
    </row>
    <row r="277" spans="1:3">
      <c r="A277" s="335" t="str">
        <f t="shared" si="8"/>
        <v>Questions - Fragen</v>
      </c>
      <c r="B277" t="str">
        <f>pos('Questions - Fragen'!E83)</f>
        <v>$E$83</v>
      </c>
      <c r="C277" t="str">
        <f t="shared" ca="1" si="9"/>
        <v xml:space="preserve">There is enough amount of Spare Parts stored in Moldshop Warehouse </v>
      </c>
    </row>
    <row r="278" spans="1:3">
      <c r="A278" s="335" t="str">
        <f t="shared" si="8"/>
        <v>Questions - Fragen</v>
      </c>
      <c r="B278" t="str">
        <f>pos('Questions - Fragen'!E84)</f>
        <v>$E$84</v>
      </c>
      <c r="C278" t="str">
        <f t="shared" ca="1" si="9"/>
        <v>Packing material i place</v>
      </c>
    </row>
    <row r="279" spans="1:3">
      <c r="A279" s="335" t="str">
        <f t="shared" si="8"/>
        <v>Questions - Fragen</v>
      </c>
      <c r="B279" t="str">
        <f>pos('Questions - Fragen'!E85)</f>
        <v>$E$85</v>
      </c>
      <c r="C279" t="str">
        <f t="shared" ca="1" si="9"/>
        <v>Enter text</v>
      </c>
    </row>
    <row r="280" spans="1:3">
      <c r="A280" s="335" t="str">
        <f t="shared" si="8"/>
        <v>Questions - Fragen</v>
      </c>
      <c r="B280" t="str">
        <f>pos('Questions - Fragen'!E94)</f>
        <v>$E$94</v>
      </c>
      <c r="C280" t="str">
        <f t="shared" ca="1" si="9"/>
        <v>Bone Ash was stored inside controlled Tent with Temperature and Humidity within range</v>
      </c>
    </row>
    <row r="281" spans="1:3">
      <c r="A281" s="335" t="str">
        <f t="shared" si="8"/>
        <v>Questions - Fragen</v>
      </c>
      <c r="B281" t="str">
        <f>pos('Questions - Fragen'!E95)</f>
        <v>$E$95</v>
      </c>
      <c r="C281" t="str">
        <f t="shared" ca="1" si="9"/>
        <v>According to Customer specification</v>
      </c>
    </row>
    <row r="282" spans="1:3">
      <c r="A282" s="335" t="str">
        <f t="shared" si="8"/>
        <v>Questions - Fragen</v>
      </c>
      <c r="B282" t="str">
        <f>pos('Questions - Fragen'!E96)</f>
        <v>$E$96</v>
      </c>
      <c r="C282" t="str">
        <f t="shared" ca="1" si="9"/>
        <v>Enter text</v>
      </c>
    </row>
    <row r="283" spans="1:3">
      <c r="A283" s="335" t="str">
        <f t="shared" si="8"/>
        <v>Questions - Fragen</v>
      </c>
      <c r="B283" t="str">
        <f>pos('Questions - Fragen'!E105)</f>
        <v>$E$105</v>
      </c>
      <c r="C283" t="str">
        <f t="shared" ca="1" si="9"/>
        <v>No weak points identified</v>
      </c>
    </row>
    <row r="284" spans="1:3">
      <c r="A284" s="335" t="str">
        <f t="shared" si="8"/>
        <v>Questions - Fragen</v>
      </c>
      <c r="B284" t="str">
        <f>pos('Questions - Fragen'!E106)</f>
        <v>$E$106</v>
      </c>
      <c r="C284" t="str">
        <f t="shared" ca="1" si="9"/>
        <v xml:space="preserve">All approved Billets had DMC Code and Laser marking with: Charge number and Alloy on end plane  of each Bundle. Every Bundle had Ink marking on long side (front / back) with information:  KUBAL, Alloy, dimension and weight for Bundle (kg)   </v>
      </c>
    </row>
    <row r="285" spans="1:3">
      <c r="A285" s="335" t="str">
        <f t="shared" si="8"/>
        <v>Questions - Fragen</v>
      </c>
      <c r="B285" t="str">
        <f>pos('Questions - Fragen'!E107)</f>
        <v>$E$107</v>
      </c>
      <c r="C285" t="str">
        <f t="shared" ca="1" si="9"/>
        <v>Enter text</v>
      </c>
    </row>
    <row r="286" spans="1:3">
      <c r="A286" s="335" t="str">
        <f t="shared" si="8"/>
        <v>Questions - Fragen</v>
      </c>
      <c r="B286" t="str">
        <f>pos('Questions - Fragen'!E116)</f>
        <v>$E$116</v>
      </c>
      <c r="C286" t="str">
        <f t="shared" ca="1" si="9"/>
        <v>Enter text</v>
      </c>
    </row>
    <row r="287" spans="1:3">
      <c r="A287" s="335" t="str">
        <f t="shared" si="8"/>
        <v>Questions - Fragen</v>
      </c>
      <c r="B287" t="str">
        <f>pos('Questions - Fragen'!E117)</f>
        <v>$E$117</v>
      </c>
      <c r="C287" t="str">
        <f t="shared" ca="1" si="9"/>
        <v>Enter text</v>
      </c>
    </row>
    <row r="288" spans="1:3">
      <c r="A288" s="335" t="str">
        <f t="shared" si="8"/>
        <v>Questions - Fragen</v>
      </c>
      <c r="B288" t="str">
        <f>pos('Questions - Fragen'!E118)</f>
        <v>$E$118</v>
      </c>
      <c r="C288" t="str">
        <f t="shared" ca="1" si="9"/>
        <v>Enter text</v>
      </c>
    </row>
    <row r="289" spans="1:3">
      <c r="A289" s="335" t="str">
        <f t="shared" si="8"/>
        <v>Questions - Fragen</v>
      </c>
      <c r="B289" t="str">
        <f>pos('Questions - Fragen'!E128)</f>
        <v>$E$128</v>
      </c>
      <c r="C289" t="str">
        <f t="shared" ca="1" si="9"/>
        <v>Enter text</v>
      </c>
    </row>
    <row r="290" spans="1:3">
      <c r="A290" s="335" t="str">
        <f t="shared" si="8"/>
        <v>Questions - Fragen</v>
      </c>
      <c r="B290" t="str">
        <f>pos('Questions - Fragen'!E129)</f>
        <v>$E$129</v>
      </c>
      <c r="C290" t="str">
        <f t="shared" ca="1" si="9"/>
        <v>Enter text</v>
      </c>
    </row>
    <row r="291" spans="1:3">
      <c r="A291" s="335" t="str">
        <f t="shared" si="8"/>
        <v>Questions - Fragen</v>
      </c>
      <c r="B291" t="str">
        <f>pos('Questions - Fragen'!E130)</f>
        <v>$E$130</v>
      </c>
      <c r="C291" t="str">
        <f t="shared" ca="1" si="9"/>
        <v>Enter text</v>
      </c>
    </row>
    <row r="292" spans="1:3">
      <c r="A292" s="335" t="str">
        <f t="shared" si="8"/>
        <v>Questions - Fragen</v>
      </c>
      <c r="B292" t="str">
        <f>pos('Questions - Fragen'!E139)</f>
        <v>$E$139</v>
      </c>
      <c r="C292" t="str">
        <f t="shared" ca="1" si="9"/>
        <v>Enter text</v>
      </c>
    </row>
    <row r="293" spans="1:3">
      <c r="A293" s="335" t="str">
        <f t="shared" si="8"/>
        <v>Questions - Fragen</v>
      </c>
      <c r="B293" t="str">
        <f>pos('Questions - Fragen'!E140)</f>
        <v>$E$140</v>
      </c>
      <c r="C293" t="str">
        <f t="shared" ca="1" si="9"/>
        <v>Enter text</v>
      </c>
    </row>
    <row r="294" spans="1:3">
      <c r="A294" s="335" t="str">
        <f t="shared" si="8"/>
        <v>Questions - Fragen</v>
      </c>
      <c r="B294" t="str">
        <f>pos('Questions - Fragen'!E141)</f>
        <v>$E$141</v>
      </c>
      <c r="C294" t="str">
        <f t="shared" ca="1" si="9"/>
        <v>Enter text</v>
      </c>
    </row>
    <row r="295" spans="1:3">
      <c r="A295" s="335" t="str">
        <f t="shared" si="8"/>
        <v>Questions - Fragen</v>
      </c>
      <c r="B295" t="str">
        <f>pos('Questions - Fragen'!E150)</f>
        <v>$E$150</v>
      </c>
      <c r="C295" t="str">
        <f t="shared" ca="1" si="9"/>
        <v>Enter text</v>
      </c>
    </row>
    <row r="296" spans="1:3">
      <c r="A296" s="335" t="str">
        <f t="shared" si="8"/>
        <v>Questions - Fragen</v>
      </c>
      <c r="B296" t="str">
        <f>pos('Questions - Fragen'!E151)</f>
        <v>$E$151</v>
      </c>
      <c r="C296" t="str">
        <f t="shared" ca="1" si="9"/>
        <v>No weak points identified</v>
      </c>
    </row>
    <row r="297" spans="1:3">
      <c r="A297" s="335" t="str">
        <f t="shared" si="8"/>
        <v>Questions - Fragen</v>
      </c>
      <c r="B297" t="str">
        <f>pos('Questions - Fragen'!E152)</f>
        <v>$E$152</v>
      </c>
      <c r="C297" t="str">
        <f t="shared" ca="1" si="9"/>
        <v>Enter text</v>
      </c>
    </row>
    <row r="298" spans="1:3">
      <c r="A298" s="335" t="str">
        <f t="shared" si="8"/>
        <v>Questions - Fragen</v>
      </c>
      <c r="B298" t="str">
        <f>pos('Questions - Fragen'!E161)</f>
        <v>$E$161</v>
      </c>
      <c r="C298" t="str">
        <f t="shared" ca="1" si="9"/>
        <v>Defetct Parts are exchanged and registret in Moldshop Dashboard "Reservdelar sheet"</v>
      </c>
    </row>
    <row r="299" spans="1:3">
      <c r="A299" s="335" t="str">
        <f t="shared" si="8"/>
        <v>Questions - Fragen</v>
      </c>
      <c r="B299" t="str">
        <f>pos('Questions - Fragen'!E162)</f>
        <v>$E$162</v>
      </c>
      <c r="C299" t="str">
        <f t="shared" ca="1" si="9"/>
        <v>No weak points identified</v>
      </c>
    </row>
    <row r="300" spans="1:3">
      <c r="A300" s="335" t="str">
        <f t="shared" si="8"/>
        <v>Questions - Fragen</v>
      </c>
      <c r="B300" t="str">
        <f>pos('Questions - Fragen'!E163)</f>
        <v>$E$163</v>
      </c>
      <c r="C300" t="str">
        <f t="shared" ca="1" si="9"/>
        <v xml:space="preserve">Not approved Billets according to customers specification was identified and removed from production Line and Put in designated and marked Area for remelting. </v>
      </c>
    </row>
    <row r="301" spans="1:3">
      <c r="A301" s="335" t="str">
        <f t="shared" si="8"/>
        <v>Questions - Fragen</v>
      </c>
      <c r="B301" t="str">
        <f>pos('Questions - Fragen'!E172)</f>
        <v>$E$172</v>
      </c>
      <c r="C301" t="str">
        <f t="shared" ca="1" si="9"/>
        <v>Spare Parts are clearly marked in designated Area</v>
      </c>
    </row>
    <row r="302" spans="1:3">
      <c r="A302" s="335" t="str">
        <f t="shared" si="8"/>
        <v>Questions - Fragen</v>
      </c>
      <c r="B302" t="str">
        <f>pos('Questions - Fragen'!E173)</f>
        <v>$E$173</v>
      </c>
      <c r="C302" t="str">
        <f t="shared" ca="1" si="9"/>
        <v>No weak points identified</v>
      </c>
    </row>
    <row r="303" spans="1:3">
      <c r="A303" s="335" t="str">
        <f t="shared" si="8"/>
        <v>Questions - Fragen</v>
      </c>
      <c r="B303" t="str">
        <f>pos('Questions - Fragen'!E174)</f>
        <v>$E$174</v>
      </c>
      <c r="C303" t="str">
        <f t="shared" ca="1" si="9"/>
        <v/>
      </c>
    </row>
    <row r="304" spans="1:3">
      <c r="A304" s="335" t="str">
        <f t="shared" si="8"/>
        <v>Questions - Fragen</v>
      </c>
      <c r="B304" t="str">
        <f>pos('Questions - Fragen'!E184)</f>
        <v>$E$184</v>
      </c>
      <c r="C304" t="str">
        <f t="shared" ca="1" si="9"/>
        <v>No weak points identified</v>
      </c>
    </row>
    <row r="305" spans="1:3">
      <c r="A305" s="335" t="str">
        <f t="shared" si="8"/>
        <v>Questions - Fragen</v>
      </c>
      <c r="B305" t="str">
        <f>pos('Questions - Fragen'!E185)</f>
        <v>$E$185</v>
      </c>
      <c r="C305" t="str">
        <f t="shared" ca="1" si="9"/>
        <v>No weak points identified</v>
      </c>
    </row>
    <row r="306" spans="1:3">
      <c r="A306" s="335" t="str">
        <f t="shared" si="8"/>
        <v>Questions - Fragen</v>
      </c>
      <c r="B306" t="str">
        <f>pos('Questions - Fragen'!E186)</f>
        <v>$E$186</v>
      </c>
      <c r="C306" t="str">
        <f t="shared" ca="1" si="9"/>
        <v>Enter text</v>
      </c>
    </row>
    <row r="307" spans="1:3">
      <c r="A307" s="335" t="str">
        <f t="shared" si="8"/>
        <v>Questions - Fragen</v>
      </c>
      <c r="B307" t="str">
        <f>pos('Questions - Fragen'!E195)</f>
        <v>$E$195</v>
      </c>
      <c r="C307" t="str">
        <f t="shared" ca="1" si="9"/>
        <v xml:space="preserve">Personell have the required training, evidence avaible in Competence Matrix HR Department </v>
      </c>
    </row>
    <row r="308" spans="1:3">
      <c r="A308" s="335" t="str">
        <f t="shared" si="8"/>
        <v>Questions - Fragen</v>
      </c>
      <c r="B308" t="str">
        <f>pos('Questions - Fragen'!E196)</f>
        <v>$E$196</v>
      </c>
      <c r="C308" t="str">
        <f t="shared" ca="1" si="9"/>
        <v xml:space="preserve">Personell at all workstations have the required training, evidence avaible in Competence Matrix HR Department </v>
      </c>
    </row>
    <row r="309" spans="1:3">
      <c r="A309" s="335" t="str">
        <f t="shared" si="8"/>
        <v>Questions - Fragen</v>
      </c>
      <c r="B309" t="str">
        <f>pos('Questions - Fragen'!E197)</f>
        <v>$E$197</v>
      </c>
      <c r="C309" t="str">
        <f t="shared" ca="1" si="9"/>
        <v xml:space="preserve">Personell at all workstations have the required training, evidence avaible in Competence Matrix HR Department </v>
      </c>
    </row>
    <row r="310" spans="1:3">
      <c r="A310" s="335" t="str">
        <f t="shared" si="8"/>
        <v>Questions - Fragen</v>
      </c>
      <c r="B310" t="str">
        <f>pos('Questions - Fragen'!E206)</f>
        <v>$E$206</v>
      </c>
      <c r="C310" t="str">
        <f t="shared" ca="1" si="9"/>
        <v>No weak points identified</v>
      </c>
    </row>
    <row r="311" spans="1:3">
      <c r="A311" s="335" t="str">
        <f t="shared" si="8"/>
        <v>Questions - Fragen</v>
      </c>
      <c r="B311" t="str">
        <f>pos('Questions - Fragen'!E207)</f>
        <v>$E$207</v>
      </c>
      <c r="C311" t="str">
        <f t="shared" ca="1" si="9"/>
        <v>No weak points identified</v>
      </c>
    </row>
    <row r="312" spans="1:3">
      <c r="A312" s="335" t="str">
        <f t="shared" si="8"/>
        <v>Questions - Fragen</v>
      </c>
      <c r="B312" t="str">
        <f>pos('Questions - Fragen'!E208)</f>
        <v>$E$208</v>
      </c>
      <c r="C312" t="str">
        <f t="shared" ca="1" si="9"/>
        <v>Enter text</v>
      </c>
    </row>
    <row r="313" spans="1:3">
      <c r="A313" s="335" t="str">
        <f t="shared" si="8"/>
        <v>Questions - Fragen</v>
      </c>
      <c r="B313" t="str">
        <f>pos('Questions - Fragen'!E218)</f>
        <v>$E$218</v>
      </c>
      <c r="C313" t="str">
        <f t="shared" ca="1" si="9"/>
        <v>Enter text</v>
      </c>
    </row>
    <row r="314" spans="1:3">
      <c r="A314" s="335" t="str">
        <f t="shared" si="8"/>
        <v>Questions - Fragen</v>
      </c>
      <c r="B314" t="str">
        <f>pos('Questions - Fragen'!E219)</f>
        <v>$E$219</v>
      </c>
      <c r="C314" t="str">
        <f t="shared" ca="1" si="9"/>
        <v>No weak points identified</v>
      </c>
    </row>
    <row r="315" spans="1:3">
      <c r="A315" s="335" t="str">
        <f t="shared" si="8"/>
        <v>Questions - Fragen</v>
      </c>
      <c r="B315" t="str">
        <f>pos('Questions - Fragen'!E220)</f>
        <v>$E$220</v>
      </c>
      <c r="C315" t="str">
        <f t="shared" ca="1" si="9"/>
        <v>Enter text</v>
      </c>
    </row>
    <row r="316" spans="1:3">
      <c r="A316" s="335" t="str">
        <f t="shared" si="8"/>
        <v>Questions - Fragen</v>
      </c>
      <c r="B316" t="str">
        <f>pos('Questions - Fragen'!E229)</f>
        <v>$E$229</v>
      </c>
      <c r="C316" t="str">
        <f t="shared" ca="1" si="9"/>
        <v>Data for performed maintenace was missing in Moldshop Dashboard: Cast Table 178mm (black), 203mm (blue and Yellow) for january.</v>
      </c>
    </row>
    <row r="317" spans="1:3">
      <c r="A317" s="335" t="str">
        <f t="shared" si="8"/>
        <v>Questions - Fragen</v>
      </c>
      <c r="B317" t="str">
        <f>pos('Questions - Fragen'!E230)</f>
        <v>$E$230</v>
      </c>
      <c r="C317" t="str">
        <f t="shared" ca="1" si="9"/>
        <v>No weak points identified</v>
      </c>
    </row>
    <row r="318" spans="1:3">
      <c r="A318" s="335" t="str">
        <f t="shared" si="8"/>
        <v>Questions - Fragen</v>
      </c>
      <c r="B318" t="str">
        <f>pos('Questions - Fragen'!E231)</f>
        <v>$E$231</v>
      </c>
      <c r="C318" t="str">
        <f t="shared" ca="1" si="9"/>
        <v>No weak points identified</v>
      </c>
    </row>
    <row r="319" spans="1:3">
      <c r="A319" s="335" t="str">
        <f t="shared" si="8"/>
        <v>Questions - Fragen</v>
      </c>
      <c r="B319" t="str">
        <f>pos('Questions - Fragen'!E240)</f>
        <v>$E$240</v>
      </c>
      <c r="C319" t="str">
        <f t="shared" ca="1" si="9"/>
        <v>Calibrated measurement Tools with ID marking and date was in place</v>
      </c>
    </row>
    <row r="320" spans="1:3">
      <c r="A320" s="335" t="str">
        <f t="shared" si="8"/>
        <v>Questions - Fragen</v>
      </c>
      <c r="B320" t="str">
        <f>pos('Questions - Fragen'!E241)</f>
        <v>$E$241</v>
      </c>
      <c r="C320" t="str">
        <f t="shared" ca="1" si="9"/>
        <v>Calibrated measurement Tools with ID marking and date was in place</v>
      </c>
    </row>
    <row r="321" spans="1:3">
      <c r="A321" s="335" t="str">
        <f t="shared" si="8"/>
        <v>Questions - Fragen</v>
      </c>
      <c r="B321" t="str">
        <f>pos('Questions - Fragen'!E242)</f>
        <v>$E$242</v>
      </c>
      <c r="C321" t="str">
        <f t="shared" ca="1" si="9"/>
        <v/>
      </c>
    </row>
    <row r="322" spans="1:3">
      <c r="A322" s="335" t="str">
        <f t="shared" si="8"/>
        <v>Questions - Fragen</v>
      </c>
      <c r="B322" t="str">
        <f>pos('Questions - Fragen'!E251)</f>
        <v>$E$251</v>
      </c>
      <c r="C322" t="str">
        <f t="shared" ca="1" si="9"/>
        <v>Good ventilation and lightning</v>
      </c>
    </row>
    <row r="323" spans="1:3">
      <c r="A323" s="335" t="str">
        <f t="shared" si="8"/>
        <v>Questions - Fragen</v>
      </c>
      <c r="B323" t="str">
        <f>pos('Questions - Fragen'!E252)</f>
        <v>$E$252</v>
      </c>
      <c r="C323" t="str">
        <f t="shared" ca="1" si="9"/>
        <v/>
      </c>
    </row>
    <row r="324" spans="1:3">
      <c r="A324" s="335" t="str">
        <f t="shared" si="8"/>
        <v>Questions - Fragen</v>
      </c>
      <c r="B324" t="str">
        <f>pos('Questions - Fragen'!E253)</f>
        <v>$E$253</v>
      </c>
      <c r="C324" t="str">
        <f t="shared" ca="1" si="9"/>
        <v/>
      </c>
    </row>
    <row r="325" spans="1:3">
      <c r="A325" s="335" t="str">
        <f t="shared" si="8"/>
        <v>Questions - Fragen</v>
      </c>
      <c r="B325" t="str">
        <f>pos('Questions - Fragen'!E262)</f>
        <v>$E$262</v>
      </c>
      <c r="C325" t="str">
        <f t="shared" ca="1" si="9"/>
        <v>No weak points identified</v>
      </c>
    </row>
    <row r="326" spans="1:3">
      <c r="A326" s="335" t="str">
        <f t="shared" si="8"/>
        <v>Questions - Fragen</v>
      </c>
      <c r="B326" t="str">
        <f>pos('Questions - Fragen'!E263)</f>
        <v>$E$263</v>
      </c>
      <c r="C326" t="str">
        <f t="shared" ca="1" si="9"/>
        <v>No weak points identified</v>
      </c>
    </row>
    <row r="327" spans="1:3">
      <c r="A327" s="335" t="str">
        <f t="shared" si="8"/>
        <v>Questions - Fragen</v>
      </c>
      <c r="B327" t="str">
        <f>pos('Questions - Fragen'!E264)</f>
        <v>$E$264</v>
      </c>
      <c r="C327" t="str">
        <f t="shared" ca="1" si="9"/>
        <v>Tools are stored in designated / marked Area</v>
      </c>
    </row>
    <row r="328" spans="1:3">
      <c r="A328" s="335" t="str">
        <f t="shared" si="8"/>
        <v>Questions - Fragen</v>
      </c>
      <c r="B328" t="str">
        <f>pos('Questions - Fragen'!E274)</f>
        <v>$E$274</v>
      </c>
      <c r="C328" t="str">
        <f t="shared" ca="1" si="9"/>
        <v>No weak points identified</v>
      </c>
    </row>
    <row r="329" spans="1:3">
      <c r="A329" s="335" t="str">
        <f t="shared" si="8"/>
        <v>Questions - Fragen</v>
      </c>
      <c r="B329" t="str">
        <f>pos('Questions - Fragen'!E275)</f>
        <v>$E$275</v>
      </c>
      <c r="C329" t="str">
        <f t="shared" ca="1" si="9"/>
        <v>No weak points identified</v>
      </c>
    </row>
    <row r="330" spans="1:3">
      <c r="A330" s="335" t="str">
        <f t="shared" si="8"/>
        <v>Questions - Fragen</v>
      </c>
      <c r="B330" t="str">
        <f>pos('Questions - Fragen'!E276)</f>
        <v>$E$276</v>
      </c>
      <c r="C330" t="str">
        <f t="shared" ca="1" si="9"/>
        <v>Enter text</v>
      </c>
    </row>
    <row r="331" spans="1:3">
      <c r="A331" s="335" t="str">
        <f t="shared" si="8"/>
        <v>Questions - Fragen</v>
      </c>
      <c r="B331" t="str">
        <f>pos('Questions - Fragen'!E285)</f>
        <v>$E$285</v>
      </c>
      <c r="C331" t="str">
        <f t="shared" ca="1" si="9"/>
        <v>No weak points identified</v>
      </c>
    </row>
    <row r="332" spans="1:3">
      <c r="A332" s="335" t="str">
        <f t="shared" si="8"/>
        <v>Questions - Fragen</v>
      </c>
      <c r="B332" t="str">
        <f>pos('Questions - Fragen'!E286)</f>
        <v>$E$286</v>
      </c>
      <c r="C332" t="str">
        <f t="shared" ca="1" si="9"/>
        <v>No weak points identified</v>
      </c>
    </row>
    <row r="333" spans="1:3">
      <c r="A333" s="335" t="str">
        <f t="shared" si="8"/>
        <v>Questions - Fragen</v>
      </c>
      <c r="B333" t="str">
        <f>pos('Questions - Fragen'!E287)</f>
        <v>$E$287</v>
      </c>
      <c r="C333" t="str">
        <f t="shared" ca="1" si="9"/>
        <v>Enter text</v>
      </c>
    </row>
    <row r="334" spans="1:3">
      <c r="A334" s="335" t="str">
        <f t="shared" si="8"/>
        <v>Questions - Fragen</v>
      </c>
      <c r="B334" t="str">
        <f>pos('Questions - Fragen'!E296)</f>
        <v>$E$296</v>
      </c>
      <c r="C334" t="str">
        <f t="shared" ca="1" si="9"/>
        <v>No weak points identified</v>
      </c>
    </row>
    <row r="335" spans="1:3">
      <c r="A335" s="335" t="str">
        <f t="shared" si="8"/>
        <v>Questions - Fragen</v>
      </c>
      <c r="B335" t="str">
        <f>pos('Questions - Fragen'!E297)</f>
        <v>$E$297</v>
      </c>
      <c r="C335" t="str">
        <f t="shared" ca="1" si="9"/>
        <v>No weak points identified</v>
      </c>
    </row>
    <row r="336" spans="1:3">
      <c r="A336" s="335" t="str">
        <f t="shared" si="8"/>
        <v>Questions - Fragen</v>
      </c>
      <c r="B336" t="str">
        <f>pos('Questions - Fragen'!E298)</f>
        <v>$E$298</v>
      </c>
      <c r="C336" t="str">
        <f t="shared" ca="1" si="9"/>
        <v>Enter text</v>
      </c>
    </row>
    <row r="337" spans="1:3">
      <c r="A337" s="335" t="str">
        <f t="shared" si="8"/>
        <v>Questions - Fragen</v>
      </c>
      <c r="B337" t="str">
        <f>pos('Questions - Fragen'!E307)</f>
        <v>$E$307</v>
      </c>
      <c r="C337" t="str">
        <f t="shared" ca="1" si="9"/>
        <v>According to Audit plan</v>
      </c>
    </row>
    <row r="338" spans="1:3">
      <c r="A338" s="335" t="str">
        <f t="shared" si="8"/>
        <v>Questions - Fragen</v>
      </c>
      <c r="B338" t="str">
        <f>pos('Questions - Fragen'!E308)</f>
        <v>$E$308</v>
      </c>
      <c r="C338" t="str">
        <f t="shared" ca="1" si="9"/>
        <v>According to Audit plan</v>
      </c>
    </row>
    <row r="339" spans="1:3">
      <c r="A339" s="335" t="str">
        <f t="shared" si="8"/>
        <v>Questions - Fragen</v>
      </c>
      <c r="B339" t="str">
        <f>pos('Questions - Fragen'!E309)</f>
        <v>$E$309</v>
      </c>
      <c r="C339" t="str">
        <f t="shared" ca="1" si="9"/>
        <v>According to Audit plan</v>
      </c>
    </row>
    <row r="340" spans="1:3">
      <c r="A340" s="335" t="str">
        <f t="shared" si="8"/>
        <v>Questions - Fragen</v>
      </c>
      <c r="B340" t="str">
        <f>pos('Questions - Fragen'!E319)</f>
        <v>$E$319</v>
      </c>
      <c r="C340" t="str">
        <f t="shared" ca="1" si="9"/>
        <v>No weak points identified</v>
      </c>
    </row>
    <row r="341" spans="1:3">
      <c r="A341" s="335" t="str">
        <f t="shared" si="8"/>
        <v>Questions - Fragen</v>
      </c>
      <c r="B341" t="str">
        <f>pos('Questions - Fragen'!E320)</f>
        <v>$E$320</v>
      </c>
      <c r="C341" t="str">
        <f t="shared" ca="1" si="9"/>
        <v>No weak points identified</v>
      </c>
    </row>
    <row r="342" spans="1:3">
      <c r="A342" s="335" t="str">
        <f t="shared" si="8"/>
        <v>Questions - Fragen</v>
      </c>
      <c r="B342" t="str">
        <f>pos('Questions - Fragen'!E321)</f>
        <v>$E$321</v>
      </c>
      <c r="C342" t="str">
        <f t="shared" ca="1" si="9"/>
        <v>Enter text</v>
      </c>
    </row>
    <row r="343" spans="1:3">
      <c r="A343" s="335" t="str">
        <f t="shared" si="8"/>
        <v>Questions - Fragen</v>
      </c>
      <c r="B343" t="str">
        <f>pos('Questions - Fragen'!E330)</f>
        <v>$E$330</v>
      </c>
      <c r="C343" t="str">
        <f t="shared" ca="1" si="9"/>
        <v>No weak points identified</v>
      </c>
    </row>
    <row r="344" spans="1:3">
      <c r="A344" s="335" t="str">
        <f t="shared" si="8"/>
        <v>Questions - Fragen</v>
      </c>
      <c r="B344" t="str">
        <f>pos('Questions - Fragen'!E331)</f>
        <v>$E$331</v>
      </c>
      <c r="C344" t="str">
        <f t="shared" ca="1" si="9"/>
        <v>FG Area outside Casthouse, short storage time usually shipped to customer in short time</v>
      </c>
    </row>
    <row r="345" spans="1:3">
      <c r="A345" s="335" t="str">
        <f t="shared" si="8"/>
        <v>Questions - Fragen</v>
      </c>
      <c r="B345" t="str">
        <f>pos('Questions - Fragen'!E332)</f>
        <v>$E$332</v>
      </c>
      <c r="C345" t="str">
        <f t="shared" ca="1" si="9"/>
        <v>Enter text</v>
      </c>
    </row>
    <row r="346" spans="1:3">
      <c r="A346" s="335" t="str">
        <f t="shared" si="8"/>
        <v>Questions - Fragen</v>
      </c>
      <c r="B346" t="str">
        <f>pos('Questions - Fragen'!E341)</f>
        <v>$E$341</v>
      </c>
      <c r="C346" t="str">
        <f t="shared" ca="1" si="9"/>
        <v>Checklists are signed (paper)by operators and given to Moldshop Manager, but not all was registred digitally in Dashboard</v>
      </c>
    </row>
    <row r="347" spans="1:3">
      <c r="A347" s="335" t="str">
        <f t="shared" si="8"/>
        <v>Questions - Fragen</v>
      </c>
      <c r="B347" t="str">
        <f>pos('Questions - Fragen'!E342)</f>
        <v>$E$342</v>
      </c>
      <c r="C347" t="str">
        <f t="shared" ca="1" si="9"/>
        <v>Checklists are signed by operators and shiftleader, for sending to Operationg Manager</v>
      </c>
    </row>
    <row r="348" spans="1:3">
      <c r="A348" s="335" t="str">
        <f t="shared" si="8"/>
        <v>Questions - Fragen</v>
      </c>
      <c r="B348" t="str">
        <f>pos('Questions - Fragen'!E343)</f>
        <v>$E$343</v>
      </c>
      <c r="C348" t="str">
        <f t="shared" ca="1" si="9"/>
        <v/>
      </c>
    </row>
    <row r="349" spans="1:3">
      <c r="A349" s="335" t="str">
        <f t="shared" si="8"/>
        <v>Questions - Fragen</v>
      </c>
      <c r="B349" t="str">
        <f>pos('Questions - Fragen'!E352)</f>
        <v>$E$352</v>
      </c>
      <c r="C349" t="str">
        <f t="shared" ca="1" si="9"/>
        <v>No weak points identified</v>
      </c>
    </row>
    <row r="350" spans="1:3">
      <c r="A350" s="335" t="str">
        <f t="shared" si="8"/>
        <v>Questions - Fragen</v>
      </c>
      <c r="B350" t="str">
        <f>pos('Questions - Fragen'!E353)</f>
        <v>$E$353</v>
      </c>
      <c r="C350" t="str">
        <f t="shared" ca="1" si="9"/>
        <v>No weak points identified</v>
      </c>
    </row>
    <row r="351" spans="1:3">
      <c r="A351" s="335" t="str">
        <f t="shared" si="8"/>
        <v>Questions - Fragen</v>
      </c>
      <c r="B351" t="str">
        <f>pos('Questions - Fragen'!E354)</f>
        <v>$E$354</v>
      </c>
      <c r="C351" t="str">
        <f t="shared" ca="1" si="9"/>
        <v>Enter text</v>
      </c>
    </row>
    <row r="352" spans="1:3">
      <c r="A352" s="335" t="str">
        <f t="shared" si="8"/>
        <v>Questions - Fragen</v>
      </c>
      <c r="B352" t="str">
        <f>pos('Questions - Fragen'!E363)</f>
        <v>$E$363</v>
      </c>
      <c r="C352" t="str">
        <f t="shared" ca="1" si="9"/>
        <v>Enter text</v>
      </c>
    </row>
    <row r="353" spans="1:3">
      <c r="A353" s="335" t="str">
        <f t="shared" si="8"/>
        <v>Questions - Fragen</v>
      </c>
      <c r="B353" t="str">
        <f>pos('Questions - Fragen'!E364)</f>
        <v>$E$364</v>
      </c>
      <c r="C353" t="str">
        <f t="shared" ca="1" si="9"/>
        <v>Enter text</v>
      </c>
    </row>
    <row r="354" spans="1:3">
      <c r="A354" s="335" t="str">
        <f t="shared" si="8"/>
        <v>Questions - Fragen</v>
      </c>
      <c r="B354" t="str">
        <f>pos('Questions - Fragen'!E365)</f>
        <v>$E$365</v>
      </c>
      <c r="C354" t="str">
        <f t="shared" ca="1" si="9"/>
        <v>Enter text</v>
      </c>
    </row>
    <row r="355" spans="1:3">
      <c r="A355" s="335" t="str">
        <f t="shared" si="8"/>
        <v>Questions - Fragen</v>
      </c>
      <c r="B355" t="str">
        <f>pos('Questions - Fragen'!E366)</f>
        <v>$E$366</v>
      </c>
      <c r="C355" t="str">
        <f t="shared" ca="1" si="9"/>
        <v>Enter text</v>
      </c>
    </row>
    <row r="356" spans="1:3">
      <c r="A356" s="335" t="str">
        <f t="shared" si="8"/>
        <v>Questions - Fragen</v>
      </c>
      <c r="B356" s="335" t="str">
        <f>pos('Questions - Fragen'!E367)</f>
        <v>$E$367</v>
      </c>
      <c r="C356" t="str">
        <f t="shared" ca="1" si="9"/>
        <v>Enter text</v>
      </c>
    </row>
    <row r="357" spans="1:3">
      <c r="A357" s="335" t="str">
        <f t="shared" si="8"/>
        <v>Questions - Fragen</v>
      </c>
      <c r="B357" s="335" t="str">
        <f>pos('Questions - Fragen'!F13)</f>
        <v>$F$13</v>
      </c>
      <c r="C357" t="str">
        <f t="shared" ca="1" si="9"/>
        <v/>
      </c>
    </row>
    <row r="358" spans="1:3">
      <c r="A358" s="335" t="str">
        <f t="shared" si="8"/>
        <v>Questions - Fragen</v>
      </c>
      <c r="B358" s="335" t="str">
        <f>pos('Questions - Fragen'!F14)</f>
        <v>$F$14</v>
      </c>
      <c r="C358" t="str">
        <f t="shared" ca="1" si="9"/>
        <v/>
      </c>
    </row>
    <row r="359" spans="1:3">
      <c r="A359" s="335" t="str">
        <f t="shared" si="8"/>
        <v>Questions - Fragen</v>
      </c>
      <c r="B359" s="335" t="str">
        <f>pos('Questions - Fragen'!F15)</f>
        <v>$F$15</v>
      </c>
      <c r="C359" t="str">
        <f t="shared" ca="1" si="9"/>
        <v/>
      </c>
    </row>
    <row r="360" spans="1:3">
      <c r="A360" s="335" t="str">
        <f t="shared" si="8"/>
        <v>Questions - Fragen</v>
      </c>
      <c r="B360" t="str">
        <f>pos('Questions - Fragen'!F16)</f>
        <v>$F$16</v>
      </c>
      <c r="C360" t="str">
        <f t="shared" ca="1" si="9"/>
        <v/>
      </c>
    </row>
    <row r="361" spans="1:3">
      <c r="A361" s="335" t="str">
        <f t="shared" si="8"/>
        <v>Questions - Fragen</v>
      </c>
      <c r="B361" t="str">
        <f>pos('Questions - Fragen'!F17)</f>
        <v>$F$17</v>
      </c>
      <c r="C361" t="str">
        <f t="shared" ca="1" si="9"/>
        <v/>
      </c>
    </row>
    <row r="362" spans="1:3">
      <c r="A362" s="335" t="str">
        <f t="shared" si="8"/>
        <v>Questions - Fragen</v>
      </c>
      <c r="B362" t="str">
        <f>pos('Questions - Fragen'!F18)</f>
        <v>$F$18</v>
      </c>
      <c r="C362" t="str">
        <f t="shared" ca="1" si="9"/>
        <v/>
      </c>
    </row>
    <row r="363" spans="1:3">
      <c r="A363" s="335" t="str">
        <f t="shared" si="8"/>
        <v>Questions - Fragen</v>
      </c>
      <c r="B363" t="str">
        <f>pos('Questions - Fragen'!F19)</f>
        <v>$F$19</v>
      </c>
      <c r="C363" t="str">
        <f t="shared" ca="1" si="9"/>
        <v/>
      </c>
    </row>
    <row r="364" spans="1:3">
      <c r="A364" s="335" t="str">
        <f t="shared" si="8"/>
        <v>Questions - Fragen</v>
      </c>
      <c r="B364" t="str">
        <f>pos('Questions - Fragen'!F23)</f>
        <v>$F$23</v>
      </c>
      <c r="C364" t="str">
        <f t="shared" ca="1" si="9"/>
        <v/>
      </c>
    </row>
    <row r="365" spans="1:3">
      <c r="A365" s="335" t="str">
        <f t="shared" si="8"/>
        <v>Questions - Fragen</v>
      </c>
      <c r="B365" t="str">
        <f>pos('Questions - Fragen'!F24)</f>
        <v>$F$24</v>
      </c>
      <c r="C365" t="str">
        <f t="shared" ca="1" si="9"/>
        <v/>
      </c>
    </row>
    <row r="366" spans="1:3">
      <c r="A366" s="335" t="str">
        <f t="shared" si="8"/>
        <v>Questions - Fragen</v>
      </c>
      <c r="B366" t="str">
        <f>pos('Questions - Fragen'!F26)</f>
        <v>$F$26</v>
      </c>
      <c r="C366" t="str">
        <f t="shared" ca="1" si="9"/>
        <v/>
      </c>
    </row>
    <row r="367" spans="1:3">
      <c r="A367" s="335" t="str">
        <f t="shared" si="8"/>
        <v>Questions - Fragen</v>
      </c>
      <c r="B367" t="str">
        <f>pos('Questions - Fragen'!F27)</f>
        <v>$F$27</v>
      </c>
      <c r="C367" t="str">
        <f t="shared" ca="1" si="9"/>
        <v/>
      </c>
    </row>
    <row r="368" spans="1:3">
      <c r="A368" s="335" t="str">
        <f t="shared" si="8"/>
        <v>Questions - Fragen</v>
      </c>
      <c r="B368" t="str">
        <f>pos('Questions - Fragen'!F29)</f>
        <v>$F$29</v>
      </c>
      <c r="C368" t="str">
        <f t="shared" ca="1" si="9"/>
        <v/>
      </c>
    </row>
    <row r="369" spans="1:3">
      <c r="A369" s="335" t="str">
        <f t="shared" si="8"/>
        <v>Questions - Fragen</v>
      </c>
      <c r="B369" t="str">
        <f>pos('Questions - Fragen'!F30)</f>
        <v>$F$30</v>
      </c>
      <c r="C369" t="str">
        <f t="shared" ca="1" si="9"/>
        <v/>
      </c>
    </row>
    <row r="370" spans="1:3">
      <c r="A370" s="335" t="str">
        <f t="shared" si="8"/>
        <v>Questions - Fragen</v>
      </c>
      <c r="B370" t="str">
        <f>pos('Questions - Fragen'!F32)</f>
        <v>$F$32</v>
      </c>
      <c r="C370" t="str">
        <f t="shared" ca="1" si="9"/>
        <v/>
      </c>
    </row>
    <row r="371" spans="1:3">
      <c r="A371" s="335" t="str">
        <f t="shared" si="8"/>
        <v>Questions - Fragen</v>
      </c>
      <c r="B371" t="str">
        <f>pos('Questions - Fragen'!F33)</f>
        <v>$F$33</v>
      </c>
      <c r="C371" t="str">
        <f t="shared" ca="1" si="9"/>
        <v/>
      </c>
    </row>
    <row r="372" spans="1:3">
      <c r="A372" s="335" t="str">
        <f t="shared" si="8"/>
        <v>Questions - Fragen</v>
      </c>
      <c r="B372" t="str">
        <f>pos('Questions - Fragen'!F35)</f>
        <v>$F$35</v>
      </c>
      <c r="C372" t="str">
        <f t="shared" ca="1" si="9"/>
        <v/>
      </c>
    </row>
    <row r="373" spans="1:3">
      <c r="A373" s="335" t="str">
        <f t="shared" si="8"/>
        <v>Questions - Fragen</v>
      </c>
      <c r="B373" t="str">
        <f>pos('Questions - Fragen'!F36)</f>
        <v>$F$36</v>
      </c>
      <c r="C373" t="str">
        <f t="shared" ca="1" si="9"/>
        <v/>
      </c>
    </row>
    <row r="374" spans="1:3">
      <c r="A374" s="335" t="str">
        <f t="shared" si="8"/>
        <v>Questions - Fragen</v>
      </c>
      <c r="B374" t="str">
        <f>pos('Questions - Fragen'!F40)</f>
        <v>$F$40</v>
      </c>
      <c r="C374" t="str">
        <f t="shared" ca="1" si="9"/>
        <v/>
      </c>
    </row>
    <row r="375" spans="1:3">
      <c r="A375" s="335" t="str">
        <f t="shared" si="8"/>
        <v>Questions - Fragen</v>
      </c>
      <c r="B375" t="str">
        <f>pos('Questions - Fragen'!F41)</f>
        <v>$F$41</v>
      </c>
      <c r="C375" t="str">
        <f t="shared" ca="1" si="9"/>
        <v/>
      </c>
    </row>
    <row r="376" spans="1:3">
      <c r="A376" s="335" t="str">
        <f t="shared" si="8"/>
        <v>Questions - Fragen</v>
      </c>
      <c r="B376" t="str">
        <f>pos('Questions - Fragen'!F43)</f>
        <v>$F$43</v>
      </c>
      <c r="C376" t="str">
        <f t="shared" ca="1" si="9"/>
        <v/>
      </c>
    </row>
    <row r="377" spans="1:3">
      <c r="A377" s="335" t="str">
        <f t="shared" si="8"/>
        <v>Questions - Fragen</v>
      </c>
      <c r="B377" t="str">
        <f>pos('Questions - Fragen'!F44)</f>
        <v>$F$44</v>
      </c>
      <c r="C377" t="str">
        <f t="shared" ca="1" si="9"/>
        <v/>
      </c>
    </row>
    <row r="378" spans="1:3">
      <c r="A378" s="335" t="str">
        <f t="shared" si="8"/>
        <v>Questions - Fragen</v>
      </c>
      <c r="B378" t="str">
        <f>pos('Questions - Fragen'!F46)</f>
        <v>$F$46</v>
      </c>
      <c r="C378" t="str">
        <f t="shared" ca="1" si="9"/>
        <v/>
      </c>
    </row>
    <row r="379" spans="1:3">
      <c r="A379" s="335" t="str">
        <f t="shared" si="8"/>
        <v>Questions - Fragen</v>
      </c>
      <c r="B379" t="str">
        <f>pos('Questions - Fragen'!F47)</f>
        <v>$F$47</v>
      </c>
      <c r="C379" t="str">
        <f t="shared" ca="1" si="9"/>
        <v/>
      </c>
    </row>
    <row r="380" spans="1:3">
      <c r="A380" s="335" t="str">
        <f t="shared" si="8"/>
        <v>Questions - Fragen</v>
      </c>
      <c r="B380" t="str">
        <f>pos('Questions - Fragen'!F49)</f>
        <v>$F$49</v>
      </c>
      <c r="C380" t="str">
        <f t="shared" ca="1" si="9"/>
        <v/>
      </c>
    </row>
    <row r="381" spans="1:3">
      <c r="A381" s="335" t="str">
        <f t="shared" si="8"/>
        <v>Questions - Fragen</v>
      </c>
      <c r="B381" t="str">
        <f>pos('Questions - Fragen'!F50)</f>
        <v>$F$50</v>
      </c>
      <c r="C381" t="str">
        <f t="shared" ca="1" si="9"/>
        <v/>
      </c>
    </row>
    <row r="382" spans="1:3">
      <c r="A382" s="335" t="str">
        <f t="shared" si="8"/>
        <v>Questions - Fragen</v>
      </c>
      <c r="B382" t="str">
        <f>pos('Questions - Fragen'!F52)</f>
        <v>$F$52</v>
      </c>
      <c r="C382" t="str">
        <f t="shared" ca="1" si="9"/>
        <v/>
      </c>
    </row>
    <row r="383" spans="1:3">
      <c r="A383" s="335" t="str">
        <f t="shared" si="8"/>
        <v>Questions - Fragen</v>
      </c>
      <c r="B383" t="str">
        <f>pos('Questions - Fragen'!F53)</f>
        <v>$F$53</v>
      </c>
      <c r="C383" t="str">
        <f t="shared" ca="1" si="9"/>
        <v/>
      </c>
    </row>
    <row r="384" spans="1:3">
      <c r="A384" s="335" t="str">
        <f t="shared" si="8"/>
        <v>Questions - Fragen</v>
      </c>
      <c r="B384" t="str">
        <f>pos('Questions - Fragen'!F55)</f>
        <v>$F$55</v>
      </c>
      <c r="C384" t="str">
        <f t="shared" ca="1" si="9"/>
        <v/>
      </c>
    </row>
    <row r="385" spans="1:3">
      <c r="A385" s="335" t="str">
        <f t="shared" si="8"/>
        <v>Questions - Fragen</v>
      </c>
      <c r="B385" t="str">
        <f>pos('Questions - Fragen'!F57)</f>
        <v>$F$57</v>
      </c>
      <c r="C385" t="str">
        <f t="shared" ca="1" si="9"/>
        <v/>
      </c>
    </row>
    <row r="386" spans="1:3">
      <c r="A386" s="335" t="str">
        <f t="shared" si="8"/>
        <v>Questions - Fragen</v>
      </c>
      <c r="B386" t="str">
        <f>pos('Questions - Fragen'!F59)</f>
        <v>$F$59</v>
      </c>
      <c r="C386" t="str">
        <f t="shared" ca="1" si="9"/>
        <v/>
      </c>
    </row>
    <row r="387" spans="1:3">
      <c r="A387" s="335" t="str">
        <f t="shared" si="8"/>
        <v>Questions - Fragen</v>
      </c>
      <c r="B387" t="str">
        <f>pos('Questions - Fragen'!F60)</f>
        <v>$F$60</v>
      </c>
      <c r="C387" t="str">
        <f t="shared" ca="1" si="9"/>
        <v/>
      </c>
    </row>
    <row r="388" spans="1:3">
      <c r="A388" s="335" t="str">
        <f t="shared" si="8"/>
        <v>Questions - Fragen</v>
      </c>
      <c r="B388" t="str">
        <f>pos('Questions - Fragen'!F62)</f>
        <v>$F$62</v>
      </c>
      <c r="C388" t="str">
        <f t="shared" ca="1" si="9"/>
        <v/>
      </c>
    </row>
    <row r="389" spans="1:3">
      <c r="A389" s="335" t="str">
        <f t="shared" si="8"/>
        <v>Questions - Fragen</v>
      </c>
      <c r="B389" t="str">
        <f>pos('Questions - Fragen'!F63)</f>
        <v>$F$63</v>
      </c>
      <c r="C389" t="str">
        <f t="shared" ca="1" si="9"/>
        <v/>
      </c>
    </row>
    <row r="390" spans="1:3">
      <c r="A390" s="335" t="str">
        <f t="shared" si="8"/>
        <v>Questions - Fragen</v>
      </c>
      <c r="B390" t="str">
        <f>pos('Questions - Fragen'!F64)</f>
        <v>$F$64</v>
      </c>
      <c r="C390" t="str">
        <f t="shared" ca="1" si="9"/>
        <v/>
      </c>
    </row>
    <row r="391" spans="1:3">
      <c r="A391" s="335" t="str">
        <f t="shared" si="8"/>
        <v>Questions - Fragen</v>
      </c>
      <c r="B391" t="str">
        <f>pos('Questions - Fragen'!F65)</f>
        <v>$F$65</v>
      </c>
      <c r="C391" t="str">
        <f t="shared" ca="1" si="9"/>
        <v/>
      </c>
    </row>
    <row r="392" spans="1:3">
      <c r="A392" s="335" t="str">
        <f t="shared" si="8"/>
        <v>Questions - Fragen</v>
      </c>
      <c r="B392" t="str">
        <f>pos('Questions - Fragen'!F66)</f>
        <v>$F$66</v>
      </c>
      <c r="C392" t="str">
        <f t="shared" ca="1" si="9"/>
        <v/>
      </c>
    </row>
    <row r="393" spans="1:3">
      <c r="A393" s="335" t="str">
        <f t="shared" si="8"/>
        <v>Questions - Fragen</v>
      </c>
      <c r="B393" t="str">
        <f>pos('Questions - Fragen'!F67)</f>
        <v>$F$67</v>
      </c>
      <c r="C393" t="str">
        <f t="shared" ca="1" si="9"/>
        <v/>
      </c>
    </row>
    <row r="394" spans="1:3">
      <c r="A394" s="335" t="str">
        <f t="shared" si="8"/>
        <v>Questions - Fragen</v>
      </c>
      <c r="B394" t="str">
        <f>pos('Questions - Fragen'!F68)</f>
        <v>$F$68</v>
      </c>
      <c r="C394" t="str">
        <f t="shared" ca="1" si="9"/>
        <v/>
      </c>
    </row>
    <row r="395" spans="1:3">
      <c r="A395" s="335" t="str">
        <f t="shared" si="8"/>
        <v>Questions - Fragen</v>
      </c>
      <c r="B395" t="str">
        <f>pos('Questions - Fragen'!F72)</f>
        <v>$F$72</v>
      </c>
      <c r="C395" t="str">
        <f t="shared" ca="1" si="9"/>
        <v/>
      </c>
    </row>
    <row r="396" spans="1:3">
      <c r="A396" s="335" t="str">
        <f t="shared" si="8"/>
        <v>Questions - Fragen</v>
      </c>
      <c r="B396" t="str">
        <f>pos('Questions - Fragen'!F73)</f>
        <v>$F$73</v>
      </c>
      <c r="C396" t="str">
        <f t="shared" ca="1" si="9"/>
        <v/>
      </c>
    </row>
    <row r="397" spans="1:3">
      <c r="A397" s="335" t="str">
        <f t="shared" si="8"/>
        <v>Questions - Fragen</v>
      </c>
      <c r="B397" t="str">
        <f>pos('Questions - Fragen'!F74)</f>
        <v>$F$74</v>
      </c>
      <c r="C397" t="str">
        <f t="shared" ca="1" si="9"/>
        <v/>
      </c>
    </row>
    <row r="398" spans="1:3">
      <c r="A398" s="335" t="str">
        <f t="shared" si="8"/>
        <v>Questions - Fragen</v>
      </c>
      <c r="B398" t="str">
        <f>pos('Questions - Fragen'!F83)</f>
        <v>$F$83</v>
      </c>
      <c r="C398" t="str">
        <f t="shared" ca="1" si="9"/>
        <v/>
      </c>
    </row>
    <row r="399" spans="1:3">
      <c r="A399" s="335" t="str">
        <f t="shared" si="8"/>
        <v>Questions - Fragen</v>
      </c>
      <c r="B399" t="str">
        <f>pos('Questions - Fragen'!F84)</f>
        <v>$F$84</v>
      </c>
      <c r="C399" t="str">
        <f t="shared" ca="1" si="9"/>
        <v/>
      </c>
    </row>
    <row r="400" spans="1:3">
      <c r="A400" s="335" t="str">
        <f t="shared" si="8"/>
        <v>Questions - Fragen</v>
      </c>
      <c r="B400" t="str">
        <f>pos('Questions - Fragen'!F85)</f>
        <v>$F$85</v>
      </c>
      <c r="C400" t="str">
        <f t="shared" ca="1" si="9"/>
        <v/>
      </c>
    </row>
    <row r="401" spans="1:3">
      <c r="A401" s="335" t="str">
        <f t="shared" si="8"/>
        <v>Questions - Fragen</v>
      </c>
      <c r="B401" t="str">
        <f>pos('Questions - Fragen'!F94)</f>
        <v>$F$94</v>
      </c>
      <c r="C401" t="str">
        <f t="shared" ca="1" si="9"/>
        <v/>
      </c>
    </row>
    <row r="402" spans="1:3">
      <c r="A402" s="335" t="str">
        <f t="shared" ref="A402:A465" si="10">$A$115</f>
        <v>Questions - Fragen</v>
      </c>
      <c r="B402" t="str">
        <f>pos('Questions - Fragen'!F95)</f>
        <v>$F$95</v>
      </c>
      <c r="C402" t="str">
        <f t="shared" ca="1" si="9"/>
        <v/>
      </c>
    </row>
    <row r="403" spans="1:3">
      <c r="A403" s="335" t="str">
        <f t="shared" si="10"/>
        <v>Questions - Fragen</v>
      </c>
      <c r="B403" t="str">
        <f>pos('Questions - Fragen'!F96)</f>
        <v>$F$96</v>
      </c>
      <c r="C403" t="str">
        <f t="shared" ca="1" si="9"/>
        <v/>
      </c>
    </row>
    <row r="404" spans="1:3">
      <c r="A404" s="335" t="str">
        <f t="shared" si="10"/>
        <v>Questions - Fragen</v>
      </c>
      <c r="B404" t="str">
        <f>pos('Questions - Fragen'!F105)</f>
        <v>$F$105</v>
      </c>
      <c r="C404" t="str">
        <f t="shared" ca="1" si="9"/>
        <v/>
      </c>
    </row>
    <row r="405" spans="1:3">
      <c r="A405" s="335" t="str">
        <f t="shared" si="10"/>
        <v>Questions - Fragen</v>
      </c>
      <c r="B405" t="str">
        <f>pos('Questions - Fragen'!F106)</f>
        <v>$F$106</v>
      </c>
      <c r="C405" t="str">
        <f t="shared" ca="1" si="9"/>
        <v/>
      </c>
    </row>
    <row r="406" spans="1:3">
      <c r="A406" s="335" t="str">
        <f t="shared" si="10"/>
        <v>Questions - Fragen</v>
      </c>
      <c r="B406" t="str">
        <f>pos('Questions - Fragen'!F107)</f>
        <v>$F$107</v>
      </c>
      <c r="C406" t="str">
        <f t="shared" ca="1" si="9"/>
        <v/>
      </c>
    </row>
    <row r="407" spans="1:3">
      <c r="A407" s="335" t="str">
        <f t="shared" si="10"/>
        <v>Questions - Fragen</v>
      </c>
      <c r="B407" t="str">
        <f>pos('Questions - Fragen'!F116)</f>
        <v>$F$116</v>
      </c>
      <c r="C407" t="str">
        <f t="shared" ca="1" si="9"/>
        <v/>
      </c>
    </row>
    <row r="408" spans="1:3">
      <c r="A408" s="335" t="str">
        <f t="shared" si="10"/>
        <v>Questions - Fragen</v>
      </c>
      <c r="B408" t="str">
        <f>pos('Questions - Fragen'!F117)</f>
        <v>$F$117</v>
      </c>
      <c r="C408" t="str">
        <f t="shared" ca="1" si="9"/>
        <v/>
      </c>
    </row>
    <row r="409" spans="1:3">
      <c r="A409" s="335" t="str">
        <f t="shared" si="10"/>
        <v>Questions - Fragen</v>
      </c>
      <c r="B409" t="str">
        <f>pos('Questions - Fragen'!F118)</f>
        <v>$F$118</v>
      </c>
      <c r="C409" t="str">
        <f t="shared" ca="1" si="9"/>
        <v/>
      </c>
    </row>
    <row r="410" spans="1:3">
      <c r="A410" s="335" t="str">
        <f t="shared" si="10"/>
        <v>Questions - Fragen</v>
      </c>
      <c r="B410" t="str">
        <f>pos('Questions - Fragen'!F128)</f>
        <v>$F$128</v>
      </c>
      <c r="C410" t="str">
        <f t="shared" ca="1" si="9"/>
        <v/>
      </c>
    </row>
    <row r="411" spans="1:3">
      <c r="A411" s="335" t="str">
        <f t="shared" si="10"/>
        <v>Questions - Fragen</v>
      </c>
      <c r="B411" t="str">
        <f>pos('Questions - Fragen'!F129)</f>
        <v>$F$129</v>
      </c>
      <c r="C411" t="str">
        <f t="shared" ca="1" si="9"/>
        <v/>
      </c>
    </row>
    <row r="412" spans="1:3">
      <c r="A412" s="335" t="str">
        <f t="shared" si="10"/>
        <v>Questions - Fragen</v>
      </c>
      <c r="B412" t="str">
        <f>pos('Questions - Fragen'!F130)</f>
        <v>$F$130</v>
      </c>
      <c r="C412" t="str">
        <f t="shared" ca="1" si="9"/>
        <v/>
      </c>
    </row>
    <row r="413" spans="1:3">
      <c r="A413" s="335" t="str">
        <f t="shared" si="10"/>
        <v>Questions - Fragen</v>
      </c>
      <c r="B413" t="str">
        <f>pos('Questions - Fragen'!F139)</f>
        <v>$F$139</v>
      </c>
      <c r="C413" t="str">
        <f t="shared" ca="1" si="9"/>
        <v/>
      </c>
    </row>
    <row r="414" spans="1:3">
      <c r="A414" s="335" t="str">
        <f t="shared" si="10"/>
        <v>Questions - Fragen</v>
      </c>
      <c r="B414" t="str">
        <f>pos('Questions - Fragen'!F140)</f>
        <v>$F$140</v>
      </c>
      <c r="C414" t="str">
        <f t="shared" ca="1" si="9"/>
        <v/>
      </c>
    </row>
    <row r="415" spans="1:3">
      <c r="A415" s="335" t="str">
        <f t="shared" si="10"/>
        <v>Questions - Fragen</v>
      </c>
      <c r="B415" t="str">
        <f>pos('Questions - Fragen'!F141)</f>
        <v>$F$141</v>
      </c>
      <c r="C415" t="str">
        <f t="shared" ca="1" si="9"/>
        <v/>
      </c>
    </row>
    <row r="416" spans="1:3">
      <c r="A416" s="335" t="str">
        <f t="shared" si="10"/>
        <v>Questions - Fragen</v>
      </c>
      <c r="B416" t="str">
        <f>pos('Questions - Fragen'!F150)</f>
        <v>$F$150</v>
      </c>
      <c r="C416" t="str">
        <f t="shared" ca="1" si="9"/>
        <v/>
      </c>
    </row>
    <row r="417" spans="1:3">
      <c r="A417" s="335" t="str">
        <f t="shared" si="10"/>
        <v>Questions - Fragen</v>
      </c>
      <c r="B417" t="str">
        <f>pos('Questions - Fragen'!F151)</f>
        <v>$F$151</v>
      </c>
      <c r="C417" t="str">
        <f t="shared" ca="1" si="9"/>
        <v/>
      </c>
    </row>
    <row r="418" spans="1:3">
      <c r="A418" s="335" t="str">
        <f t="shared" si="10"/>
        <v>Questions - Fragen</v>
      </c>
      <c r="B418" t="str">
        <f>pos('Questions - Fragen'!F152)</f>
        <v>$F$152</v>
      </c>
      <c r="C418" t="str">
        <f t="shared" ca="1" si="9"/>
        <v/>
      </c>
    </row>
    <row r="419" spans="1:3">
      <c r="A419" s="335" t="str">
        <f t="shared" si="10"/>
        <v>Questions - Fragen</v>
      </c>
      <c r="B419" t="str">
        <f>pos('Questions - Fragen'!F161)</f>
        <v>$F$161</v>
      </c>
      <c r="C419" t="str">
        <f t="shared" ca="1" si="9"/>
        <v/>
      </c>
    </row>
    <row r="420" spans="1:3">
      <c r="A420" s="335" t="str">
        <f t="shared" si="10"/>
        <v>Questions - Fragen</v>
      </c>
      <c r="B420" t="str">
        <f>pos('Questions - Fragen'!F162)</f>
        <v>$F$162</v>
      </c>
      <c r="C420" t="str">
        <f t="shared" ca="1" si="9"/>
        <v/>
      </c>
    </row>
    <row r="421" spans="1:3">
      <c r="A421" s="335" t="str">
        <f t="shared" si="10"/>
        <v>Questions - Fragen</v>
      </c>
      <c r="B421" t="str">
        <f>pos('Questions - Fragen'!F163)</f>
        <v>$F$163</v>
      </c>
      <c r="C421" t="str">
        <f t="shared" ca="1" si="9"/>
        <v/>
      </c>
    </row>
    <row r="422" spans="1:3">
      <c r="A422" s="335" t="str">
        <f t="shared" si="10"/>
        <v>Questions - Fragen</v>
      </c>
      <c r="B422" t="str">
        <f>pos('Questions - Fragen'!F172)</f>
        <v>$F$172</v>
      </c>
      <c r="C422" t="str">
        <f t="shared" ca="1" si="9"/>
        <v/>
      </c>
    </row>
    <row r="423" spans="1:3">
      <c r="A423" s="335" t="str">
        <f t="shared" si="10"/>
        <v>Questions - Fragen</v>
      </c>
      <c r="B423" t="str">
        <f>pos('Questions - Fragen'!F173)</f>
        <v>$F$173</v>
      </c>
      <c r="C423" t="str">
        <f t="shared" ca="1" si="9"/>
        <v/>
      </c>
    </row>
    <row r="424" spans="1:3">
      <c r="A424" s="335" t="str">
        <f t="shared" si="10"/>
        <v>Questions - Fragen</v>
      </c>
      <c r="B424" t="str">
        <f>pos('Questions - Fragen'!F174)</f>
        <v>$F$174</v>
      </c>
      <c r="C424" t="str">
        <f t="shared" ca="1" si="9"/>
        <v/>
      </c>
    </row>
    <row r="425" spans="1:3">
      <c r="A425" s="335" t="str">
        <f t="shared" si="10"/>
        <v>Questions - Fragen</v>
      </c>
      <c r="B425" t="str">
        <f>pos('Questions - Fragen'!F184)</f>
        <v>$F$184</v>
      </c>
      <c r="C425" t="str">
        <f t="shared" ca="1" si="9"/>
        <v/>
      </c>
    </row>
    <row r="426" spans="1:3">
      <c r="A426" s="335" t="str">
        <f t="shared" si="10"/>
        <v>Questions - Fragen</v>
      </c>
      <c r="B426" t="str">
        <f>pos('Questions - Fragen'!F185)</f>
        <v>$F$185</v>
      </c>
      <c r="C426" t="str">
        <f t="shared" ca="1" si="9"/>
        <v/>
      </c>
    </row>
    <row r="427" spans="1:3">
      <c r="A427" s="335" t="str">
        <f t="shared" si="10"/>
        <v>Questions - Fragen</v>
      </c>
      <c r="B427" t="str">
        <f>pos('Questions - Fragen'!F186)</f>
        <v>$F$186</v>
      </c>
      <c r="C427" t="str">
        <f t="shared" ca="1" si="9"/>
        <v/>
      </c>
    </row>
    <row r="428" spans="1:3">
      <c r="A428" s="335" t="str">
        <f t="shared" si="10"/>
        <v>Questions - Fragen</v>
      </c>
      <c r="B428" t="str">
        <f>pos('Questions - Fragen'!F195)</f>
        <v>$F$195</v>
      </c>
      <c r="C428" t="str">
        <f t="shared" ca="1" si="9"/>
        <v/>
      </c>
    </row>
    <row r="429" spans="1:3">
      <c r="A429" s="335" t="str">
        <f t="shared" si="10"/>
        <v>Questions - Fragen</v>
      </c>
      <c r="B429" t="str">
        <f>pos('Questions - Fragen'!F196)</f>
        <v>$F$196</v>
      </c>
      <c r="C429" t="str">
        <f t="shared" ca="1" si="9"/>
        <v/>
      </c>
    </row>
    <row r="430" spans="1:3">
      <c r="A430" s="335" t="str">
        <f t="shared" si="10"/>
        <v>Questions - Fragen</v>
      </c>
      <c r="B430" t="str">
        <f>pos('Questions - Fragen'!F197)</f>
        <v>$F$197</v>
      </c>
      <c r="C430" t="str">
        <f t="shared" ca="1" si="9"/>
        <v/>
      </c>
    </row>
    <row r="431" spans="1:3">
      <c r="A431" s="335" t="str">
        <f t="shared" si="10"/>
        <v>Questions - Fragen</v>
      </c>
      <c r="B431" t="str">
        <f>pos('Questions - Fragen'!F206)</f>
        <v>$F$206</v>
      </c>
      <c r="C431" t="str">
        <f t="shared" ca="1" si="9"/>
        <v/>
      </c>
    </row>
    <row r="432" spans="1:3">
      <c r="A432" s="335" t="str">
        <f t="shared" si="10"/>
        <v>Questions - Fragen</v>
      </c>
      <c r="B432" t="str">
        <f>pos('Questions - Fragen'!F207)</f>
        <v>$F$207</v>
      </c>
      <c r="C432" t="str">
        <f t="shared" ca="1" si="9"/>
        <v/>
      </c>
    </row>
    <row r="433" spans="1:3">
      <c r="A433" s="335" t="str">
        <f t="shared" si="10"/>
        <v>Questions - Fragen</v>
      </c>
      <c r="B433" t="str">
        <f>pos('Questions - Fragen'!F208)</f>
        <v>$F$208</v>
      </c>
      <c r="C433" t="str">
        <f t="shared" ca="1" si="9"/>
        <v/>
      </c>
    </row>
    <row r="434" spans="1:3">
      <c r="A434" s="335" t="str">
        <f t="shared" si="10"/>
        <v>Questions - Fragen</v>
      </c>
      <c r="B434" t="str">
        <f>pos('Questions - Fragen'!F218)</f>
        <v>$F$218</v>
      </c>
      <c r="C434" t="str">
        <f t="shared" ca="1" si="9"/>
        <v/>
      </c>
    </row>
    <row r="435" spans="1:3">
      <c r="A435" s="335" t="str">
        <f t="shared" si="10"/>
        <v>Questions - Fragen</v>
      </c>
      <c r="B435" t="str">
        <f>pos('Questions - Fragen'!F219)</f>
        <v>$F$219</v>
      </c>
      <c r="C435" t="str">
        <f t="shared" ca="1" si="9"/>
        <v/>
      </c>
    </row>
    <row r="436" spans="1:3">
      <c r="A436" s="335" t="str">
        <f t="shared" si="10"/>
        <v>Questions - Fragen</v>
      </c>
      <c r="B436" t="str">
        <f>pos('Questions - Fragen'!F220)</f>
        <v>$F$220</v>
      </c>
      <c r="C436" t="str">
        <f t="shared" ca="1" si="9"/>
        <v/>
      </c>
    </row>
    <row r="437" spans="1:3">
      <c r="A437" s="335" t="str">
        <f t="shared" si="10"/>
        <v>Questions - Fragen</v>
      </c>
      <c r="B437" t="str">
        <f>pos('Questions - Fragen'!F229)</f>
        <v>$F$229</v>
      </c>
      <c r="C437" t="str">
        <f t="shared" ca="1" si="9"/>
        <v>X</v>
      </c>
    </row>
    <row r="438" spans="1:3">
      <c r="A438" s="335" t="str">
        <f t="shared" si="10"/>
        <v>Questions - Fragen</v>
      </c>
      <c r="B438" t="str">
        <f>pos('Questions - Fragen'!F230)</f>
        <v>$F$230</v>
      </c>
      <c r="C438" t="str">
        <f t="shared" ca="1" si="9"/>
        <v/>
      </c>
    </row>
    <row r="439" spans="1:3">
      <c r="A439" s="335" t="str">
        <f t="shared" si="10"/>
        <v>Questions - Fragen</v>
      </c>
      <c r="B439" t="str">
        <f>pos('Questions - Fragen'!F231)</f>
        <v>$F$231</v>
      </c>
      <c r="C439" t="str">
        <f t="shared" ca="1" si="9"/>
        <v/>
      </c>
    </row>
    <row r="440" spans="1:3">
      <c r="A440" s="335" t="str">
        <f t="shared" si="10"/>
        <v>Questions - Fragen</v>
      </c>
      <c r="B440" t="str">
        <f>pos('Questions - Fragen'!F240)</f>
        <v>$F$240</v>
      </c>
      <c r="C440" t="str">
        <f t="shared" ca="1" si="9"/>
        <v/>
      </c>
    </row>
    <row r="441" spans="1:3">
      <c r="A441" s="335" t="str">
        <f t="shared" si="10"/>
        <v>Questions - Fragen</v>
      </c>
      <c r="B441" t="str">
        <f>pos('Questions - Fragen'!F241)</f>
        <v>$F$241</v>
      </c>
      <c r="C441" t="str">
        <f t="shared" ca="1" si="9"/>
        <v/>
      </c>
    </row>
    <row r="442" spans="1:3">
      <c r="A442" s="335" t="str">
        <f t="shared" si="10"/>
        <v>Questions - Fragen</v>
      </c>
      <c r="B442" t="str">
        <f>pos('Questions - Fragen'!F242)</f>
        <v>$F$242</v>
      </c>
      <c r="C442" t="str">
        <f t="shared" ca="1" si="9"/>
        <v/>
      </c>
    </row>
    <row r="443" spans="1:3">
      <c r="A443" s="335" t="str">
        <f t="shared" si="10"/>
        <v>Questions - Fragen</v>
      </c>
      <c r="B443" t="str">
        <f>pos('Questions - Fragen'!F251)</f>
        <v>$F$251</v>
      </c>
      <c r="C443" t="str">
        <f t="shared" ca="1" si="9"/>
        <v/>
      </c>
    </row>
    <row r="444" spans="1:3">
      <c r="A444" s="335" t="str">
        <f t="shared" si="10"/>
        <v>Questions - Fragen</v>
      </c>
      <c r="B444" t="str">
        <f>pos('Questions - Fragen'!F252)</f>
        <v>$F$252</v>
      </c>
      <c r="C444" t="str">
        <f t="shared" ca="1" si="9"/>
        <v/>
      </c>
    </row>
    <row r="445" spans="1:3">
      <c r="A445" s="335" t="str">
        <f t="shared" si="10"/>
        <v>Questions - Fragen</v>
      </c>
      <c r="B445" t="str">
        <f>pos('Questions - Fragen'!F253)</f>
        <v>$F$253</v>
      </c>
      <c r="C445" t="str">
        <f t="shared" ca="1" si="9"/>
        <v/>
      </c>
    </row>
    <row r="446" spans="1:3">
      <c r="A446" s="335" t="str">
        <f t="shared" si="10"/>
        <v>Questions - Fragen</v>
      </c>
      <c r="B446" t="str">
        <f>pos('Questions - Fragen'!F262)</f>
        <v>$F$262</v>
      </c>
      <c r="C446" t="str">
        <f t="shared" ca="1" si="9"/>
        <v/>
      </c>
    </row>
    <row r="447" spans="1:3">
      <c r="A447" s="335" t="str">
        <f t="shared" si="10"/>
        <v>Questions - Fragen</v>
      </c>
      <c r="B447" t="str">
        <f>pos('Questions - Fragen'!F263)</f>
        <v>$F$263</v>
      </c>
      <c r="C447" t="str">
        <f t="shared" ca="1" si="9"/>
        <v/>
      </c>
    </row>
    <row r="448" spans="1:3">
      <c r="A448" s="335" t="str">
        <f t="shared" si="10"/>
        <v>Questions - Fragen</v>
      </c>
      <c r="B448" t="str">
        <f>pos('Questions - Fragen'!F264)</f>
        <v>$F$264</v>
      </c>
      <c r="C448" t="str">
        <f t="shared" ca="1" si="9"/>
        <v/>
      </c>
    </row>
    <row r="449" spans="1:3">
      <c r="A449" s="335" t="str">
        <f t="shared" si="10"/>
        <v>Questions - Fragen</v>
      </c>
      <c r="B449" t="str">
        <f>pos('Questions - Fragen'!F274)</f>
        <v>$F$274</v>
      </c>
      <c r="C449" t="str">
        <f t="shared" ca="1" si="9"/>
        <v/>
      </c>
    </row>
    <row r="450" spans="1:3">
      <c r="A450" s="335" t="str">
        <f t="shared" si="10"/>
        <v>Questions - Fragen</v>
      </c>
      <c r="B450" t="str">
        <f>pos('Questions - Fragen'!F275)</f>
        <v>$F$275</v>
      </c>
      <c r="C450" t="str">
        <f t="shared" ca="1" si="9"/>
        <v/>
      </c>
    </row>
    <row r="451" spans="1:3">
      <c r="A451" s="335" t="str">
        <f t="shared" si="10"/>
        <v>Questions - Fragen</v>
      </c>
      <c r="B451" t="str">
        <f>pos('Questions - Fragen'!F276)</f>
        <v>$F$276</v>
      </c>
      <c r="C451" t="str">
        <f t="shared" ca="1" si="9"/>
        <v/>
      </c>
    </row>
    <row r="452" spans="1:3">
      <c r="A452" s="335" t="str">
        <f t="shared" si="10"/>
        <v>Questions - Fragen</v>
      </c>
      <c r="B452" t="str">
        <f>pos('Questions - Fragen'!F285)</f>
        <v>$F$285</v>
      </c>
      <c r="C452" t="str">
        <f t="shared" ca="1" si="9"/>
        <v/>
      </c>
    </row>
    <row r="453" spans="1:3">
      <c r="A453" s="335" t="str">
        <f t="shared" si="10"/>
        <v>Questions - Fragen</v>
      </c>
      <c r="B453" t="str">
        <f>pos('Questions - Fragen'!F286)</f>
        <v>$F$286</v>
      </c>
      <c r="C453" t="str">
        <f t="shared" ca="1" si="9"/>
        <v/>
      </c>
    </row>
    <row r="454" spans="1:3">
      <c r="A454" s="335" t="str">
        <f t="shared" si="10"/>
        <v>Questions - Fragen</v>
      </c>
      <c r="B454" t="str">
        <f>pos('Questions - Fragen'!F287)</f>
        <v>$F$287</v>
      </c>
      <c r="C454" t="str">
        <f t="shared" ca="1" si="9"/>
        <v/>
      </c>
    </row>
    <row r="455" spans="1:3">
      <c r="A455" s="335" t="str">
        <f t="shared" si="10"/>
        <v>Questions - Fragen</v>
      </c>
      <c r="B455" t="str">
        <f>pos('Questions - Fragen'!F296)</f>
        <v>$F$296</v>
      </c>
      <c r="C455" t="str">
        <f t="shared" ca="1" si="9"/>
        <v/>
      </c>
    </row>
    <row r="456" spans="1:3">
      <c r="A456" s="335" t="str">
        <f t="shared" si="10"/>
        <v>Questions - Fragen</v>
      </c>
      <c r="B456" t="str">
        <f>pos('Questions - Fragen'!F297)</f>
        <v>$F$297</v>
      </c>
      <c r="C456" t="str">
        <f t="shared" ca="1" si="9"/>
        <v/>
      </c>
    </row>
    <row r="457" spans="1:3">
      <c r="A457" s="335" t="str">
        <f t="shared" si="10"/>
        <v>Questions - Fragen</v>
      </c>
      <c r="B457" t="str">
        <f>pos('Questions - Fragen'!F298)</f>
        <v>$F$298</v>
      </c>
      <c r="C457" t="str">
        <f t="shared" ca="1" si="9"/>
        <v/>
      </c>
    </row>
    <row r="458" spans="1:3">
      <c r="A458" s="335" t="str">
        <f t="shared" si="10"/>
        <v>Questions - Fragen</v>
      </c>
      <c r="B458" t="str">
        <f>pos('Questions - Fragen'!F307)</f>
        <v>$F$307</v>
      </c>
      <c r="C458" t="str">
        <f t="shared" ca="1" si="9"/>
        <v/>
      </c>
    </row>
    <row r="459" spans="1:3">
      <c r="A459" s="335" t="str">
        <f t="shared" si="10"/>
        <v>Questions - Fragen</v>
      </c>
      <c r="B459" t="str">
        <f>pos('Questions - Fragen'!F308)</f>
        <v>$F$308</v>
      </c>
      <c r="C459" t="str">
        <f t="shared" ca="1" si="9"/>
        <v/>
      </c>
    </row>
    <row r="460" spans="1:3">
      <c r="A460" s="335" t="str">
        <f t="shared" si="10"/>
        <v>Questions - Fragen</v>
      </c>
      <c r="B460" t="str">
        <f>pos('Questions - Fragen'!F309)</f>
        <v>$F$309</v>
      </c>
      <c r="C460" t="str">
        <f t="shared" ca="1" si="9"/>
        <v/>
      </c>
    </row>
    <row r="461" spans="1:3">
      <c r="A461" s="335" t="str">
        <f t="shared" si="10"/>
        <v>Questions - Fragen</v>
      </c>
      <c r="B461" t="str">
        <f>pos('Questions - Fragen'!F319)</f>
        <v>$F$319</v>
      </c>
      <c r="C461" t="str">
        <f t="shared" ca="1" si="9"/>
        <v/>
      </c>
    </row>
    <row r="462" spans="1:3">
      <c r="A462" s="335" t="str">
        <f t="shared" si="10"/>
        <v>Questions - Fragen</v>
      </c>
      <c r="B462" t="str">
        <f>pos('Questions - Fragen'!F320)</f>
        <v>$F$320</v>
      </c>
      <c r="C462" t="str">
        <f t="shared" ca="1" si="9"/>
        <v/>
      </c>
    </row>
    <row r="463" spans="1:3">
      <c r="A463" s="335" t="str">
        <f t="shared" si="10"/>
        <v>Questions - Fragen</v>
      </c>
      <c r="B463" t="str">
        <f>pos('Questions - Fragen'!F321)</f>
        <v>$F$321</v>
      </c>
      <c r="C463" t="str">
        <f t="shared" ca="1" si="9"/>
        <v/>
      </c>
    </row>
    <row r="464" spans="1:3">
      <c r="A464" s="335" t="str">
        <f t="shared" si="10"/>
        <v>Questions - Fragen</v>
      </c>
      <c r="B464" t="str">
        <f>pos('Questions - Fragen'!F330)</f>
        <v>$F$330</v>
      </c>
      <c r="C464" t="str">
        <f t="shared" ca="1" si="9"/>
        <v/>
      </c>
    </row>
    <row r="465" spans="1:3">
      <c r="A465" s="335" t="str">
        <f t="shared" si="10"/>
        <v>Questions - Fragen</v>
      </c>
      <c r="B465" t="str">
        <f>pos('Questions - Fragen'!F331)</f>
        <v>$F$331</v>
      </c>
      <c r="C465" t="str">
        <f t="shared" ca="1" si="9"/>
        <v/>
      </c>
    </row>
    <row r="466" spans="1:3">
      <c r="A466" s="335" t="str">
        <f t="shared" ref="A466:A477" si="11">$A$115</f>
        <v>Questions - Fragen</v>
      </c>
      <c r="B466" t="str">
        <f>pos('Questions - Fragen'!F332)</f>
        <v>$F$332</v>
      </c>
      <c r="C466" t="str">
        <f t="shared" ca="1" si="9"/>
        <v/>
      </c>
    </row>
    <row r="467" spans="1:3">
      <c r="A467" s="335" t="str">
        <f t="shared" si="11"/>
        <v>Questions - Fragen</v>
      </c>
      <c r="B467" t="str">
        <f>pos('Questions - Fragen'!F341)</f>
        <v>$F$341</v>
      </c>
      <c r="C467" t="str">
        <f t="shared" ca="1" si="9"/>
        <v/>
      </c>
    </row>
    <row r="468" spans="1:3">
      <c r="A468" s="335" t="str">
        <f t="shared" si="11"/>
        <v>Questions - Fragen</v>
      </c>
      <c r="B468" t="str">
        <f>pos('Questions - Fragen'!F342)</f>
        <v>$F$342</v>
      </c>
      <c r="C468" t="str">
        <f t="shared" ca="1" si="9"/>
        <v/>
      </c>
    </row>
    <row r="469" spans="1:3">
      <c r="A469" s="335" t="str">
        <f t="shared" si="11"/>
        <v>Questions - Fragen</v>
      </c>
      <c r="B469" t="str">
        <f>pos('Questions - Fragen'!F343)</f>
        <v>$F$343</v>
      </c>
      <c r="C469" t="str">
        <f t="shared" ca="1" si="9"/>
        <v/>
      </c>
    </row>
    <row r="470" spans="1:3">
      <c r="A470" s="335" t="str">
        <f t="shared" si="11"/>
        <v>Questions - Fragen</v>
      </c>
      <c r="B470" t="str">
        <f>pos('Questions - Fragen'!F352)</f>
        <v>$F$352</v>
      </c>
      <c r="C470" t="str">
        <f t="shared" ca="1" si="9"/>
        <v/>
      </c>
    </row>
    <row r="471" spans="1:3">
      <c r="A471" s="335" t="str">
        <f t="shared" si="11"/>
        <v>Questions - Fragen</v>
      </c>
      <c r="B471" t="str">
        <f>pos('Questions - Fragen'!F353)</f>
        <v>$F$353</v>
      </c>
      <c r="C471" t="str">
        <f t="shared" ca="1" si="9"/>
        <v/>
      </c>
    </row>
    <row r="472" spans="1:3">
      <c r="A472" s="335" t="str">
        <f t="shared" si="11"/>
        <v>Questions - Fragen</v>
      </c>
      <c r="B472" t="str">
        <f>pos('Questions - Fragen'!F354)</f>
        <v>$F$354</v>
      </c>
      <c r="C472" t="str">
        <f t="shared" ca="1" si="9"/>
        <v/>
      </c>
    </row>
    <row r="473" spans="1:3">
      <c r="A473" s="335" t="str">
        <f t="shared" si="11"/>
        <v>Questions - Fragen</v>
      </c>
      <c r="B473" t="str">
        <f>pos('Questions - Fragen'!F363)</f>
        <v>$F$363</v>
      </c>
      <c r="C473" t="str">
        <f t="shared" ca="1" si="9"/>
        <v/>
      </c>
    </row>
    <row r="474" spans="1:3">
      <c r="A474" s="335" t="str">
        <f t="shared" si="11"/>
        <v>Questions - Fragen</v>
      </c>
      <c r="B474" t="str">
        <f>pos('Questions - Fragen'!F364)</f>
        <v>$F$364</v>
      </c>
      <c r="C474" t="str">
        <f t="shared" ca="1" si="9"/>
        <v/>
      </c>
    </row>
    <row r="475" spans="1:3">
      <c r="A475" s="335" t="str">
        <f t="shared" si="11"/>
        <v>Questions - Fragen</v>
      </c>
      <c r="B475" t="str">
        <f>pos('Questions - Fragen'!F365)</f>
        <v>$F$365</v>
      </c>
      <c r="C475" t="str">
        <f t="shared" ca="1" si="9"/>
        <v/>
      </c>
    </row>
    <row r="476" spans="1:3">
      <c r="A476" s="335" t="str">
        <f t="shared" si="11"/>
        <v>Questions - Fragen</v>
      </c>
      <c r="B476" t="str">
        <f>pos('Questions - Fragen'!F366)</f>
        <v>$F$366</v>
      </c>
      <c r="C476" t="str">
        <f t="shared" ca="1" si="9"/>
        <v/>
      </c>
    </row>
    <row r="477" spans="1:3">
      <c r="A477" s="335" t="str">
        <f t="shared" si="11"/>
        <v>Questions - Fragen</v>
      </c>
      <c r="B477" t="str">
        <f>pos('Questions - Fragen'!F367)</f>
        <v>$F$367</v>
      </c>
      <c r="C477" t="str">
        <f t="shared" ca="1" si="9"/>
        <v/>
      </c>
    </row>
    <row r="478" spans="1:3">
      <c r="A478" s="335" t="s">
        <v>496</v>
      </c>
      <c r="B478" t="s">
        <v>497</v>
      </c>
      <c r="C478" t="str">
        <f t="shared" ca="1" si="9"/>
        <v>All spare parts and incoming materials are stored in good condition and properly identified.
Checklists are completed before releasing the casting table.
Since operators do not have access to a computer at the plant, they fill out paper forms/checklists. The designated plant representative then updates the dashboard at the end of each shift or after preparation.</v>
      </c>
    </row>
    <row r="479" spans="1:3">
      <c r="A479" s="335" t="str">
        <f>$A$478</f>
        <v>Report-Bericht</v>
      </c>
      <c r="B479" t="s">
        <v>498</v>
      </c>
      <c r="C479" t="str">
        <f t="shared" ca="1" si="9"/>
        <v>None</v>
      </c>
    </row>
    <row r="480" spans="1:3">
      <c r="A480" s="335" t="str">
        <f t="shared" ref="A480:A481" si="12">$A$478</f>
        <v>Report-Bericht</v>
      </c>
      <c r="B480" t="s">
        <v>499</v>
      </c>
      <c r="C480" t="str">
        <f t="shared" ca="1" si="9"/>
        <v>The current system ensures that all materials are well maintained and clearly identified, and that operational procedures such as checklist completion are consistently followed before critical processes like casting table release. While operators rely on paper forms due to limited computer access, the end-of-shift updates by the plant representative help maintain accurate and up to date records, supporting overall operational efficiency and traceability.</v>
      </c>
    </row>
    <row r="481" spans="1:3">
      <c r="A481" s="335" t="str">
        <f t="shared" si="12"/>
        <v>Report-Bericht</v>
      </c>
      <c r="B481" t="s">
        <v>500</v>
      </c>
      <c r="C481" t="str">
        <f t="shared" ca="1" si="9"/>
        <v/>
      </c>
    </row>
    <row r="482" spans="1:3">
      <c r="A482" s="335" t="s">
        <v>501</v>
      </c>
      <c r="B482" t="str">
        <f>pos('Actionplan-Maßnahmenplan'!K12)</f>
        <v>$K$12</v>
      </c>
      <c r="C482" t="str">
        <f t="shared" ca="1" si="9"/>
        <v/>
      </c>
    </row>
    <row r="483" spans="1:3">
      <c r="A483" s="335" t="str">
        <f t="shared" ref="A483:A546" si="13">$A$482</f>
        <v>Actionplan-Maßnahmenplan</v>
      </c>
      <c r="B483" t="str">
        <f>pos('Actionplan-Maßnahmenplan'!K13)</f>
        <v>$K$13</v>
      </c>
      <c r="C483" t="str">
        <f t="shared" ca="1" si="9"/>
        <v/>
      </c>
    </row>
    <row r="484" spans="1:3">
      <c r="A484" s="335" t="str">
        <f t="shared" si="13"/>
        <v>Actionplan-Maßnahmenplan</v>
      </c>
      <c r="B484" t="str">
        <f>pos('Actionplan-Maßnahmenplan'!K14)</f>
        <v>$K$14</v>
      </c>
      <c r="C484" t="str">
        <f t="shared" ca="1" si="9"/>
        <v/>
      </c>
    </row>
    <row r="485" spans="1:3">
      <c r="A485" s="335" t="str">
        <f t="shared" si="13"/>
        <v>Actionplan-Maßnahmenplan</v>
      </c>
      <c r="B485" t="str">
        <f>pos('Actionplan-Maßnahmenplan'!K15)</f>
        <v>$K$15</v>
      </c>
      <c r="C485" t="str">
        <f t="shared" ca="1" si="9"/>
        <v/>
      </c>
    </row>
    <row r="486" spans="1:3">
      <c r="A486" s="335" t="str">
        <f t="shared" si="13"/>
        <v>Actionplan-Maßnahmenplan</v>
      </c>
      <c r="B486" t="str">
        <f>pos('Actionplan-Maßnahmenplan'!K16)</f>
        <v>$K$16</v>
      </c>
      <c r="C486" t="str">
        <f t="shared" ca="1" si="9"/>
        <v/>
      </c>
    </row>
    <row r="487" spans="1:3">
      <c r="A487" s="335" t="str">
        <f t="shared" si="13"/>
        <v>Actionplan-Maßnahmenplan</v>
      </c>
      <c r="B487" t="str">
        <f>pos('Actionplan-Maßnahmenplan'!K17)</f>
        <v>$K$17</v>
      </c>
      <c r="C487" t="str">
        <f t="shared" ca="1" si="9"/>
        <v/>
      </c>
    </row>
    <row r="488" spans="1:3">
      <c r="A488" s="335" t="str">
        <f t="shared" si="13"/>
        <v>Actionplan-Maßnahmenplan</v>
      </c>
      <c r="B488" t="str">
        <f>pos('Actionplan-Maßnahmenplan'!K18)</f>
        <v>$K$18</v>
      </c>
      <c r="C488" t="str">
        <f t="shared" ca="1" si="9"/>
        <v/>
      </c>
    </row>
    <row r="489" spans="1:3">
      <c r="A489" s="335" t="str">
        <f t="shared" si="13"/>
        <v>Actionplan-Maßnahmenplan</v>
      </c>
      <c r="B489" t="str">
        <f>pos('Actionplan-Maßnahmenplan'!K19)</f>
        <v>$K$19</v>
      </c>
      <c r="C489" t="str">
        <f t="shared" ca="1" si="9"/>
        <v/>
      </c>
    </row>
    <row r="490" spans="1:3">
      <c r="A490" s="335" t="str">
        <f t="shared" si="13"/>
        <v>Actionplan-Maßnahmenplan</v>
      </c>
      <c r="B490" t="str">
        <f>pos('Actionplan-Maßnahmenplan'!K20)</f>
        <v>$K$20</v>
      </c>
      <c r="C490" t="str">
        <f t="shared" ca="1" si="9"/>
        <v/>
      </c>
    </row>
    <row r="491" spans="1:3">
      <c r="A491" s="335" t="str">
        <f t="shared" si="13"/>
        <v>Actionplan-Maßnahmenplan</v>
      </c>
      <c r="B491" t="str">
        <f>pos('Actionplan-Maßnahmenplan'!K21)</f>
        <v>$K$21</v>
      </c>
      <c r="C491" t="str">
        <f t="shared" ca="1" si="9"/>
        <v/>
      </c>
    </row>
    <row r="492" spans="1:3">
      <c r="A492" s="335" t="str">
        <f t="shared" si="13"/>
        <v>Actionplan-Maßnahmenplan</v>
      </c>
      <c r="B492" t="str">
        <f>pos('Actionplan-Maßnahmenplan'!K22)</f>
        <v>$K$22</v>
      </c>
      <c r="C492" t="str">
        <f t="shared" ca="1" si="9"/>
        <v/>
      </c>
    </row>
    <row r="493" spans="1:3">
      <c r="A493" s="335" t="str">
        <f t="shared" si="13"/>
        <v>Actionplan-Maßnahmenplan</v>
      </c>
      <c r="B493" t="str">
        <f>pos('Actionplan-Maßnahmenplan'!K23)</f>
        <v>$K$23</v>
      </c>
      <c r="C493" t="str">
        <f t="shared" ca="1" si="9"/>
        <v/>
      </c>
    </row>
    <row r="494" spans="1:3">
      <c r="A494" s="335" t="str">
        <f t="shared" si="13"/>
        <v>Actionplan-Maßnahmenplan</v>
      </c>
      <c r="B494" t="str">
        <f>pos('Actionplan-Maßnahmenplan'!K24)</f>
        <v>$K$24</v>
      </c>
      <c r="C494" t="str">
        <f t="shared" ca="1" si="9"/>
        <v/>
      </c>
    </row>
    <row r="495" spans="1:3">
      <c r="A495" s="335" t="str">
        <f t="shared" si="13"/>
        <v>Actionplan-Maßnahmenplan</v>
      </c>
      <c r="B495" t="str">
        <f>pos('Actionplan-Maßnahmenplan'!K25)</f>
        <v>$K$25</v>
      </c>
      <c r="C495" t="str">
        <f t="shared" ca="1" si="9"/>
        <v/>
      </c>
    </row>
    <row r="496" spans="1:3">
      <c r="A496" s="335" t="str">
        <f t="shared" si="13"/>
        <v>Actionplan-Maßnahmenplan</v>
      </c>
      <c r="B496" t="str">
        <f>pos('Actionplan-Maßnahmenplan'!K26)</f>
        <v>$K$26</v>
      </c>
      <c r="C496" t="str">
        <f t="shared" ca="1" si="9"/>
        <v/>
      </c>
    </row>
    <row r="497" spans="1:3">
      <c r="A497" s="335" t="str">
        <f t="shared" si="13"/>
        <v>Actionplan-Maßnahmenplan</v>
      </c>
      <c r="B497" t="str">
        <f>pos('Actionplan-Maßnahmenplan'!K27)</f>
        <v>$K$27</v>
      </c>
      <c r="C497" t="str">
        <f t="shared" ca="1" si="9"/>
        <v/>
      </c>
    </row>
    <row r="498" spans="1:3">
      <c r="A498" s="335" t="str">
        <f t="shared" si="13"/>
        <v>Actionplan-Maßnahmenplan</v>
      </c>
      <c r="B498" t="str">
        <f>pos('Actionplan-Maßnahmenplan'!K28)</f>
        <v>$K$28</v>
      </c>
      <c r="C498" t="str">
        <f t="shared" ca="1" si="9"/>
        <v/>
      </c>
    </row>
    <row r="499" spans="1:3">
      <c r="A499" s="335" t="str">
        <f t="shared" si="13"/>
        <v>Actionplan-Maßnahmenplan</v>
      </c>
      <c r="B499" t="str">
        <f>pos('Actionplan-Maßnahmenplan'!K29)</f>
        <v>$K$29</v>
      </c>
      <c r="C499" t="str">
        <f t="shared" ca="1" si="9"/>
        <v/>
      </c>
    </row>
    <row r="500" spans="1:3">
      <c r="A500" s="335" t="str">
        <f t="shared" si="13"/>
        <v>Actionplan-Maßnahmenplan</v>
      </c>
      <c r="B500" t="str">
        <f>pos('Actionplan-Maßnahmenplan'!K30)</f>
        <v>$K$30</v>
      </c>
      <c r="C500" t="str">
        <f t="shared" ca="1" si="9"/>
        <v/>
      </c>
    </row>
    <row r="501" spans="1:3">
      <c r="A501" s="335" t="str">
        <f t="shared" si="13"/>
        <v>Actionplan-Maßnahmenplan</v>
      </c>
      <c r="B501" t="str">
        <f>pos('Actionplan-Maßnahmenplan'!K31)</f>
        <v>$K$31</v>
      </c>
      <c r="C501" t="str">
        <f t="shared" ca="1" si="9"/>
        <v/>
      </c>
    </row>
    <row r="502" spans="1:3">
      <c r="A502" s="335" t="str">
        <f t="shared" si="13"/>
        <v>Actionplan-Maßnahmenplan</v>
      </c>
      <c r="B502" t="str">
        <f>pos('Actionplan-Maßnahmenplan'!K32)</f>
        <v>$K$32</v>
      </c>
      <c r="C502" t="str">
        <f t="shared" ca="1" si="9"/>
        <v/>
      </c>
    </row>
    <row r="503" spans="1:3">
      <c r="A503" s="335" t="str">
        <f t="shared" si="13"/>
        <v>Actionplan-Maßnahmenplan</v>
      </c>
      <c r="B503" t="str">
        <f>pos('Actionplan-Maßnahmenplan'!K33)</f>
        <v>$K$33</v>
      </c>
      <c r="C503" t="str">
        <f t="shared" ca="1" si="9"/>
        <v/>
      </c>
    </row>
    <row r="504" spans="1:3">
      <c r="A504" s="335" t="str">
        <f t="shared" si="13"/>
        <v>Actionplan-Maßnahmenplan</v>
      </c>
      <c r="B504" t="str">
        <f>pos('Actionplan-Maßnahmenplan'!K34)</f>
        <v>$K$34</v>
      </c>
      <c r="C504" t="str">
        <f t="shared" ca="1" si="9"/>
        <v/>
      </c>
    </row>
    <row r="505" spans="1:3">
      <c r="A505" s="335" t="str">
        <f t="shared" si="13"/>
        <v>Actionplan-Maßnahmenplan</v>
      </c>
      <c r="B505" t="str">
        <f>pos('Actionplan-Maßnahmenplan'!K35)</f>
        <v>$K$35</v>
      </c>
      <c r="C505" t="str">
        <f t="shared" ca="1" si="9"/>
        <v/>
      </c>
    </row>
    <row r="506" spans="1:3">
      <c r="A506" s="335" t="str">
        <f t="shared" si="13"/>
        <v>Actionplan-Maßnahmenplan</v>
      </c>
      <c r="B506" t="str">
        <f>pos('Actionplan-Maßnahmenplan'!K36)</f>
        <v>$K$36</v>
      </c>
      <c r="C506" t="str">
        <f t="shared" ca="1" si="9"/>
        <v/>
      </c>
    </row>
    <row r="507" spans="1:3">
      <c r="A507" s="335" t="str">
        <f t="shared" si="13"/>
        <v>Actionplan-Maßnahmenplan</v>
      </c>
      <c r="B507" t="str">
        <f>pos('Actionplan-Maßnahmenplan'!K37)</f>
        <v>$K$37</v>
      </c>
      <c r="C507" t="str">
        <f t="shared" ca="1" si="9"/>
        <v/>
      </c>
    </row>
    <row r="508" spans="1:3">
      <c r="A508" s="335" t="str">
        <f t="shared" si="13"/>
        <v>Actionplan-Maßnahmenplan</v>
      </c>
      <c r="B508" t="str">
        <f>pos('Actionplan-Maßnahmenplan'!K38)</f>
        <v>$K$38</v>
      </c>
      <c r="C508" t="str">
        <f t="shared" ca="1" si="9"/>
        <v/>
      </c>
    </row>
    <row r="509" spans="1:3">
      <c r="A509" s="335" t="str">
        <f t="shared" si="13"/>
        <v>Actionplan-Maßnahmenplan</v>
      </c>
      <c r="B509" t="str">
        <f>pos('Actionplan-Maßnahmenplan'!K39)</f>
        <v>$K$39</v>
      </c>
      <c r="C509" t="str">
        <f t="shared" ca="1" si="9"/>
        <v/>
      </c>
    </row>
    <row r="510" spans="1:3">
      <c r="A510" s="335" t="str">
        <f t="shared" si="13"/>
        <v>Actionplan-Maßnahmenplan</v>
      </c>
      <c r="B510" t="str">
        <f>pos('Actionplan-Maßnahmenplan'!K40)</f>
        <v>$K$40</v>
      </c>
      <c r="C510" t="str">
        <f t="shared" ca="1" si="9"/>
        <v/>
      </c>
    </row>
    <row r="511" spans="1:3">
      <c r="A511" s="335" t="str">
        <f t="shared" si="13"/>
        <v>Actionplan-Maßnahmenplan</v>
      </c>
      <c r="B511" t="str">
        <f>pos('Actionplan-Maßnahmenplan'!K41)</f>
        <v>$K$41</v>
      </c>
      <c r="C511" t="str">
        <f t="shared" ca="1" si="9"/>
        <v/>
      </c>
    </row>
    <row r="512" spans="1:3">
      <c r="A512" s="335" t="str">
        <f t="shared" si="13"/>
        <v>Actionplan-Maßnahmenplan</v>
      </c>
      <c r="B512" t="str">
        <f>pos('Actionplan-Maßnahmenplan'!K42)</f>
        <v>$K$42</v>
      </c>
      <c r="C512" t="str">
        <f t="shared" ca="1" si="9"/>
        <v/>
      </c>
    </row>
    <row r="513" spans="1:3">
      <c r="A513" s="335" t="str">
        <f t="shared" si="13"/>
        <v>Actionplan-Maßnahmenplan</v>
      </c>
      <c r="B513" t="str">
        <f>pos('Actionplan-Maßnahmenplan'!K43)</f>
        <v>$K$43</v>
      </c>
      <c r="C513" t="str">
        <f t="shared" ref="C513:C576" ca="1" si="14">IF(INDIRECT("'"&amp;A513&amp;"'!"&amp;B513)=0,"",INDIRECT("'"&amp;A513&amp;"'!"&amp;B513))</f>
        <v/>
      </c>
    </row>
    <row r="514" spans="1:3">
      <c r="A514" s="335" t="str">
        <f t="shared" si="13"/>
        <v>Actionplan-Maßnahmenplan</v>
      </c>
      <c r="B514" t="str">
        <f>pos('Actionplan-Maßnahmenplan'!K44)</f>
        <v>$K$44</v>
      </c>
      <c r="C514" t="str">
        <f t="shared" ca="1" si="14"/>
        <v/>
      </c>
    </row>
    <row r="515" spans="1:3">
      <c r="A515" s="335" t="str">
        <f t="shared" si="13"/>
        <v>Actionplan-Maßnahmenplan</v>
      </c>
      <c r="B515" t="str">
        <f>pos('Actionplan-Maßnahmenplan'!K45)</f>
        <v>$K$45</v>
      </c>
      <c r="C515" t="str">
        <f t="shared" ca="1" si="14"/>
        <v/>
      </c>
    </row>
    <row r="516" spans="1:3">
      <c r="A516" s="335" t="str">
        <f t="shared" si="13"/>
        <v>Actionplan-Maßnahmenplan</v>
      </c>
      <c r="B516" t="str">
        <f>pos('Actionplan-Maßnahmenplan'!K46)</f>
        <v>$K$46</v>
      </c>
      <c r="C516" t="str">
        <f t="shared" ca="1" si="14"/>
        <v/>
      </c>
    </row>
    <row r="517" spans="1:3">
      <c r="A517" s="335" t="str">
        <f t="shared" si="13"/>
        <v>Actionplan-Maßnahmenplan</v>
      </c>
      <c r="B517" t="str">
        <f>pos('Actionplan-Maßnahmenplan'!K47)</f>
        <v>$K$47</v>
      </c>
      <c r="C517" t="str">
        <f t="shared" ca="1" si="14"/>
        <v/>
      </c>
    </row>
    <row r="518" spans="1:3">
      <c r="A518" s="335" t="str">
        <f t="shared" si="13"/>
        <v>Actionplan-Maßnahmenplan</v>
      </c>
      <c r="B518" t="str">
        <f>pos('Actionplan-Maßnahmenplan'!K48)</f>
        <v>$K$48</v>
      </c>
      <c r="C518" t="str">
        <f t="shared" ca="1" si="14"/>
        <v/>
      </c>
    </row>
    <row r="519" spans="1:3">
      <c r="A519" s="335" t="str">
        <f t="shared" si="13"/>
        <v>Actionplan-Maßnahmenplan</v>
      </c>
      <c r="B519" t="str">
        <f>pos('Actionplan-Maßnahmenplan'!K49)</f>
        <v>$K$49</v>
      </c>
      <c r="C519" t="str">
        <f t="shared" ca="1" si="14"/>
        <v/>
      </c>
    </row>
    <row r="520" spans="1:3">
      <c r="A520" s="335" t="str">
        <f t="shared" si="13"/>
        <v>Actionplan-Maßnahmenplan</v>
      </c>
      <c r="B520" t="str">
        <f>pos('Actionplan-Maßnahmenplan'!K50)</f>
        <v>$K$50</v>
      </c>
      <c r="C520" t="str">
        <f t="shared" ca="1" si="14"/>
        <v/>
      </c>
    </row>
    <row r="521" spans="1:3">
      <c r="A521" s="335" t="str">
        <f t="shared" si="13"/>
        <v>Actionplan-Maßnahmenplan</v>
      </c>
      <c r="B521" t="str">
        <f>pos('Actionplan-Maßnahmenplan'!K51)</f>
        <v>$K$51</v>
      </c>
      <c r="C521" t="str">
        <f t="shared" ca="1" si="14"/>
        <v/>
      </c>
    </row>
    <row r="522" spans="1:3">
      <c r="A522" s="335" t="str">
        <f t="shared" si="13"/>
        <v>Actionplan-Maßnahmenplan</v>
      </c>
      <c r="B522" t="str">
        <f>pos('Actionplan-Maßnahmenplan'!K52)</f>
        <v>$K$52</v>
      </c>
      <c r="C522" t="str">
        <f t="shared" ca="1" si="14"/>
        <v/>
      </c>
    </row>
    <row r="523" spans="1:3">
      <c r="A523" s="335" t="str">
        <f t="shared" si="13"/>
        <v>Actionplan-Maßnahmenplan</v>
      </c>
      <c r="B523" t="str">
        <f>pos('Actionplan-Maßnahmenplan'!K53)</f>
        <v>$K$53</v>
      </c>
      <c r="C523" t="str">
        <f t="shared" ca="1" si="14"/>
        <v>Reason(s)</v>
      </c>
    </row>
    <row r="524" spans="1:3">
      <c r="A524" s="335" t="str">
        <f t="shared" si="13"/>
        <v>Actionplan-Maßnahmenplan</v>
      </c>
      <c r="B524" t="str">
        <f>pos('Actionplan-Maßnahmenplan'!K54)</f>
        <v>$K$54</v>
      </c>
      <c r="C524" t="str">
        <f t="shared" ca="1" si="14"/>
        <v/>
      </c>
    </row>
    <row r="525" spans="1:3">
      <c r="A525" s="335" t="str">
        <f t="shared" si="13"/>
        <v>Actionplan-Maßnahmenplan</v>
      </c>
      <c r="B525" t="str">
        <f>pos('Actionplan-Maßnahmenplan'!K55)</f>
        <v>$K$55</v>
      </c>
      <c r="C525" t="str">
        <f t="shared" ca="1" si="14"/>
        <v/>
      </c>
    </row>
    <row r="526" spans="1:3">
      <c r="A526" s="335" t="str">
        <f t="shared" si="13"/>
        <v>Actionplan-Maßnahmenplan</v>
      </c>
      <c r="B526" t="str">
        <f>pos('Actionplan-Maßnahmenplan'!K56)</f>
        <v>$K$56</v>
      </c>
      <c r="C526" t="str">
        <f t="shared" ca="1" si="14"/>
        <v/>
      </c>
    </row>
    <row r="527" spans="1:3">
      <c r="A527" s="335" t="str">
        <f t="shared" si="13"/>
        <v>Actionplan-Maßnahmenplan</v>
      </c>
      <c r="B527" t="str">
        <f>pos('Actionplan-Maßnahmenplan'!K64)</f>
        <v>$K$64</v>
      </c>
      <c r="C527" t="str">
        <f t="shared" ca="1" si="14"/>
        <v/>
      </c>
    </row>
    <row r="528" spans="1:3">
      <c r="A528" s="335" t="str">
        <f t="shared" si="13"/>
        <v>Actionplan-Maßnahmenplan</v>
      </c>
      <c r="B528" t="str">
        <f>pos('Actionplan-Maßnahmenplan'!K65)</f>
        <v>$K$65</v>
      </c>
      <c r="C528" t="str">
        <f t="shared" ca="1" si="14"/>
        <v/>
      </c>
    </row>
    <row r="529" spans="1:3">
      <c r="A529" s="335" t="str">
        <f t="shared" si="13"/>
        <v>Actionplan-Maßnahmenplan</v>
      </c>
      <c r="B529" t="str">
        <f>pos('Actionplan-Maßnahmenplan'!K66)</f>
        <v>$K$66</v>
      </c>
      <c r="C529" t="str">
        <f t="shared" ca="1" si="14"/>
        <v/>
      </c>
    </row>
    <row r="530" spans="1:3">
      <c r="A530" s="335" t="str">
        <f t="shared" si="13"/>
        <v>Actionplan-Maßnahmenplan</v>
      </c>
      <c r="B530" t="str">
        <f>pos('Actionplan-Maßnahmenplan'!K74)</f>
        <v>$K$74</v>
      </c>
      <c r="C530" t="str">
        <f t="shared" ca="1" si="14"/>
        <v/>
      </c>
    </row>
    <row r="531" spans="1:3">
      <c r="A531" s="335" t="str">
        <f t="shared" si="13"/>
        <v>Actionplan-Maßnahmenplan</v>
      </c>
      <c r="B531" t="str">
        <f>pos('Actionplan-Maßnahmenplan'!K75)</f>
        <v>$K$75</v>
      </c>
      <c r="C531" t="str">
        <f t="shared" ca="1" si="14"/>
        <v/>
      </c>
    </row>
    <row r="532" spans="1:3">
      <c r="A532" s="335" t="str">
        <f t="shared" si="13"/>
        <v>Actionplan-Maßnahmenplan</v>
      </c>
      <c r="B532" t="str">
        <f>pos('Actionplan-Maßnahmenplan'!K76)</f>
        <v>$K$76</v>
      </c>
      <c r="C532" t="str">
        <f t="shared" ca="1" si="14"/>
        <v/>
      </c>
    </row>
    <row r="533" spans="1:3">
      <c r="A533" s="335" t="str">
        <f t="shared" si="13"/>
        <v>Actionplan-Maßnahmenplan</v>
      </c>
      <c r="B533" t="str">
        <f>pos('Actionplan-Maßnahmenplan'!K84)</f>
        <v>$K$84</v>
      </c>
      <c r="C533" t="str">
        <f t="shared" ca="1" si="14"/>
        <v/>
      </c>
    </row>
    <row r="534" spans="1:3">
      <c r="A534" s="335" t="str">
        <f t="shared" si="13"/>
        <v>Actionplan-Maßnahmenplan</v>
      </c>
      <c r="B534" t="str">
        <f>pos('Actionplan-Maßnahmenplan'!K85)</f>
        <v>$K$85</v>
      </c>
      <c r="C534" t="str">
        <f t="shared" ca="1" si="14"/>
        <v/>
      </c>
    </row>
    <row r="535" spans="1:3">
      <c r="A535" s="335" t="str">
        <f t="shared" si="13"/>
        <v>Actionplan-Maßnahmenplan</v>
      </c>
      <c r="B535" t="str">
        <f>pos('Actionplan-Maßnahmenplan'!K86)</f>
        <v>$K$86</v>
      </c>
      <c r="C535" t="str">
        <f t="shared" ca="1" si="14"/>
        <v/>
      </c>
    </row>
    <row r="536" spans="1:3">
      <c r="A536" s="335" t="str">
        <f t="shared" si="13"/>
        <v>Actionplan-Maßnahmenplan</v>
      </c>
      <c r="B536" t="str">
        <f>pos('Actionplan-Maßnahmenplan'!K94)</f>
        <v>$K$94</v>
      </c>
      <c r="C536" t="str">
        <f t="shared" ca="1" si="14"/>
        <v/>
      </c>
    </row>
    <row r="537" spans="1:3">
      <c r="A537" s="335" t="str">
        <f t="shared" si="13"/>
        <v>Actionplan-Maßnahmenplan</v>
      </c>
      <c r="B537" t="str">
        <f>pos('Actionplan-Maßnahmenplan'!K95)</f>
        <v>$K$95</v>
      </c>
      <c r="C537" t="str">
        <f t="shared" ca="1" si="14"/>
        <v/>
      </c>
    </row>
    <row r="538" spans="1:3">
      <c r="A538" s="335" t="str">
        <f t="shared" si="13"/>
        <v>Actionplan-Maßnahmenplan</v>
      </c>
      <c r="B538" t="str">
        <f>pos('Actionplan-Maßnahmenplan'!K96)</f>
        <v>$K$96</v>
      </c>
      <c r="C538" t="str">
        <f t="shared" ca="1" si="14"/>
        <v/>
      </c>
    </row>
    <row r="539" spans="1:3">
      <c r="A539" s="335" t="str">
        <f t="shared" si="13"/>
        <v>Actionplan-Maßnahmenplan</v>
      </c>
      <c r="B539" t="str">
        <f>pos('Actionplan-Maßnahmenplan'!K104)</f>
        <v>$K$104</v>
      </c>
      <c r="C539" t="str">
        <f t="shared" ca="1" si="14"/>
        <v/>
      </c>
    </row>
    <row r="540" spans="1:3">
      <c r="A540" s="335" t="str">
        <f t="shared" si="13"/>
        <v>Actionplan-Maßnahmenplan</v>
      </c>
      <c r="B540" t="str">
        <f>pos('Actionplan-Maßnahmenplan'!K105)</f>
        <v>$K$105</v>
      </c>
      <c r="C540" t="str">
        <f t="shared" ca="1" si="14"/>
        <v/>
      </c>
    </row>
    <row r="541" spans="1:3">
      <c r="A541" s="335" t="str">
        <f t="shared" si="13"/>
        <v>Actionplan-Maßnahmenplan</v>
      </c>
      <c r="B541" t="str">
        <f>pos('Actionplan-Maßnahmenplan'!K106)</f>
        <v>$K$106</v>
      </c>
      <c r="C541" t="str">
        <f t="shared" ca="1" si="14"/>
        <v/>
      </c>
    </row>
    <row r="542" spans="1:3">
      <c r="A542" s="335" t="str">
        <f t="shared" si="13"/>
        <v>Actionplan-Maßnahmenplan</v>
      </c>
      <c r="B542" t="str">
        <f>pos('Actionplan-Maßnahmenplan'!K114)</f>
        <v>$K$114</v>
      </c>
      <c r="C542" t="str">
        <f t="shared" ca="1" si="14"/>
        <v/>
      </c>
    </row>
    <row r="543" spans="1:3">
      <c r="A543" s="335" t="str">
        <f t="shared" si="13"/>
        <v>Actionplan-Maßnahmenplan</v>
      </c>
      <c r="B543" t="str">
        <f>pos('Actionplan-Maßnahmenplan'!K115)</f>
        <v>$K$115</v>
      </c>
      <c r="C543" t="str">
        <f t="shared" ca="1" si="14"/>
        <v/>
      </c>
    </row>
    <row r="544" spans="1:3">
      <c r="A544" s="335" t="str">
        <f t="shared" si="13"/>
        <v>Actionplan-Maßnahmenplan</v>
      </c>
      <c r="B544" t="str">
        <f>pos('Actionplan-Maßnahmenplan'!K116)</f>
        <v>$K$116</v>
      </c>
      <c r="C544" t="str">
        <f t="shared" ca="1" si="14"/>
        <v/>
      </c>
    </row>
    <row r="545" spans="1:3">
      <c r="A545" s="335" t="str">
        <f t="shared" si="13"/>
        <v>Actionplan-Maßnahmenplan</v>
      </c>
      <c r="B545" t="str">
        <f>pos('Actionplan-Maßnahmenplan'!K124)</f>
        <v>$K$124</v>
      </c>
      <c r="C545" t="str">
        <f t="shared" ca="1" si="14"/>
        <v/>
      </c>
    </row>
    <row r="546" spans="1:3">
      <c r="A546" s="335" t="str">
        <f t="shared" si="13"/>
        <v>Actionplan-Maßnahmenplan</v>
      </c>
      <c r="B546" t="str">
        <f>pos('Actionplan-Maßnahmenplan'!K125)</f>
        <v>$K$125</v>
      </c>
      <c r="C546" t="str">
        <f t="shared" ca="1" si="14"/>
        <v/>
      </c>
    </row>
    <row r="547" spans="1:3">
      <c r="A547" s="335" t="str">
        <f t="shared" ref="A547:A610" si="15">$A$482</f>
        <v>Actionplan-Maßnahmenplan</v>
      </c>
      <c r="B547" t="str">
        <f>pos('Actionplan-Maßnahmenplan'!K126)</f>
        <v>$K$126</v>
      </c>
      <c r="C547" t="str">
        <f t="shared" ca="1" si="14"/>
        <v/>
      </c>
    </row>
    <row r="548" spans="1:3">
      <c r="A548" s="335" t="str">
        <f t="shared" si="15"/>
        <v>Actionplan-Maßnahmenplan</v>
      </c>
      <c r="B548" t="str">
        <f>pos('Actionplan-Maßnahmenplan'!K134)</f>
        <v>$K$134</v>
      </c>
      <c r="C548" t="str">
        <f t="shared" ca="1" si="14"/>
        <v/>
      </c>
    </row>
    <row r="549" spans="1:3">
      <c r="A549" s="335" t="str">
        <f t="shared" si="15"/>
        <v>Actionplan-Maßnahmenplan</v>
      </c>
      <c r="B549" t="str">
        <f>pos('Actionplan-Maßnahmenplan'!K135)</f>
        <v>$K$135</v>
      </c>
      <c r="C549" t="str">
        <f t="shared" ca="1" si="14"/>
        <v/>
      </c>
    </row>
    <row r="550" spans="1:3">
      <c r="A550" s="335" t="str">
        <f t="shared" si="15"/>
        <v>Actionplan-Maßnahmenplan</v>
      </c>
      <c r="B550" t="str">
        <f>pos('Actionplan-Maßnahmenplan'!K136)</f>
        <v>$K$136</v>
      </c>
      <c r="C550" t="str">
        <f t="shared" ca="1" si="14"/>
        <v/>
      </c>
    </row>
    <row r="551" spans="1:3">
      <c r="A551" s="335" t="str">
        <f t="shared" si="15"/>
        <v>Actionplan-Maßnahmenplan</v>
      </c>
      <c r="B551" t="str">
        <f>pos('Actionplan-Maßnahmenplan'!K144)</f>
        <v>$K$144</v>
      </c>
      <c r="C551" t="str">
        <f t="shared" ca="1" si="14"/>
        <v/>
      </c>
    </row>
    <row r="552" spans="1:3">
      <c r="A552" s="335" t="str">
        <f t="shared" si="15"/>
        <v>Actionplan-Maßnahmenplan</v>
      </c>
      <c r="B552" t="str">
        <f>pos('Actionplan-Maßnahmenplan'!K145)</f>
        <v>$K$145</v>
      </c>
      <c r="C552" t="str">
        <f t="shared" ca="1" si="14"/>
        <v/>
      </c>
    </row>
    <row r="553" spans="1:3">
      <c r="A553" s="335" t="str">
        <f t="shared" si="15"/>
        <v>Actionplan-Maßnahmenplan</v>
      </c>
      <c r="B553" t="str">
        <f>pos('Actionplan-Maßnahmenplan'!K146)</f>
        <v>$K$146</v>
      </c>
      <c r="C553" t="str">
        <f t="shared" ca="1" si="14"/>
        <v/>
      </c>
    </row>
    <row r="554" spans="1:3">
      <c r="A554" s="335" t="str">
        <f t="shared" si="15"/>
        <v>Actionplan-Maßnahmenplan</v>
      </c>
      <c r="B554" t="str">
        <f>pos('Actionplan-Maßnahmenplan'!K154)</f>
        <v>$K$154</v>
      </c>
      <c r="C554" t="str">
        <f t="shared" ca="1" si="14"/>
        <v/>
      </c>
    </row>
    <row r="555" spans="1:3">
      <c r="A555" s="335" t="str">
        <f t="shared" si="15"/>
        <v>Actionplan-Maßnahmenplan</v>
      </c>
      <c r="B555" t="str">
        <f>pos('Actionplan-Maßnahmenplan'!K155)</f>
        <v>$K$155</v>
      </c>
      <c r="C555" t="str">
        <f t="shared" ca="1" si="14"/>
        <v/>
      </c>
    </row>
    <row r="556" spans="1:3">
      <c r="A556" s="335" t="str">
        <f t="shared" si="15"/>
        <v>Actionplan-Maßnahmenplan</v>
      </c>
      <c r="B556" t="str">
        <f>pos('Actionplan-Maßnahmenplan'!K156)</f>
        <v>$K$156</v>
      </c>
      <c r="C556" t="str">
        <f t="shared" ca="1" si="14"/>
        <v/>
      </c>
    </row>
    <row r="557" spans="1:3">
      <c r="A557" s="335" t="str">
        <f t="shared" si="15"/>
        <v>Actionplan-Maßnahmenplan</v>
      </c>
      <c r="B557" t="str">
        <f>pos('Actionplan-Maßnahmenplan'!K164)</f>
        <v>$K$164</v>
      </c>
      <c r="C557" t="str">
        <f t="shared" ca="1" si="14"/>
        <v/>
      </c>
    </row>
    <row r="558" spans="1:3">
      <c r="A558" s="335" t="str">
        <f t="shared" si="15"/>
        <v>Actionplan-Maßnahmenplan</v>
      </c>
      <c r="B558" t="str">
        <f>pos('Actionplan-Maßnahmenplan'!K165)</f>
        <v>$K$165</v>
      </c>
      <c r="C558" t="str">
        <f t="shared" ca="1" si="14"/>
        <v/>
      </c>
    </row>
    <row r="559" spans="1:3">
      <c r="A559" s="335" t="str">
        <f t="shared" si="15"/>
        <v>Actionplan-Maßnahmenplan</v>
      </c>
      <c r="B559" t="str">
        <f>pos('Actionplan-Maßnahmenplan'!K166)</f>
        <v>$K$166</v>
      </c>
      <c r="C559" t="str">
        <f t="shared" ca="1" si="14"/>
        <v/>
      </c>
    </row>
    <row r="560" spans="1:3">
      <c r="A560" s="335" t="str">
        <f t="shared" si="15"/>
        <v>Actionplan-Maßnahmenplan</v>
      </c>
      <c r="B560" t="str">
        <f>pos('Actionplan-Maßnahmenplan'!K174)</f>
        <v>$K$174</v>
      </c>
      <c r="C560" t="str">
        <f t="shared" ca="1" si="14"/>
        <v/>
      </c>
    </row>
    <row r="561" spans="1:3">
      <c r="A561" s="335" t="str">
        <f t="shared" si="15"/>
        <v>Actionplan-Maßnahmenplan</v>
      </c>
      <c r="B561" t="str">
        <f>pos('Actionplan-Maßnahmenplan'!K175)</f>
        <v>$K$175</v>
      </c>
      <c r="C561" t="str">
        <f t="shared" ca="1" si="14"/>
        <v/>
      </c>
    </row>
    <row r="562" spans="1:3">
      <c r="A562" s="335" t="str">
        <f t="shared" si="15"/>
        <v>Actionplan-Maßnahmenplan</v>
      </c>
      <c r="B562" t="str">
        <f>pos('Actionplan-Maßnahmenplan'!K176)</f>
        <v>$K$176</v>
      </c>
      <c r="C562" t="str">
        <f t="shared" ca="1" si="14"/>
        <v/>
      </c>
    </row>
    <row r="563" spans="1:3">
      <c r="A563" s="335" t="str">
        <f t="shared" si="15"/>
        <v>Actionplan-Maßnahmenplan</v>
      </c>
      <c r="B563" t="str">
        <f>pos('Actionplan-Maßnahmenplan'!K184)</f>
        <v>$K$184</v>
      </c>
      <c r="C563" t="str">
        <f t="shared" ca="1" si="14"/>
        <v/>
      </c>
    </row>
    <row r="564" spans="1:3">
      <c r="A564" s="335" t="str">
        <f t="shared" si="15"/>
        <v>Actionplan-Maßnahmenplan</v>
      </c>
      <c r="B564" t="str">
        <f>pos('Actionplan-Maßnahmenplan'!K185)</f>
        <v>$K$185</v>
      </c>
      <c r="C564" t="str">
        <f t="shared" ca="1" si="14"/>
        <v/>
      </c>
    </row>
    <row r="565" spans="1:3">
      <c r="A565" s="335" t="str">
        <f t="shared" si="15"/>
        <v>Actionplan-Maßnahmenplan</v>
      </c>
      <c r="B565" t="str">
        <f>pos('Actionplan-Maßnahmenplan'!K186)</f>
        <v>$K$186</v>
      </c>
      <c r="C565" t="str">
        <f t="shared" ca="1" si="14"/>
        <v/>
      </c>
    </row>
    <row r="566" spans="1:3">
      <c r="A566" s="335" t="str">
        <f t="shared" si="15"/>
        <v>Actionplan-Maßnahmenplan</v>
      </c>
      <c r="B566" t="str">
        <f>pos('Actionplan-Maßnahmenplan'!K194)</f>
        <v>$K$194</v>
      </c>
      <c r="C566" t="str">
        <f t="shared" ca="1" si="14"/>
        <v>Human error, just not enter data in time after reciving documents from operators in Moldshop</v>
      </c>
    </row>
    <row r="567" spans="1:3">
      <c r="A567" s="335" t="str">
        <f t="shared" si="15"/>
        <v>Actionplan-Maßnahmenplan</v>
      </c>
      <c r="B567" t="str">
        <f>pos('Actionplan-Maßnahmenplan'!K195)</f>
        <v>$K$195</v>
      </c>
      <c r="C567" t="str">
        <f t="shared" ca="1" si="14"/>
        <v/>
      </c>
    </row>
    <row r="568" spans="1:3">
      <c r="A568" s="335" t="str">
        <f t="shared" si="15"/>
        <v>Actionplan-Maßnahmenplan</v>
      </c>
      <c r="B568" t="str">
        <f>pos('Actionplan-Maßnahmenplan'!K196)</f>
        <v>$K$196</v>
      </c>
      <c r="C568" t="str">
        <f t="shared" ca="1" si="14"/>
        <v/>
      </c>
    </row>
    <row r="569" spans="1:3">
      <c r="A569" s="335" t="str">
        <f t="shared" si="15"/>
        <v>Actionplan-Maßnahmenplan</v>
      </c>
      <c r="B569" t="str">
        <f>pos('Actionplan-Maßnahmenplan'!K204)</f>
        <v>$K$204</v>
      </c>
      <c r="C569" t="str">
        <f t="shared" ca="1" si="14"/>
        <v/>
      </c>
    </row>
    <row r="570" spans="1:3">
      <c r="A570" s="335" t="str">
        <f t="shared" si="15"/>
        <v>Actionplan-Maßnahmenplan</v>
      </c>
      <c r="B570" t="str">
        <f>pos('Actionplan-Maßnahmenplan'!K205)</f>
        <v>$K$205</v>
      </c>
      <c r="C570" t="str">
        <f t="shared" ca="1" si="14"/>
        <v/>
      </c>
    </row>
    <row r="571" spans="1:3">
      <c r="A571" s="335" t="str">
        <f t="shared" si="15"/>
        <v>Actionplan-Maßnahmenplan</v>
      </c>
      <c r="B571" t="str">
        <f>pos('Actionplan-Maßnahmenplan'!K206)</f>
        <v>$K$206</v>
      </c>
      <c r="C571" t="str">
        <f t="shared" ca="1" si="14"/>
        <v/>
      </c>
    </row>
    <row r="572" spans="1:3">
      <c r="A572" s="335" t="str">
        <f t="shared" si="15"/>
        <v>Actionplan-Maßnahmenplan</v>
      </c>
      <c r="B572" t="str">
        <f>pos('Actionplan-Maßnahmenplan'!K214)</f>
        <v>$K$214</v>
      </c>
      <c r="C572" t="str">
        <f t="shared" ca="1" si="14"/>
        <v>Opening Doors to Furnaces for Skimming Dross, skimming Metal Surface or adding Alloying material will let emissions go out in Casting Area</v>
      </c>
    </row>
    <row r="573" spans="1:3">
      <c r="A573" s="335" t="str">
        <f t="shared" si="15"/>
        <v>Actionplan-Maßnahmenplan</v>
      </c>
      <c r="B573" t="str">
        <f>pos('Actionplan-Maßnahmenplan'!K215)</f>
        <v>$K$215</v>
      </c>
      <c r="C573" t="str">
        <f t="shared" ca="1" si="14"/>
        <v>Opening Doors to Furnaces for Skimming Dross, skimming Metal Surface or adding Alloying material will let emissions go out in Casting Area</v>
      </c>
    </row>
    <row r="574" spans="1:3">
      <c r="A574" s="335" t="str">
        <f t="shared" si="15"/>
        <v>Actionplan-Maßnahmenplan</v>
      </c>
      <c r="B574" t="str">
        <f>pos('Actionplan-Maßnahmenplan'!K216)</f>
        <v>$K$216</v>
      </c>
      <c r="C574" t="str">
        <f t="shared" ca="1" si="14"/>
        <v/>
      </c>
    </row>
    <row r="575" spans="1:3">
      <c r="A575" s="335" t="str">
        <f t="shared" si="15"/>
        <v>Actionplan-Maßnahmenplan</v>
      </c>
      <c r="B575" t="str">
        <f>pos('Actionplan-Maßnahmenplan'!K224)</f>
        <v>$K$224</v>
      </c>
      <c r="C575" t="str">
        <f t="shared" ca="1" si="14"/>
        <v/>
      </c>
    </row>
    <row r="576" spans="1:3">
      <c r="A576" s="335" t="str">
        <f t="shared" si="15"/>
        <v>Actionplan-Maßnahmenplan</v>
      </c>
      <c r="B576" t="str">
        <f>pos('Actionplan-Maßnahmenplan'!K225)</f>
        <v>$K$225</v>
      </c>
      <c r="C576" t="str">
        <f t="shared" ca="1" si="14"/>
        <v/>
      </c>
    </row>
    <row r="577" spans="1:3">
      <c r="A577" s="335" t="str">
        <f t="shared" si="15"/>
        <v>Actionplan-Maßnahmenplan</v>
      </c>
      <c r="B577" t="str">
        <f>pos('Actionplan-Maßnahmenplan'!K226)</f>
        <v>$K$226</v>
      </c>
      <c r="C577" t="str">
        <f t="shared" ref="C577:C640" ca="1" si="16">IF(INDIRECT("'"&amp;A577&amp;"'!"&amp;B577)=0,"",INDIRECT("'"&amp;A577&amp;"'!"&amp;B577))</f>
        <v/>
      </c>
    </row>
    <row r="578" spans="1:3">
      <c r="A578" s="335" t="str">
        <f t="shared" si="15"/>
        <v>Actionplan-Maßnahmenplan</v>
      </c>
      <c r="B578" t="str">
        <f>pos('Actionplan-Maßnahmenplan'!K234)</f>
        <v>$K$234</v>
      </c>
      <c r="C578" t="str">
        <f t="shared" ca="1" si="16"/>
        <v/>
      </c>
    </row>
    <row r="579" spans="1:3">
      <c r="A579" s="335" t="str">
        <f t="shared" si="15"/>
        <v>Actionplan-Maßnahmenplan</v>
      </c>
      <c r="B579" t="str">
        <f>pos('Actionplan-Maßnahmenplan'!K235)</f>
        <v>$K$235</v>
      </c>
      <c r="C579" t="str">
        <f t="shared" ca="1" si="16"/>
        <v/>
      </c>
    </row>
    <row r="580" spans="1:3">
      <c r="A580" s="335" t="str">
        <f t="shared" si="15"/>
        <v>Actionplan-Maßnahmenplan</v>
      </c>
      <c r="B580" t="str">
        <f>pos('Actionplan-Maßnahmenplan'!K236)</f>
        <v>$K$236</v>
      </c>
      <c r="C580" t="str">
        <f t="shared" ca="1" si="16"/>
        <v/>
      </c>
    </row>
    <row r="581" spans="1:3">
      <c r="A581" s="335" t="str">
        <f t="shared" si="15"/>
        <v>Actionplan-Maßnahmenplan</v>
      </c>
      <c r="B581" t="str">
        <f>pos('Actionplan-Maßnahmenplan'!K244)</f>
        <v>$K$244</v>
      </c>
      <c r="C581" t="str">
        <f t="shared" ca="1" si="16"/>
        <v/>
      </c>
    </row>
    <row r="582" spans="1:3">
      <c r="A582" s="335" t="str">
        <f t="shared" si="15"/>
        <v>Actionplan-Maßnahmenplan</v>
      </c>
      <c r="B582" t="str">
        <f>pos('Actionplan-Maßnahmenplan'!K245)</f>
        <v>$K$245</v>
      </c>
      <c r="C582" t="str">
        <f t="shared" ca="1" si="16"/>
        <v/>
      </c>
    </row>
    <row r="583" spans="1:3">
      <c r="A583" s="335" t="str">
        <f t="shared" si="15"/>
        <v>Actionplan-Maßnahmenplan</v>
      </c>
      <c r="B583" t="str">
        <f>pos('Actionplan-Maßnahmenplan'!K246)</f>
        <v>$K$246</v>
      </c>
      <c r="C583" t="str">
        <f t="shared" ca="1" si="16"/>
        <v/>
      </c>
    </row>
    <row r="584" spans="1:3">
      <c r="A584" s="335" t="str">
        <f t="shared" si="15"/>
        <v>Actionplan-Maßnahmenplan</v>
      </c>
      <c r="B584" t="str">
        <f>pos('Actionplan-Maßnahmenplan'!K254)</f>
        <v>$K$254</v>
      </c>
      <c r="C584" t="str">
        <f t="shared" ca="1" si="16"/>
        <v/>
      </c>
    </row>
    <row r="585" spans="1:3">
      <c r="A585" s="335" t="str">
        <f t="shared" si="15"/>
        <v>Actionplan-Maßnahmenplan</v>
      </c>
      <c r="B585" t="str">
        <f>pos('Actionplan-Maßnahmenplan'!K255)</f>
        <v>$K$255</v>
      </c>
      <c r="C585" t="str">
        <f t="shared" ca="1" si="16"/>
        <v/>
      </c>
    </row>
    <row r="586" spans="1:3">
      <c r="A586" s="335" t="str">
        <f t="shared" si="15"/>
        <v>Actionplan-Maßnahmenplan</v>
      </c>
      <c r="B586" t="str">
        <f>pos('Actionplan-Maßnahmenplan'!K256)</f>
        <v>$K$256</v>
      </c>
      <c r="C586" t="str">
        <f t="shared" ca="1" si="16"/>
        <v/>
      </c>
    </row>
    <row r="587" spans="1:3">
      <c r="A587" s="335" t="str">
        <f t="shared" si="15"/>
        <v>Actionplan-Maßnahmenplan</v>
      </c>
      <c r="B587" t="str">
        <f>pos('Actionplan-Maßnahmenplan'!K264)</f>
        <v>$K$264</v>
      </c>
      <c r="C587" t="str">
        <f t="shared" ca="1" si="16"/>
        <v/>
      </c>
    </row>
    <row r="588" spans="1:3">
      <c r="A588" s="335" t="str">
        <f t="shared" si="15"/>
        <v>Actionplan-Maßnahmenplan</v>
      </c>
      <c r="B588" t="str">
        <f>pos('Actionplan-Maßnahmenplan'!K265)</f>
        <v>$K$265</v>
      </c>
      <c r="C588" t="str">
        <f t="shared" ca="1" si="16"/>
        <v/>
      </c>
    </row>
    <row r="589" spans="1:3">
      <c r="A589" s="335" t="str">
        <f t="shared" si="15"/>
        <v>Actionplan-Maßnahmenplan</v>
      </c>
      <c r="B589" t="str">
        <f>pos('Actionplan-Maßnahmenplan'!K266)</f>
        <v>$K$266</v>
      </c>
      <c r="C589" t="str">
        <f t="shared" ca="1" si="16"/>
        <v/>
      </c>
    </row>
    <row r="590" spans="1:3">
      <c r="A590" s="335" t="str">
        <f t="shared" si="15"/>
        <v>Actionplan-Maßnahmenplan</v>
      </c>
      <c r="B590" t="str">
        <f>pos('Actionplan-Maßnahmenplan'!K274)</f>
        <v>$K$274</v>
      </c>
      <c r="C590" t="str">
        <f t="shared" ca="1" si="16"/>
        <v/>
      </c>
    </row>
    <row r="591" spans="1:3">
      <c r="A591" s="335" t="str">
        <f t="shared" si="15"/>
        <v>Actionplan-Maßnahmenplan</v>
      </c>
      <c r="B591" t="str">
        <f>pos('Actionplan-Maßnahmenplan'!K275)</f>
        <v>$K$275</v>
      </c>
      <c r="C591" t="str">
        <f t="shared" ca="1" si="16"/>
        <v/>
      </c>
    </row>
    <row r="592" spans="1:3">
      <c r="A592" s="335" t="str">
        <f t="shared" si="15"/>
        <v>Actionplan-Maßnahmenplan</v>
      </c>
      <c r="B592" t="str">
        <f>pos('Actionplan-Maßnahmenplan'!K276)</f>
        <v>$K$276</v>
      </c>
      <c r="C592" t="str">
        <f t="shared" ca="1" si="16"/>
        <v/>
      </c>
    </row>
    <row r="593" spans="1:3">
      <c r="A593" s="335" t="str">
        <f t="shared" si="15"/>
        <v>Actionplan-Maßnahmenplan</v>
      </c>
      <c r="B593" t="str">
        <f>pos('Actionplan-Maßnahmenplan'!K284)</f>
        <v>$K$284</v>
      </c>
      <c r="C593" t="str">
        <f t="shared" ca="1" si="16"/>
        <v/>
      </c>
    </row>
    <row r="594" spans="1:3">
      <c r="A594" s="335" t="str">
        <f t="shared" si="15"/>
        <v>Actionplan-Maßnahmenplan</v>
      </c>
      <c r="B594" t="str">
        <f>pos('Actionplan-Maßnahmenplan'!K285)</f>
        <v>$K$285</v>
      </c>
      <c r="C594" t="str">
        <f t="shared" ca="1" si="16"/>
        <v/>
      </c>
    </row>
    <row r="595" spans="1:3">
      <c r="A595" s="335" t="str">
        <f t="shared" si="15"/>
        <v>Actionplan-Maßnahmenplan</v>
      </c>
      <c r="B595" t="str">
        <f>pos('Actionplan-Maßnahmenplan'!K286)</f>
        <v>$K$286</v>
      </c>
      <c r="C595" t="str">
        <f t="shared" ca="1" si="16"/>
        <v/>
      </c>
    </row>
    <row r="596" spans="1:3">
      <c r="A596" s="335" t="str">
        <f t="shared" si="15"/>
        <v>Actionplan-Maßnahmenplan</v>
      </c>
      <c r="B596" t="str">
        <f>pos('Actionplan-Maßnahmenplan'!K294)</f>
        <v>$K$294</v>
      </c>
      <c r="C596" t="str">
        <f t="shared" ca="1" si="16"/>
        <v>Human error, just not enter data in time after reciving documents from operators in Moldshop</v>
      </c>
    </row>
    <row r="597" spans="1:3">
      <c r="A597" s="335" t="str">
        <f t="shared" si="15"/>
        <v>Actionplan-Maßnahmenplan</v>
      </c>
      <c r="B597" t="str">
        <f>pos('Actionplan-Maßnahmenplan'!K295)</f>
        <v>$K$295</v>
      </c>
      <c r="C597" t="str">
        <f t="shared" ca="1" si="16"/>
        <v/>
      </c>
    </row>
    <row r="598" spans="1:3">
      <c r="A598" s="335" t="str">
        <f t="shared" si="15"/>
        <v>Actionplan-Maßnahmenplan</v>
      </c>
      <c r="B598" t="str">
        <f>pos('Actionplan-Maßnahmenplan'!K296)</f>
        <v>$K$296</v>
      </c>
      <c r="C598" t="str">
        <f t="shared" ca="1" si="16"/>
        <v/>
      </c>
    </row>
    <row r="599" spans="1:3">
      <c r="A599" s="335" t="str">
        <f t="shared" si="15"/>
        <v>Actionplan-Maßnahmenplan</v>
      </c>
      <c r="B599" t="str">
        <f>pos('Actionplan-Maßnahmenplan'!K304)</f>
        <v>$K$304</v>
      </c>
      <c r="C599" t="str">
        <f t="shared" ca="1" si="16"/>
        <v/>
      </c>
    </row>
    <row r="600" spans="1:3">
      <c r="A600" s="335" t="str">
        <f t="shared" si="15"/>
        <v>Actionplan-Maßnahmenplan</v>
      </c>
      <c r="B600" t="str">
        <f>pos('Actionplan-Maßnahmenplan'!K305)</f>
        <v>$K$305</v>
      </c>
      <c r="C600" t="str">
        <f t="shared" ca="1" si="16"/>
        <v/>
      </c>
    </row>
    <row r="601" spans="1:3">
      <c r="A601" s="335" t="str">
        <f t="shared" si="15"/>
        <v>Actionplan-Maßnahmenplan</v>
      </c>
      <c r="B601" t="str">
        <f>pos('Actionplan-Maßnahmenplan'!K306)</f>
        <v>$K$306</v>
      </c>
      <c r="C601" t="str">
        <f t="shared" ca="1" si="16"/>
        <v/>
      </c>
    </row>
    <row r="602" spans="1:3">
      <c r="A602" s="335" t="str">
        <f t="shared" si="15"/>
        <v>Actionplan-Maßnahmenplan</v>
      </c>
      <c r="B602" t="str">
        <f>pos('Actionplan-Maßnahmenplan'!K314)</f>
        <v>$K$314</v>
      </c>
      <c r="C602" t="str">
        <f t="shared" ca="1" si="16"/>
        <v/>
      </c>
    </row>
    <row r="603" spans="1:3">
      <c r="A603" s="335" t="str">
        <f t="shared" si="15"/>
        <v>Actionplan-Maßnahmenplan</v>
      </c>
      <c r="B603" t="str">
        <f>pos('Actionplan-Maßnahmenplan'!K315)</f>
        <v>$K$315</v>
      </c>
      <c r="C603" t="str">
        <f t="shared" ca="1" si="16"/>
        <v/>
      </c>
    </row>
    <row r="604" spans="1:3">
      <c r="A604" s="335" t="str">
        <f t="shared" si="15"/>
        <v>Actionplan-Maßnahmenplan</v>
      </c>
      <c r="B604" t="str">
        <f>pos('Actionplan-Maßnahmenplan'!K316)</f>
        <v>$K$316</v>
      </c>
      <c r="C604" t="str">
        <f t="shared" ca="1" si="16"/>
        <v/>
      </c>
    </row>
    <row r="605" spans="1:3">
      <c r="A605" s="335" t="str">
        <f t="shared" si="15"/>
        <v>Actionplan-Maßnahmenplan</v>
      </c>
      <c r="B605" t="str">
        <f>pos('Actionplan-Maßnahmenplan'!K317)</f>
        <v>$K$317</v>
      </c>
      <c r="C605" t="str">
        <f t="shared" ca="1" si="16"/>
        <v/>
      </c>
    </row>
    <row r="606" spans="1:3">
      <c r="A606" s="335" t="str">
        <f t="shared" si="15"/>
        <v>Actionplan-Maßnahmenplan</v>
      </c>
      <c r="B606" t="str">
        <f>pos('Actionplan-Maßnahmenplan'!K318)</f>
        <v>$K$318</v>
      </c>
      <c r="C606" t="str">
        <f t="shared" ca="1" si="16"/>
        <v/>
      </c>
    </row>
    <row r="607" spans="1:3">
      <c r="A607" s="335" t="str">
        <f t="shared" si="15"/>
        <v>Actionplan-Maßnahmenplan</v>
      </c>
      <c r="B607" t="str">
        <f>pos('Actionplan-Maßnahmenplan'!K319)</f>
        <v>$K$319</v>
      </c>
      <c r="C607" t="str">
        <f t="shared" ca="1" si="16"/>
        <v/>
      </c>
    </row>
    <row r="608" spans="1:3">
      <c r="A608" s="335" t="str">
        <f t="shared" si="15"/>
        <v>Actionplan-Maßnahmenplan</v>
      </c>
      <c r="B608" t="str">
        <f>pos('Actionplan-Maßnahmenplan'!K320)</f>
        <v>$K$320</v>
      </c>
      <c r="C608" t="str">
        <f t="shared" ca="1" si="16"/>
        <v/>
      </c>
    </row>
    <row r="609" spans="1:3">
      <c r="A609" s="335" t="str">
        <f t="shared" si="15"/>
        <v>Actionplan-Maßnahmenplan</v>
      </c>
      <c r="B609" t="str">
        <f>pos('Actionplan-Maßnahmenplan'!M12)</f>
        <v>$M$12</v>
      </c>
      <c r="C609" t="str">
        <f t="shared" ca="1" si="16"/>
        <v/>
      </c>
    </row>
    <row r="610" spans="1:3">
      <c r="A610" s="335" t="str">
        <f t="shared" si="15"/>
        <v>Actionplan-Maßnahmenplan</v>
      </c>
      <c r="B610" t="str">
        <f>pos('Actionplan-Maßnahmenplan'!M13)</f>
        <v>$M$13</v>
      </c>
      <c r="C610" t="str">
        <f t="shared" ca="1" si="16"/>
        <v/>
      </c>
    </row>
    <row r="611" spans="1:3">
      <c r="A611" s="335" t="str">
        <f t="shared" ref="A611:A674" si="17">$A$482</f>
        <v>Actionplan-Maßnahmenplan</v>
      </c>
      <c r="B611" t="str">
        <f>pos('Actionplan-Maßnahmenplan'!M14)</f>
        <v>$M$14</v>
      </c>
      <c r="C611" t="str">
        <f t="shared" ca="1" si="16"/>
        <v/>
      </c>
    </row>
    <row r="612" spans="1:3">
      <c r="A612" s="335" t="str">
        <f t="shared" si="17"/>
        <v>Actionplan-Maßnahmenplan</v>
      </c>
      <c r="B612" t="str">
        <f>pos('Actionplan-Maßnahmenplan'!M15)</f>
        <v>$M$15</v>
      </c>
      <c r="C612" t="str">
        <f t="shared" ca="1" si="16"/>
        <v/>
      </c>
    </row>
    <row r="613" spans="1:3">
      <c r="A613" s="335" t="str">
        <f t="shared" si="17"/>
        <v>Actionplan-Maßnahmenplan</v>
      </c>
      <c r="B613" t="str">
        <f>pos('Actionplan-Maßnahmenplan'!M16)</f>
        <v>$M$16</v>
      </c>
      <c r="C613" t="str">
        <f t="shared" ca="1" si="16"/>
        <v/>
      </c>
    </row>
    <row r="614" spans="1:3">
      <c r="A614" s="335" t="str">
        <f t="shared" si="17"/>
        <v>Actionplan-Maßnahmenplan</v>
      </c>
      <c r="B614" t="str">
        <f>pos('Actionplan-Maßnahmenplan'!M17)</f>
        <v>$M$17</v>
      </c>
      <c r="C614" t="str">
        <f t="shared" ca="1" si="16"/>
        <v/>
      </c>
    </row>
    <row r="615" spans="1:3">
      <c r="A615" s="335" t="str">
        <f t="shared" si="17"/>
        <v>Actionplan-Maßnahmenplan</v>
      </c>
      <c r="B615" t="str">
        <f>pos('Actionplan-Maßnahmenplan'!M18)</f>
        <v>$M$18</v>
      </c>
      <c r="C615" t="str">
        <f t="shared" ca="1" si="16"/>
        <v/>
      </c>
    </row>
    <row r="616" spans="1:3">
      <c r="A616" s="335" t="str">
        <f t="shared" si="17"/>
        <v>Actionplan-Maßnahmenplan</v>
      </c>
      <c r="B616" t="str">
        <f>pos('Actionplan-Maßnahmenplan'!M19)</f>
        <v>$M$19</v>
      </c>
      <c r="C616" t="str">
        <f t="shared" ca="1" si="16"/>
        <v/>
      </c>
    </row>
    <row r="617" spans="1:3">
      <c r="A617" s="335" t="str">
        <f t="shared" si="17"/>
        <v>Actionplan-Maßnahmenplan</v>
      </c>
      <c r="B617" t="str">
        <f>pos('Actionplan-Maßnahmenplan'!M20)</f>
        <v>$M$20</v>
      </c>
      <c r="C617" t="str">
        <f t="shared" ca="1" si="16"/>
        <v/>
      </c>
    </row>
    <row r="618" spans="1:3">
      <c r="A618" s="335" t="str">
        <f t="shared" si="17"/>
        <v>Actionplan-Maßnahmenplan</v>
      </c>
      <c r="B618" t="str">
        <f>pos('Actionplan-Maßnahmenplan'!M21)</f>
        <v>$M$21</v>
      </c>
      <c r="C618" t="str">
        <f t="shared" ca="1" si="16"/>
        <v/>
      </c>
    </row>
    <row r="619" spans="1:3">
      <c r="A619" s="335" t="str">
        <f t="shared" si="17"/>
        <v>Actionplan-Maßnahmenplan</v>
      </c>
      <c r="B619" t="str">
        <f>pos('Actionplan-Maßnahmenplan'!M22)</f>
        <v>$M$22</v>
      </c>
      <c r="C619" t="str">
        <f t="shared" ca="1" si="16"/>
        <v/>
      </c>
    </row>
    <row r="620" spans="1:3">
      <c r="A620" s="335" t="str">
        <f t="shared" si="17"/>
        <v>Actionplan-Maßnahmenplan</v>
      </c>
      <c r="B620" t="str">
        <f>pos('Actionplan-Maßnahmenplan'!M23)</f>
        <v>$M$23</v>
      </c>
      <c r="C620" t="str">
        <f t="shared" ca="1" si="16"/>
        <v/>
      </c>
    </row>
    <row r="621" spans="1:3">
      <c r="A621" s="335" t="str">
        <f t="shared" si="17"/>
        <v>Actionplan-Maßnahmenplan</v>
      </c>
      <c r="B621" t="str">
        <f>pos('Actionplan-Maßnahmenplan'!M24)</f>
        <v>$M$24</v>
      </c>
      <c r="C621" t="str">
        <f t="shared" ca="1" si="16"/>
        <v/>
      </c>
    </row>
    <row r="622" spans="1:3">
      <c r="A622" s="335" t="str">
        <f t="shared" si="17"/>
        <v>Actionplan-Maßnahmenplan</v>
      </c>
      <c r="B622" t="str">
        <f>pos('Actionplan-Maßnahmenplan'!M25)</f>
        <v>$M$25</v>
      </c>
      <c r="C622" t="str">
        <f t="shared" ca="1" si="16"/>
        <v/>
      </c>
    </row>
    <row r="623" spans="1:3">
      <c r="A623" s="335" t="str">
        <f t="shared" si="17"/>
        <v>Actionplan-Maßnahmenplan</v>
      </c>
      <c r="B623" t="str">
        <f>pos('Actionplan-Maßnahmenplan'!M26)</f>
        <v>$M$26</v>
      </c>
      <c r="C623" t="str">
        <f t="shared" ca="1" si="16"/>
        <v/>
      </c>
    </row>
    <row r="624" spans="1:3">
      <c r="A624" s="335" t="str">
        <f t="shared" si="17"/>
        <v>Actionplan-Maßnahmenplan</v>
      </c>
      <c r="B624" t="str">
        <f>pos('Actionplan-Maßnahmenplan'!M27)</f>
        <v>$M$27</v>
      </c>
      <c r="C624" t="str">
        <f t="shared" ca="1" si="16"/>
        <v/>
      </c>
    </row>
    <row r="625" spans="1:3">
      <c r="A625" s="335" t="str">
        <f t="shared" si="17"/>
        <v>Actionplan-Maßnahmenplan</v>
      </c>
      <c r="B625" t="str">
        <f>pos('Actionplan-Maßnahmenplan'!M28)</f>
        <v>$M$28</v>
      </c>
      <c r="C625" t="str">
        <f t="shared" ca="1" si="16"/>
        <v/>
      </c>
    </row>
    <row r="626" spans="1:3">
      <c r="A626" s="335" t="str">
        <f t="shared" si="17"/>
        <v>Actionplan-Maßnahmenplan</v>
      </c>
      <c r="B626" t="str">
        <f>pos('Actionplan-Maßnahmenplan'!M29)</f>
        <v>$M$29</v>
      </c>
      <c r="C626" t="str">
        <f t="shared" ca="1" si="16"/>
        <v/>
      </c>
    </row>
    <row r="627" spans="1:3">
      <c r="A627" s="335" t="str">
        <f t="shared" si="17"/>
        <v>Actionplan-Maßnahmenplan</v>
      </c>
      <c r="B627" t="str">
        <f>pos('Actionplan-Maßnahmenplan'!M30)</f>
        <v>$M$30</v>
      </c>
      <c r="C627" t="str">
        <f t="shared" ca="1" si="16"/>
        <v/>
      </c>
    </row>
    <row r="628" spans="1:3">
      <c r="A628" s="335" t="str">
        <f t="shared" si="17"/>
        <v>Actionplan-Maßnahmenplan</v>
      </c>
      <c r="B628" t="str">
        <f>pos('Actionplan-Maßnahmenplan'!M31)</f>
        <v>$M$31</v>
      </c>
      <c r="C628" t="str">
        <f t="shared" ca="1" si="16"/>
        <v/>
      </c>
    </row>
    <row r="629" spans="1:3">
      <c r="A629" s="335" t="str">
        <f t="shared" si="17"/>
        <v>Actionplan-Maßnahmenplan</v>
      </c>
      <c r="B629" t="str">
        <f>pos('Actionplan-Maßnahmenplan'!M32)</f>
        <v>$M$32</v>
      </c>
      <c r="C629" t="str">
        <f t="shared" ca="1" si="16"/>
        <v/>
      </c>
    </row>
    <row r="630" spans="1:3">
      <c r="A630" s="335" t="str">
        <f t="shared" si="17"/>
        <v>Actionplan-Maßnahmenplan</v>
      </c>
      <c r="B630" t="str">
        <f>pos('Actionplan-Maßnahmenplan'!M33)</f>
        <v>$M$33</v>
      </c>
      <c r="C630" t="str">
        <f t="shared" ca="1" si="16"/>
        <v/>
      </c>
    </row>
    <row r="631" spans="1:3">
      <c r="A631" s="335" t="str">
        <f t="shared" si="17"/>
        <v>Actionplan-Maßnahmenplan</v>
      </c>
      <c r="B631" t="str">
        <f>pos('Actionplan-Maßnahmenplan'!M34)</f>
        <v>$M$34</v>
      </c>
      <c r="C631" t="str">
        <f t="shared" ca="1" si="16"/>
        <v/>
      </c>
    </row>
    <row r="632" spans="1:3">
      <c r="A632" s="335" t="str">
        <f t="shared" si="17"/>
        <v>Actionplan-Maßnahmenplan</v>
      </c>
      <c r="B632" t="str">
        <f>pos('Actionplan-Maßnahmenplan'!M35)</f>
        <v>$M$35</v>
      </c>
      <c r="C632" t="str">
        <f t="shared" ca="1" si="16"/>
        <v/>
      </c>
    </row>
    <row r="633" spans="1:3">
      <c r="A633" s="335" t="str">
        <f t="shared" si="17"/>
        <v>Actionplan-Maßnahmenplan</v>
      </c>
      <c r="B633" t="str">
        <f>pos('Actionplan-Maßnahmenplan'!M36)</f>
        <v>$M$36</v>
      </c>
      <c r="C633" t="str">
        <f t="shared" ca="1" si="16"/>
        <v/>
      </c>
    </row>
    <row r="634" spans="1:3">
      <c r="A634" s="335" t="str">
        <f t="shared" si="17"/>
        <v>Actionplan-Maßnahmenplan</v>
      </c>
      <c r="B634" t="str">
        <f>pos('Actionplan-Maßnahmenplan'!M37)</f>
        <v>$M$37</v>
      </c>
      <c r="C634" t="str">
        <f t="shared" ca="1" si="16"/>
        <v/>
      </c>
    </row>
    <row r="635" spans="1:3">
      <c r="A635" s="335" t="str">
        <f t="shared" si="17"/>
        <v>Actionplan-Maßnahmenplan</v>
      </c>
      <c r="B635" t="str">
        <f>pos('Actionplan-Maßnahmenplan'!M38)</f>
        <v>$M$38</v>
      </c>
      <c r="C635" t="str">
        <f t="shared" ca="1" si="16"/>
        <v/>
      </c>
    </row>
    <row r="636" spans="1:3">
      <c r="A636" s="335" t="str">
        <f t="shared" si="17"/>
        <v>Actionplan-Maßnahmenplan</v>
      </c>
      <c r="B636" t="str">
        <f>pos('Actionplan-Maßnahmenplan'!M39)</f>
        <v>$M$39</v>
      </c>
      <c r="C636" t="str">
        <f t="shared" ca="1" si="16"/>
        <v/>
      </c>
    </row>
    <row r="637" spans="1:3">
      <c r="A637" s="335" t="str">
        <f t="shared" si="17"/>
        <v>Actionplan-Maßnahmenplan</v>
      </c>
      <c r="B637" t="str">
        <f>pos('Actionplan-Maßnahmenplan'!M40)</f>
        <v>$M$40</v>
      </c>
      <c r="C637" t="str">
        <f t="shared" ca="1" si="16"/>
        <v/>
      </c>
    </row>
    <row r="638" spans="1:3">
      <c r="A638" s="335" t="str">
        <f t="shared" si="17"/>
        <v>Actionplan-Maßnahmenplan</v>
      </c>
      <c r="B638" t="str">
        <f>pos('Actionplan-Maßnahmenplan'!M41)</f>
        <v>$M$41</v>
      </c>
      <c r="C638" t="str">
        <f t="shared" ca="1" si="16"/>
        <v/>
      </c>
    </row>
    <row r="639" spans="1:3">
      <c r="A639" s="335" t="str">
        <f t="shared" si="17"/>
        <v>Actionplan-Maßnahmenplan</v>
      </c>
      <c r="B639" t="str">
        <f>pos('Actionplan-Maßnahmenplan'!M42)</f>
        <v>$M$42</v>
      </c>
      <c r="C639" t="str">
        <f t="shared" ca="1" si="16"/>
        <v/>
      </c>
    </row>
    <row r="640" spans="1:3">
      <c r="A640" s="335" t="str">
        <f t="shared" si="17"/>
        <v>Actionplan-Maßnahmenplan</v>
      </c>
      <c r="B640" t="str">
        <f>pos('Actionplan-Maßnahmenplan'!M43)</f>
        <v>$M$43</v>
      </c>
      <c r="C640" t="str">
        <f t="shared" ca="1" si="16"/>
        <v/>
      </c>
    </row>
    <row r="641" spans="1:3">
      <c r="A641" s="335" t="str">
        <f t="shared" si="17"/>
        <v>Actionplan-Maßnahmenplan</v>
      </c>
      <c r="B641" t="str">
        <f>pos('Actionplan-Maßnahmenplan'!M44)</f>
        <v>$M$44</v>
      </c>
      <c r="C641" t="str">
        <f t="shared" ref="C641:C704" ca="1" si="18">IF(INDIRECT("'"&amp;A641&amp;"'!"&amp;B641)=0,"",INDIRECT("'"&amp;A641&amp;"'!"&amp;B641))</f>
        <v/>
      </c>
    </row>
    <row r="642" spans="1:3">
      <c r="A642" s="335" t="str">
        <f t="shared" si="17"/>
        <v>Actionplan-Maßnahmenplan</v>
      </c>
      <c r="B642" t="str">
        <f>pos('Actionplan-Maßnahmenplan'!M45)</f>
        <v>$M$45</v>
      </c>
      <c r="C642" t="str">
        <f t="shared" ca="1" si="18"/>
        <v/>
      </c>
    </row>
    <row r="643" spans="1:3">
      <c r="A643" s="335" t="str">
        <f t="shared" si="17"/>
        <v>Actionplan-Maßnahmenplan</v>
      </c>
      <c r="B643" t="str">
        <f>pos('Actionplan-Maßnahmenplan'!M46)</f>
        <v>$M$46</v>
      </c>
      <c r="C643" t="str">
        <f t="shared" ca="1" si="18"/>
        <v/>
      </c>
    </row>
    <row r="644" spans="1:3">
      <c r="A644" s="335" t="str">
        <f t="shared" si="17"/>
        <v>Actionplan-Maßnahmenplan</v>
      </c>
      <c r="B644" t="str">
        <f>pos('Actionplan-Maßnahmenplan'!M47)</f>
        <v>$M$47</v>
      </c>
      <c r="C644" t="str">
        <f t="shared" ca="1" si="18"/>
        <v/>
      </c>
    </row>
    <row r="645" spans="1:3">
      <c r="A645" s="335" t="str">
        <f t="shared" si="17"/>
        <v>Actionplan-Maßnahmenplan</v>
      </c>
      <c r="B645" t="str">
        <f>pos('Actionplan-Maßnahmenplan'!M48)</f>
        <v>$M$48</v>
      </c>
      <c r="C645" t="str">
        <f t="shared" ca="1" si="18"/>
        <v/>
      </c>
    </row>
    <row r="646" spans="1:3">
      <c r="A646" s="335" t="str">
        <f t="shared" si="17"/>
        <v>Actionplan-Maßnahmenplan</v>
      </c>
      <c r="B646" t="str">
        <f>pos('Actionplan-Maßnahmenplan'!M49)</f>
        <v>$M$49</v>
      </c>
      <c r="C646" t="str">
        <f t="shared" ca="1" si="18"/>
        <v/>
      </c>
    </row>
    <row r="647" spans="1:3">
      <c r="A647" s="335" t="str">
        <f t="shared" si="17"/>
        <v>Actionplan-Maßnahmenplan</v>
      </c>
      <c r="B647" t="str">
        <f>pos('Actionplan-Maßnahmenplan'!M50)</f>
        <v>$M$50</v>
      </c>
      <c r="C647" t="str">
        <f t="shared" ca="1" si="18"/>
        <v/>
      </c>
    </row>
    <row r="648" spans="1:3">
      <c r="A648" s="335" t="str">
        <f t="shared" si="17"/>
        <v>Actionplan-Maßnahmenplan</v>
      </c>
      <c r="B648" t="str">
        <f>pos('Actionplan-Maßnahmenplan'!M51)</f>
        <v>$M$51</v>
      </c>
      <c r="C648" t="str">
        <f t="shared" ca="1" si="18"/>
        <v/>
      </c>
    </row>
    <row r="649" spans="1:3">
      <c r="A649" s="335" t="str">
        <f t="shared" si="17"/>
        <v>Actionplan-Maßnahmenplan</v>
      </c>
      <c r="B649" t="str">
        <f>pos('Actionplan-Maßnahmenplan'!M52)</f>
        <v>$M$52</v>
      </c>
      <c r="C649" t="str">
        <f t="shared" ca="1" si="18"/>
        <v/>
      </c>
    </row>
    <row r="650" spans="1:3">
      <c r="A650" s="335" t="str">
        <f t="shared" si="17"/>
        <v>Actionplan-Maßnahmenplan</v>
      </c>
      <c r="B650" t="str">
        <f>pos('Actionplan-Maßnahmenplan'!M53)</f>
        <v>$M$53</v>
      </c>
      <c r="C650" t="str">
        <f t="shared" ca="1" si="18"/>
        <v>Measure(s)</v>
      </c>
    </row>
    <row r="651" spans="1:3">
      <c r="A651" s="335" t="str">
        <f t="shared" si="17"/>
        <v>Actionplan-Maßnahmenplan</v>
      </c>
      <c r="B651" t="str">
        <f>pos('Actionplan-Maßnahmenplan'!M54)</f>
        <v>$M$54</v>
      </c>
      <c r="C651" t="str">
        <f t="shared" ca="1" si="18"/>
        <v/>
      </c>
    </row>
    <row r="652" spans="1:3">
      <c r="A652" s="335" t="str">
        <f t="shared" si="17"/>
        <v>Actionplan-Maßnahmenplan</v>
      </c>
      <c r="B652" t="str">
        <f>pos('Actionplan-Maßnahmenplan'!M55)</f>
        <v>$M$55</v>
      </c>
      <c r="C652" t="str">
        <f t="shared" ca="1" si="18"/>
        <v/>
      </c>
    </row>
    <row r="653" spans="1:3">
      <c r="A653" s="335" t="str">
        <f t="shared" si="17"/>
        <v>Actionplan-Maßnahmenplan</v>
      </c>
      <c r="B653" t="str">
        <f>pos('Actionplan-Maßnahmenplan'!M56)</f>
        <v>$M$56</v>
      </c>
      <c r="C653" t="str">
        <f t="shared" ca="1" si="18"/>
        <v/>
      </c>
    </row>
    <row r="654" spans="1:3">
      <c r="A654" s="335" t="str">
        <f t="shared" si="17"/>
        <v>Actionplan-Maßnahmenplan</v>
      </c>
      <c r="B654" t="str">
        <f>pos('Actionplan-Maßnahmenplan'!M64)</f>
        <v>$M$64</v>
      </c>
      <c r="C654" t="str">
        <f t="shared" ca="1" si="18"/>
        <v/>
      </c>
    </row>
    <row r="655" spans="1:3">
      <c r="A655" s="335" t="str">
        <f t="shared" si="17"/>
        <v>Actionplan-Maßnahmenplan</v>
      </c>
      <c r="B655" t="str">
        <f>pos('Actionplan-Maßnahmenplan'!M65)</f>
        <v>$M$65</v>
      </c>
      <c r="C655" t="str">
        <f t="shared" ca="1" si="18"/>
        <v/>
      </c>
    </row>
    <row r="656" spans="1:3">
      <c r="A656" s="335" t="str">
        <f t="shared" si="17"/>
        <v>Actionplan-Maßnahmenplan</v>
      </c>
      <c r="B656" t="str">
        <f>pos('Actionplan-Maßnahmenplan'!M66)</f>
        <v>$M$66</v>
      </c>
      <c r="C656" t="str">
        <f t="shared" ca="1" si="18"/>
        <v/>
      </c>
    </row>
    <row r="657" spans="1:3">
      <c r="A657" s="335" t="str">
        <f t="shared" si="17"/>
        <v>Actionplan-Maßnahmenplan</v>
      </c>
      <c r="B657" t="str">
        <f>pos('Actionplan-Maßnahmenplan'!M74)</f>
        <v>$M$74</v>
      </c>
      <c r="C657" t="str">
        <f t="shared" ca="1" si="18"/>
        <v/>
      </c>
    </row>
    <row r="658" spans="1:3">
      <c r="A658" s="335" t="str">
        <f t="shared" si="17"/>
        <v>Actionplan-Maßnahmenplan</v>
      </c>
      <c r="B658" t="str">
        <f>pos('Actionplan-Maßnahmenplan'!M75)</f>
        <v>$M$75</v>
      </c>
      <c r="C658" t="str">
        <f t="shared" ca="1" si="18"/>
        <v/>
      </c>
    </row>
    <row r="659" spans="1:3">
      <c r="A659" s="335" t="str">
        <f t="shared" si="17"/>
        <v>Actionplan-Maßnahmenplan</v>
      </c>
      <c r="B659" t="str">
        <f>pos('Actionplan-Maßnahmenplan'!M76)</f>
        <v>$M$76</v>
      </c>
      <c r="C659" t="str">
        <f t="shared" ca="1" si="18"/>
        <v/>
      </c>
    </row>
    <row r="660" spans="1:3">
      <c r="A660" s="335" t="str">
        <f t="shared" si="17"/>
        <v>Actionplan-Maßnahmenplan</v>
      </c>
      <c r="B660" t="str">
        <f>pos('Actionplan-Maßnahmenplan'!M84)</f>
        <v>$M$84</v>
      </c>
      <c r="C660" t="str">
        <f t="shared" ca="1" si="18"/>
        <v/>
      </c>
    </row>
    <row r="661" spans="1:3">
      <c r="A661" s="335" t="str">
        <f t="shared" si="17"/>
        <v>Actionplan-Maßnahmenplan</v>
      </c>
      <c r="B661" t="str">
        <f>pos('Actionplan-Maßnahmenplan'!M85)</f>
        <v>$M$85</v>
      </c>
      <c r="C661" t="str">
        <f t="shared" ca="1" si="18"/>
        <v/>
      </c>
    </row>
    <row r="662" spans="1:3">
      <c r="A662" s="335" t="str">
        <f t="shared" si="17"/>
        <v>Actionplan-Maßnahmenplan</v>
      </c>
      <c r="B662" t="str">
        <f>pos('Actionplan-Maßnahmenplan'!M86)</f>
        <v>$M$86</v>
      </c>
      <c r="C662" t="str">
        <f t="shared" ca="1" si="18"/>
        <v/>
      </c>
    </row>
    <row r="663" spans="1:3">
      <c r="A663" s="335" t="str">
        <f t="shared" si="17"/>
        <v>Actionplan-Maßnahmenplan</v>
      </c>
      <c r="B663" t="str">
        <f>pos('Actionplan-Maßnahmenplan'!M94)</f>
        <v>$M$94</v>
      </c>
      <c r="C663" t="str">
        <f t="shared" ca="1" si="18"/>
        <v/>
      </c>
    </row>
    <row r="664" spans="1:3">
      <c r="A664" s="335" t="str">
        <f t="shared" si="17"/>
        <v>Actionplan-Maßnahmenplan</v>
      </c>
      <c r="B664" t="str">
        <f>pos('Actionplan-Maßnahmenplan'!M95)</f>
        <v>$M$95</v>
      </c>
      <c r="C664" t="str">
        <f t="shared" ca="1" si="18"/>
        <v/>
      </c>
    </row>
    <row r="665" spans="1:3">
      <c r="A665" s="335" t="str">
        <f t="shared" si="17"/>
        <v>Actionplan-Maßnahmenplan</v>
      </c>
      <c r="B665" t="str">
        <f>pos('Actionplan-Maßnahmenplan'!M96)</f>
        <v>$M$96</v>
      </c>
      <c r="C665" t="str">
        <f t="shared" ca="1" si="18"/>
        <v/>
      </c>
    </row>
    <row r="666" spans="1:3">
      <c r="A666" s="335" t="str">
        <f t="shared" si="17"/>
        <v>Actionplan-Maßnahmenplan</v>
      </c>
      <c r="B666" t="str">
        <f>pos('Actionplan-Maßnahmenplan'!M104)</f>
        <v>$M$104</v>
      </c>
      <c r="C666" t="str">
        <f t="shared" ca="1" si="18"/>
        <v/>
      </c>
    </row>
    <row r="667" spans="1:3">
      <c r="A667" s="335" t="str">
        <f t="shared" si="17"/>
        <v>Actionplan-Maßnahmenplan</v>
      </c>
      <c r="B667" t="str">
        <f>pos('Actionplan-Maßnahmenplan'!M105)</f>
        <v>$M$105</v>
      </c>
      <c r="C667" t="str">
        <f t="shared" ca="1" si="18"/>
        <v/>
      </c>
    </row>
    <row r="668" spans="1:3">
      <c r="A668" s="335" t="str">
        <f t="shared" si="17"/>
        <v>Actionplan-Maßnahmenplan</v>
      </c>
      <c r="B668" t="str">
        <f>pos('Actionplan-Maßnahmenplan'!M106)</f>
        <v>$M$106</v>
      </c>
      <c r="C668" t="str">
        <f t="shared" ca="1" si="18"/>
        <v/>
      </c>
    </row>
    <row r="669" spans="1:3">
      <c r="A669" s="335" t="str">
        <f t="shared" si="17"/>
        <v>Actionplan-Maßnahmenplan</v>
      </c>
      <c r="B669" t="str">
        <f>pos('Actionplan-Maßnahmenplan'!M114)</f>
        <v>$M$114</v>
      </c>
      <c r="C669" t="str">
        <f t="shared" ca="1" si="18"/>
        <v/>
      </c>
    </row>
    <row r="670" spans="1:3">
      <c r="A670" s="335" t="str">
        <f t="shared" si="17"/>
        <v>Actionplan-Maßnahmenplan</v>
      </c>
      <c r="B670" t="str">
        <f>pos('Actionplan-Maßnahmenplan'!M115)</f>
        <v>$M$115</v>
      </c>
      <c r="C670" t="str">
        <f t="shared" ca="1" si="18"/>
        <v/>
      </c>
    </row>
    <row r="671" spans="1:3">
      <c r="A671" s="335" t="str">
        <f t="shared" si="17"/>
        <v>Actionplan-Maßnahmenplan</v>
      </c>
      <c r="B671" t="str">
        <f>pos('Actionplan-Maßnahmenplan'!M116)</f>
        <v>$M$116</v>
      </c>
      <c r="C671" t="str">
        <f t="shared" ca="1" si="18"/>
        <v/>
      </c>
    </row>
    <row r="672" spans="1:3">
      <c r="A672" s="335" t="str">
        <f t="shared" si="17"/>
        <v>Actionplan-Maßnahmenplan</v>
      </c>
      <c r="B672" t="str">
        <f>pos('Actionplan-Maßnahmenplan'!M124)</f>
        <v>$M$124</v>
      </c>
      <c r="C672" t="str">
        <f t="shared" ca="1" si="18"/>
        <v/>
      </c>
    </row>
    <row r="673" spans="1:3">
      <c r="A673" s="335" t="str">
        <f t="shared" si="17"/>
        <v>Actionplan-Maßnahmenplan</v>
      </c>
      <c r="B673" t="str">
        <f>pos('Actionplan-Maßnahmenplan'!M125)</f>
        <v>$M$125</v>
      </c>
      <c r="C673" t="str">
        <f t="shared" ca="1" si="18"/>
        <v/>
      </c>
    </row>
    <row r="674" spans="1:3">
      <c r="A674" s="335" t="str">
        <f t="shared" si="17"/>
        <v>Actionplan-Maßnahmenplan</v>
      </c>
      <c r="B674" t="str">
        <f>pos('Actionplan-Maßnahmenplan'!M126)</f>
        <v>$M$126</v>
      </c>
      <c r="C674" t="str">
        <f t="shared" ca="1" si="18"/>
        <v/>
      </c>
    </row>
    <row r="675" spans="1:3">
      <c r="A675" s="335" t="str">
        <f t="shared" ref="A675:A738" si="19">$A$482</f>
        <v>Actionplan-Maßnahmenplan</v>
      </c>
      <c r="B675" t="str">
        <f>pos('Actionplan-Maßnahmenplan'!M134)</f>
        <v>$M$134</v>
      </c>
      <c r="C675" t="str">
        <f t="shared" ca="1" si="18"/>
        <v/>
      </c>
    </row>
    <row r="676" spans="1:3">
      <c r="A676" s="335" t="str">
        <f t="shared" si="19"/>
        <v>Actionplan-Maßnahmenplan</v>
      </c>
      <c r="B676" t="str">
        <f>pos('Actionplan-Maßnahmenplan'!M135)</f>
        <v>$M$135</v>
      </c>
      <c r="C676" t="str">
        <f t="shared" ca="1" si="18"/>
        <v/>
      </c>
    </row>
    <row r="677" spans="1:3">
      <c r="A677" s="335" t="str">
        <f t="shared" si="19"/>
        <v>Actionplan-Maßnahmenplan</v>
      </c>
      <c r="B677" t="str">
        <f>pos('Actionplan-Maßnahmenplan'!M136)</f>
        <v>$M$136</v>
      </c>
      <c r="C677" t="str">
        <f t="shared" ca="1" si="18"/>
        <v/>
      </c>
    </row>
    <row r="678" spans="1:3">
      <c r="A678" s="335" t="str">
        <f t="shared" si="19"/>
        <v>Actionplan-Maßnahmenplan</v>
      </c>
      <c r="B678" t="str">
        <f>pos('Actionplan-Maßnahmenplan'!M144)</f>
        <v>$M$144</v>
      </c>
      <c r="C678" t="str">
        <f t="shared" ca="1" si="18"/>
        <v/>
      </c>
    </row>
    <row r="679" spans="1:3">
      <c r="A679" s="335" t="str">
        <f t="shared" si="19"/>
        <v>Actionplan-Maßnahmenplan</v>
      </c>
      <c r="B679" t="str">
        <f>pos('Actionplan-Maßnahmenplan'!M145)</f>
        <v>$M$145</v>
      </c>
      <c r="C679" t="str">
        <f t="shared" ca="1" si="18"/>
        <v/>
      </c>
    </row>
    <row r="680" spans="1:3">
      <c r="A680" s="335" t="str">
        <f t="shared" si="19"/>
        <v>Actionplan-Maßnahmenplan</v>
      </c>
      <c r="B680" t="str">
        <f>pos('Actionplan-Maßnahmenplan'!M146)</f>
        <v>$M$146</v>
      </c>
      <c r="C680" t="str">
        <f t="shared" ca="1" si="18"/>
        <v/>
      </c>
    </row>
    <row r="681" spans="1:3">
      <c r="A681" s="335" t="str">
        <f t="shared" si="19"/>
        <v>Actionplan-Maßnahmenplan</v>
      </c>
      <c r="B681" t="str">
        <f>pos('Actionplan-Maßnahmenplan'!M154)</f>
        <v>$M$154</v>
      </c>
      <c r="C681" t="str">
        <f t="shared" ca="1" si="18"/>
        <v/>
      </c>
    </row>
    <row r="682" spans="1:3">
      <c r="A682" s="335" t="str">
        <f t="shared" si="19"/>
        <v>Actionplan-Maßnahmenplan</v>
      </c>
      <c r="B682" t="str">
        <f>pos('Actionplan-Maßnahmenplan'!M155)</f>
        <v>$M$155</v>
      </c>
      <c r="C682" t="str">
        <f t="shared" ca="1" si="18"/>
        <v/>
      </c>
    </row>
    <row r="683" spans="1:3">
      <c r="A683" s="335" t="str">
        <f t="shared" si="19"/>
        <v>Actionplan-Maßnahmenplan</v>
      </c>
      <c r="B683" t="str">
        <f>pos('Actionplan-Maßnahmenplan'!M156)</f>
        <v>$M$156</v>
      </c>
      <c r="C683" t="str">
        <f t="shared" ca="1" si="18"/>
        <v/>
      </c>
    </row>
    <row r="684" spans="1:3">
      <c r="A684" s="335" t="str">
        <f t="shared" si="19"/>
        <v>Actionplan-Maßnahmenplan</v>
      </c>
      <c r="B684" t="str">
        <f>pos('Actionplan-Maßnahmenplan'!M164)</f>
        <v>$M$164</v>
      </c>
      <c r="C684" t="str">
        <f t="shared" ca="1" si="18"/>
        <v/>
      </c>
    </row>
    <row r="685" spans="1:3">
      <c r="A685" s="335" t="str">
        <f t="shared" si="19"/>
        <v>Actionplan-Maßnahmenplan</v>
      </c>
      <c r="B685" t="str">
        <f>pos('Actionplan-Maßnahmenplan'!M165)</f>
        <v>$M$165</v>
      </c>
      <c r="C685" t="str">
        <f t="shared" ca="1" si="18"/>
        <v/>
      </c>
    </row>
    <row r="686" spans="1:3">
      <c r="A686" s="335" t="str">
        <f t="shared" si="19"/>
        <v>Actionplan-Maßnahmenplan</v>
      </c>
      <c r="B686" t="str">
        <f>pos('Actionplan-Maßnahmenplan'!M166)</f>
        <v>$M$166</v>
      </c>
      <c r="C686" t="str">
        <f t="shared" ca="1" si="18"/>
        <v/>
      </c>
    </row>
    <row r="687" spans="1:3">
      <c r="A687" s="335" t="str">
        <f t="shared" si="19"/>
        <v>Actionplan-Maßnahmenplan</v>
      </c>
      <c r="B687" t="str">
        <f>pos('Actionplan-Maßnahmenplan'!M174)</f>
        <v>$M$174</v>
      </c>
      <c r="C687" t="str">
        <f t="shared" ca="1" si="18"/>
        <v/>
      </c>
    </row>
    <row r="688" spans="1:3">
      <c r="A688" s="335" t="str">
        <f t="shared" si="19"/>
        <v>Actionplan-Maßnahmenplan</v>
      </c>
      <c r="B688" t="str">
        <f>pos('Actionplan-Maßnahmenplan'!M175)</f>
        <v>$M$175</v>
      </c>
      <c r="C688" t="str">
        <f t="shared" ca="1" si="18"/>
        <v/>
      </c>
    </row>
    <row r="689" spans="1:3">
      <c r="A689" s="335" t="str">
        <f t="shared" si="19"/>
        <v>Actionplan-Maßnahmenplan</v>
      </c>
      <c r="B689" t="str">
        <f>pos('Actionplan-Maßnahmenplan'!M176)</f>
        <v>$M$176</v>
      </c>
      <c r="C689" t="str">
        <f t="shared" ca="1" si="18"/>
        <v/>
      </c>
    </row>
    <row r="690" spans="1:3">
      <c r="A690" s="335" t="str">
        <f t="shared" si="19"/>
        <v>Actionplan-Maßnahmenplan</v>
      </c>
      <c r="B690" t="str">
        <f>pos('Actionplan-Maßnahmenplan'!M184)</f>
        <v>$M$184</v>
      </c>
      <c r="C690" t="str">
        <f t="shared" ca="1" si="18"/>
        <v/>
      </c>
    </row>
    <row r="691" spans="1:3">
      <c r="A691" s="335" t="str">
        <f t="shared" si="19"/>
        <v>Actionplan-Maßnahmenplan</v>
      </c>
      <c r="B691" t="str">
        <f>pos('Actionplan-Maßnahmenplan'!M185)</f>
        <v>$M$185</v>
      </c>
      <c r="C691" t="str">
        <f t="shared" ca="1" si="18"/>
        <v/>
      </c>
    </row>
    <row r="692" spans="1:3">
      <c r="A692" s="335" t="str">
        <f t="shared" si="19"/>
        <v>Actionplan-Maßnahmenplan</v>
      </c>
      <c r="B692" t="str">
        <f>pos('Actionplan-Maßnahmenplan'!M186)</f>
        <v>$M$186</v>
      </c>
      <c r="C692" t="str">
        <f t="shared" ca="1" si="18"/>
        <v/>
      </c>
    </row>
    <row r="693" spans="1:3">
      <c r="A693" s="335" t="str">
        <f t="shared" si="19"/>
        <v>Actionplan-Maßnahmenplan</v>
      </c>
      <c r="B693" t="str">
        <f>pos('Actionplan-Maßnahmenplan'!M194)</f>
        <v>$M$194</v>
      </c>
      <c r="C693" t="str">
        <f t="shared" ca="1" si="18"/>
        <v>Will immediately enter missing Data, have on Paper already</v>
      </c>
    </row>
    <row r="694" spans="1:3">
      <c r="A694" s="335" t="str">
        <f t="shared" si="19"/>
        <v>Actionplan-Maßnahmenplan</v>
      </c>
      <c r="B694" t="str">
        <f>pos('Actionplan-Maßnahmenplan'!M195)</f>
        <v>$M$195</v>
      </c>
      <c r="C694" t="str">
        <f t="shared" ca="1" si="18"/>
        <v/>
      </c>
    </row>
    <row r="695" spans="1:3">
      <c r="A695" s="335" t="str">
        <f t="shared" si="19"/>
        <v>Actionplan-Maßnahmenplan</v>
      </c>
      <c r="B695" t="str">
        <f>pos('Actionplan-Maßnahmenplan'!M196)</f>
        <v>$M$196</v>
      </c>
      <c r="C695" t="str">
        <f t="shared" ca="1" si="18"/>
        <v/>
      </c>
    </row>
    <row r="696" spans="1:3">
      <c r="A696" s="335" t="str">
        <f t="shared" si="19"/>
        <v>Actionplan-Maßnahmenplan</v>
      </c>
      <c r="B696" t="str">
        <f>pos('Actionplan-Maßnahmenplan'!M204)</f>
        <v>$M$204</v>
      </c>
      <c r="C696" t="str">
        <f t="shared" ca="1" si="18"/>
        <v/>
      </c>
    </row>
    <row r="697" spans="1:3">
      <c r="A697" s="335" t="str">
        <f t="shared" si="19"/>
        <v>Actionplan-Maßnahmenplan</v>
      </c>
      <c r="B697" t="str">
        <f>pos('Actionplan-Maßnahmenplan'!M205)</f>
        <v>$M$205</v>
      </c>
      <c r="C697" t="str">
        <f t="shared" ca="1" si="18"/>
        <v/>
      </c>
    </row>
    <row r="698" spans="1:3">
      <c r="A698" s="335" t="str">
        <f t="shared" si="19"/>
        <v>Actionplan-Maßnahmenplan</v>
      </c>
      <c r="B698" t="str">
        <f>pos('Actionplan-Maßnahmenplan'!M206)</f>
        <v>$M$206</v>
      </c>
      <c r="C698" t="str">
        <f t="shared" ca="1" si="18"/>
        <v/>
      </c>
    </row>
    <row r="699" spans="1:3">
      <c r="A699" s="335" t="str">
        <f t="shared" si="19"/>
        <v>Actionplan-Maßnahmenplan</v>
      </c>
      <c r="B699" t="str">
        <f>pos('Actionplan-Maßnahmenplan'!M214)</f>
        <v>$M$214</v>
      </c>
      <c r="C699" t="str">
        <f t="shared" ca="1" si="18"/>
        <v>Project with collecting Gases from Furnaces, started 2022 and forecast is to be imlemented during Q2 - Q3 2024</v>
      </c>
    </row>
    <row r="700" spans="1:3">
      <c r="A700" s="335" t="str">
        <f t="shared" si="19"/>
        <v>Actionplan-Maßnahmenplan</v>
      </c>
      <c r="B700" t="str">
        <f>pos('Actionplan-Maßnahmenplan'!M215)</f>
        <v>$M$215</v>
      </c>
      <c r="C700" t="str">
        <f t="shared" ca="1" si="18"/>
        <v>Project with collecting Gases from Furnaces, started 2022 and forecast is to be imlemented during Q2 - Q3 2024</v>
      </c>
    </row>
    <row r="701" spans="1:3">
      <c r="A701" s="335" t="str">
        <f t="shared" si="19"/>
        <v>Actionplan-Maßnahmenplan</v>
      </c>
      <c r="B701" t="str">
        <f>pos('Actionplan-Maßnahmenplan'!M216)</f>
        <v>$M$216</v>
      </c>
      <c r="C701" t="str">
        <f t="shared" ca="1" si="18"/>
        <v/>
      </c>
    </row>
    <row r="702" spans="1:3">
      <c r="A702" s="335" t="str">
        <f t="shared" si="19"/>
        <v>Actionplan-Maßnahmenplan</v>
      </c>
      <c r="B702" t="str">
        <f>pos('Actionplan-Maßnahmenplan'!M224)</f>
        <v>$M$224</v>
      </c>
      <c r="C702" t="str">
        <f t="shared" ca="1" si="18"/>
        <v/>
      </c>
    </row>
    <row r="703" spans="1:3">
      <c r="A703" s="335" t="str">
        <f t="shared" si="19"/>
        <v>Actionplan-Maßnahmenplan</v>
      </c>
      <c r="B703" t="str">
        <f>pos('Actionplan-Maßnahmenplan'!M225)</f>
        <v>$M$225</v>
      </c>
      <c r="C703" t="str">
        <f t="shared" ca="1" si="18"/>
        <v/>
      </c>
    </row>
    <row r="704" spans="1:3">
      <c r="A704" s="335" t="str">
        <f t="shared" si="19"/>
        <v>Actionplan-Maßnahmenplan</v>
      </c>
      <c r="B704" t="str">
        <f>pos('Actionplan-Maßnahmenplan'!M226)</f>
        <v>$M$226</v>
      </c>
      <c r="C704" t="str">
        <f t="shared" ca="1" si="18"/>
        <v/>
      </c>
    </row>
    <row r="705" spans="1:3">
      <c r="A705" s="335" t="str">
        <f t="shared" si="19"/>
        <v>Actionplan-Maßnahmenplan</v>
      </c>
      <c r="B705" t="str">
        <f>pos('Actionplan-Maßnahmenplan'!M234)</f>
        <v>$M$234</v>
      </c>
      <c r="C705" t="str">
        <f t="shared" ref="C705:C768" ca="1" si="20">IF(INDIRECT("'"&amp;A705&amp;"'!"&amp;B705)=0,"",INDIRECT("'"&amp;A705&amp;"'!"&amp;B705))</f>
        <v/>
      </c>
    </row>
    <row r="706" spans="1:3">
      <c r="A706" s="335" t="str">
        <f t="shared" si="19"/>
        <v>Actionplan-Maßnahmenplan</v>
      </c>
      <c r="B706" t="str">
        <f>pos('Actionplan-Maßnahmenplan'!M235)</f>
        <v>$M$235</v>
      </c>
      <c r="C706" t="str">
        <f t="shared" ca="1" si="20"/>
        <v/>
      </c>
    </row>
    <row r="707" spans="1:3">
      <c r="A707" s="335" t="str">
        <f t="shared" si="19"/>
        <v>Actionplan-Maßnahmenplan</v>
      </c>
      <c r="B707" t="str">
        <f>pos('Actionplan-Maßnahmenplan'!M236)</f>
        <v>$M$236</v>
      </c>
      <c r="C707" t="str">
        <f t="shared" ca="1" si="20"/>
        <v/>
      </c>
    </row>
    <row r="708" spans="1:3">
      <c r="A708" s="335" t="str">
        <f t="shared" si="19"/>
        <v>Actionplan-Maßnahmenplan</v>
      </c>
      <c r="B708" t="str">
        <f>pos('Actionplan-Maßnahmenplan'!M244)</f>
        <v>$M$244</v>
      </c>
      <c r="C708" t="str">
        <f t="shared" ca="1" si="20"/>
        <v/>
      </c>
    </row>
    <row r="709" spans="1:3">
      <c r="A709" s="335" t="str">
        <f t="shared" si="19"/>
        <v>Actionplan-Maßnahmenplan</v>
      </c>
      <c r="B709" t="str">
        <f>pos('Actionplan-Maßnahmenplan'!M245)</f>
        <v>$M$245</v>
      </c>
      <c r="C709" t="str">
        <f t="shared" ca="1" si="20"/>
        <v/>
      </c>
    </row>
    <row r="710" spans="1:3">
      <c r="A710" s="335" t="str">
        <f t="shared" si="19"/>
        <v>Actionplan-Maßnahmenplan</v>
      </c>
      <c r="B710" t="str">
        <f>pos('Actionplan-Maßnahmenplan'!M246)</f>
        <v>$M$246</v>
      </c>
      <c r="C710" t="str">
        <f t="shared" ca="1" si="20"/>
        <v/>
      </c>
    </row>
    <row r="711" spans="1:3">
      <c r="A711" s="335" t="str">
        <f t="shared" si="19"/>
        <v>Actionplan-Maßnahmenplan</v>
      </c>
      <c r="B711" t="str">
        <f>pos('Actionplan-Maßnahmenplan'!M254)</f>
        <v>$M$254</v>
      </c>
      <c r="C711" t="str">
        <f t="shared" ca="1" si="20"/>
        <v/>
      </c>
    </row>
    <row r="712" spans="1:3">
      <c r="A712" s="335" t="str">
        <f t="shared" si="19"/>
        <v>Actionplan-Maßnahmenplan</v>
      </c>
      <c r="B712" t="str">
        <f>pos('Actionplan-Maßnahmenplan'!M255)</f>
        <v>$M$255</v>
      </c>
      <c r="C712" t="str">
        <f t="shared" ca="1" si="20"/>
        <v/>
      </c>
    </row>
    <row r="713" spans="1:3">
      <c r="A713" s="335" t="str">
        <f t="shared" si="19"/>
        <v>Actionplan-Maßnahmenplan</v>
      </c>
      <c r="B713" t="str">
        <f>pos('Actionplan-Maßnahmenplan'!M256)</f>
        <v>$M$256</v>
      </c>
      <c r="C713" t="str">
        <f t="shared" ca="1" si="20"/>
        <v/>
      </c>
    </row>
    <row r="714" spans="1:3">
      <c r="A714" s="335" t="str">
        <f t="shared" si="19"/>
        <v>Actionplan-Maßnahmenplan</v>
      </c>
      <c r="B714" t="str">
        <f>pos('Actionplan-Maßnahmenplan'!M264)</f>
        <v>$M$264</v>
      </c>
      <c r="C714" t="str">
        <f t="shared" ca="1" si="20"/>
        <v/>
      </c>
    </row>
    <row r="715" spans="1:3">
      <c r="A715" s="335" t="str">
        <f t="shared" si="19"/>
        <v>Actionplan-Maßnahmenplan</v>
      </c>
      <c r="B715" t="str">
        <f>pos('Actionplan-Maßnahmenplan'!M265)</f>
        <v>$M$265</v>
      </c>
      <c r="C715" t="str">
        <f t="shared" ca="1" si="20"/>
        <v/>
      </c>
    </row>
    <row r="716" spans="1:3">
      <c r="A716" s="335" t="str">
        <f t="shared" si="19"/>
        <v>Actionplan-Maßnahmenplan</v>
      </c>
      <c r="B716" t="str">
        <f>pos('Actionplan-Maßnahmenplan'!M266)</f>
        <v>$M$266</v>
      </c>
      <c r="C716" t="str">
        <f t="shared" ca="1" si="20"/>
        <v/>
      </c>
    </row>
    <row r="717" spans="1:3">
      <c r="A717" s="335" t="str">
        <f t="shared" si="19"/>
        <v>Actionplan-Maßnahmenplan</v>
      </c>
      <c r="B717" t="str">
        <f>pos('Actionplan-Maßnahmenplan'!M274)</f>
        <v>$M$274</v>
      </c>
      <c r="C717" t="str">
        <f t="shared" ca="1" si="20"/>
        <v/>
      </c>
    </row>
    <row r="718" spans="1:3">
      <c r="A718" s="335" t="str">
        <f t="shared" si="19"/>
        <v>Actionplan-Maßnahmenplan</v>
      </c>
      <c r="B718" t="str">
        <f>pos('Actionplan-Maßnahmenplan'!M275)</f>
        <v>$M$275</v>
      </c>
      <c r="C718" t="str">
        <f t="shared" ca="1" si="20"/>
        <v/>
      </c>
    </row>
    <row r="719" spans="1:3">
      <c r="A719" s="335" t="str">
        <f t="shared" si="19"/>
        <v>Actionplan-Maßnahmenplan</v>
      </c>
      <c r="B719" t="str">
        <f>pos('Actionplan-Maßnahmenplan'!M276)</f>
        <v>$M$276</v>
      </c>
      <c r="C719" t="str">
        <f t="shared" ca="1" si="20"/>
        <v/>
      </c>
    </row>
    <row r="720" spans="1:3">
      <c r="A720" s="335" t="str">
        <f t="shared" si="19"/>
        <v>Actionplan-Maßnahmenplan</v>
      </c>
      <c r="B720" t="str">
        <f>pos('Actionplan-Maßnahmenplan'!M284)</f>
        <v>$M$284</v>
      </c>
      <c r="C720" t="str">
        <f t="shared" ca="1" si="20"/>
        <v/>
      </c>
    </row>
    <row r="721" spans="1:3">
      <c r="A721" s="335" t="str">
        <f t="shared" si="19"/>
        <v>Actionplan-Maßnahmenplan</v>
      </c>
      <c r="B721" t="str">
        <f>pos('Actionplan-Maßnahmenplan'!M285)</f>
        <v>$M$285</v>
      </c>
      <c r="C721" t="str">
        <f t="shared" ca="1" si="20"/>
        <v/>
      </c>
    </row>
    <row r="722" spans="1:3">
      <c r="A722" s="335" t="str">
        <f t="shared" si="19"/>
        <v>Actionplan-Maßnahmenplan</v>
      </c>
      <c r="B722" t="str">
        <f>pos('Actionplan-Maßnahmenplan'!M286)</f>
        <v>$M$286</v>
      </c>
      <c r="C722" t="str">
        <f t="shared" ca="1" si="20"/>
        <v/>
      </c>
    </row>
    <row r="723" spans="1:3">
      <c r="A723" s="335" t="str">
        <f t="shared" si="19"/>
        <v>Actionplan-Maßnahmenplan</v>
      </c>
      <c r="B723" t="str">
        <f>pos('Actionplan-Maßnahmenplan'!M294)</f>
        <v>$M$294</v>
      </c>
      <c r="C723" t="str">
        <f t="shared" ca="1" si="20"/>
        <v>Will immediately enter missing Data, have on Paper already</v>
      </c>
    </row>
    <row r="724" spans="1:3">
      <c r="A724" s="335" t="str">
        <f t="shared" si="19"/>
        <v>Actionplan-Maßnahmenplan</v>
      </c>
      <c r="B724" t="str">
        <f>pos('Actionplan-Maßnahmenplan'!M295)</f>
        <v>$M$295</v>
      </c>
      <c r="C724" t="str">
        <f t="shared" ca="1" si="20"/>
        <v/>
      </c>
    </row>
    <row r="725" spans="1:3">
      <c r="A725" s="335" t="str">
        <f t="shared" si="19"/>
        <v>Actionplan-Maßnahmenplan</v>
      </c>
      <c r="B725" t="str">
        <f>pos('Actionplan-Maßnahmenplan'!M296)</f>
        <v>$M$296</v>
      </c>
      <c r="C725" t="str">
        <f t="shared" ca="1" si="20"/>
        <v/>
      </c>
    </row>
    <row r="726" spans="1:3">
      <c r="A726" s="335" t="str">
        <f t="shared" si="19"/>
        <v>Actionplan-Maßnahmenplan</v>
      </c>
      <c r="B726" t="str">
        <f>pos('Actionplan-Maßnahmenplan'!M304)</f>
        <v>$M$304</v>
      </c>
      <c r="C726" t="str">
        <f t="shared" ca="1" si="20"/>
        <v/>
      </c>
    </row>
    <row r="727" spans="1:3">
      <c r="A727" s="335" t="str">
        <f t="shared" si="19"/>
        <v>Actionplan-Maßnahmenplan</v>
      </c>
      <c r="B727" t="str">
        <f>pos('Actionplan-Maßnahmenplan'!M305)</f>
        <v>$M$305</v>
      </c>
      <c r="C727" t="str">
        <f t="shared" ca="1" si="20"/>
        <v/>
      </c>
    </row>
    <row r="728" spans="1:3">
      <c r="A728" s="335" t="str">
        <f t="shared" si="19"/>
        <v>Actionplan-Maßnahmenplan</v>
      </c>
      <c r="B728" t="str">
        <f>pos('Actionplan-Maßnahmenplan'!M306)</f>
        <v>$M$306</v>
      </c>
      <c r="C728" t="str">
        <f t="shared" ca="1" si="20"/>
        <v/>
      </c>
    </row>
    <row r="729" spans="1:3">
      <c r="A729" s="335" t="str">
        <f t="shared" si="19"/>
        <v>Actionplan-Maßnahmenplan</v>
      </c>
      <c r="B729" t="str">
        <f>pos('Actionplan-Maßnahmenplan'!M314)</f>
        <v>$M$314</v>
      </c>
      <c r="C729" t="str">
        <f t="shared" ca="1" si="20"/>
        <v/>
      </c>
    </row>
    <row r="730" spans="1:3">
      <c r="A730" s="335" t="str">
        <f t="shared" si="19"/>
        <v>Actionplan-Maßnahmenplan</v>
      </c>
      <c r="B730" t="str">
        <f>pos('Actionplan-Maßnahmenplan'!M315)</f>
        <v>$M$315</v>
      </c>
      <c r="C730" t="str">
        <f t="shared" ca="1" si="20"/>
        <v/>
      </c>
    </row>
    <row r="731" spans="1:3">
      <c r="A731" s="335" t="str">
        <f t="shared" si="19"/>
        <v>Actionplan-Maßnahmenplan</v>
      </c>
      <c r="B731" t="str">
        <f>pos('Actionplan-Maßnahmenplan'!M316)</f>
        <v>$M$316</v>
      </c>
      <c r="C731" t="str">
        <f t="shared" ca="1" si="20"/>
        <v/>
      </c>
    </row>
    <row r="732" spans="1:3">
      <c r="A732" s="335" t="str">
        <f t="shared" si="19"/>
        <v>Actionplan-Maßnahmenplan</v>
      </c>
      <c r="B732" t="str">
        <f>pos('Actionplan-Maßnahmenplan'!M317)</f>
        <v>$M$317</v>
      </c>
      <c r="C732" t="str">
        <f t="shared" ca="1" si="20"/>
        <v/>
      </c>
    </row>
    <row r="733" spans="1:3">
      <c r="A733" s="335" t="str">
        <f t="shared" si="19"/>
        <v>Actionplan-Maßnahmenplan</v>
      </c>
      <c r="B733" t="str">
        <f>pos('Actionplan-Maßnahmenplan'!M318)</f>
        <v>$M$318</v>
      </c>
      <c r="C733" t="str">
        <f t="shared" ca="1" si="20"/>
        <v/>
      </c>
    </row>
    <row r="734" spans="1:3">
      <c r="A734" s="335" t="str">
        <f t="shared" si="19"/>
        <v>Actionplan-Maßnahmenplan</v>
      </c>
      <c r="B734" t="str">
        <f>pos('Actionplan-Maßnahmenplan'!M319)</f>
        <v>$M$319</v>
      </c>
      <c r="C734" t="str">
        <f t="shared" ca="1" si="20"/>
        <v/>
      </c>
    </row>
    <row r="735" spans="1:3">
      <c r="A735" s="335" t="str">
        <f t="shared" si="19"/>
        <v>Actionplan-Maßnahmenplan</v>
      </c>
      <c r="B735" t="str">
        <f>pos('Actionplan-Maßnahmenplan'!M320)</f>
        <v>$M$320</v>
      </c>
      <c r="C735" t="str">
        <f t="shared" ca="1" si="20"/>
        <v/>
      </c>
    </row>
    <row r="736" spans="1:3">
      <c r="A736" s="335" t="str">
        <f t="shared" si="19"/>
        <v>Actionplan-Maßnahmenplan</v>
      </c>
      <c r="B736" t="str">
        <f>pos('Actionplan-Maßnahmenplan'!O12)</f>
        <v>$O$12</v>
      </c>
      <c r="C736" t="str">
        <f t="shared" ca="1" si="20"/>
        <v/>
      </c>
    </row>
    <row r="737" spans="1:3">
      <c r="A737" s="335" t="str">
        <f t="shared" si="19"/>
        <v>Actionplan-Maßnahmenplan</v>
      </c>
      <c r="B737" t="str">
        <f>pos('Actionplan-Maßnahmenplan'!O13)</f>
        <v>$O$13</v>
      </c>
      <c r="C737" t="str">
        <f t="shared" ca="1" si="20"/>
        <v/>
      </c>
    </row>
    <row r="738" spans="1:3">
      <c r="A738" s="335" t="str">
        <f t="shared" si="19"/>
        <v>Actionplan-Maßnahmenplan</v>
      </c>
      <c r="B738" t="str">
        <f>pos('Actionplan-Maßnahmenplan'!O14)</f>
        <v>$O$14</v>
      </c>
      <c r="C738" t="str">
        <f t="shared" ca="1" si="20"/>
        <v/>
      </c>
    </row>
    <row r="739" spans="1:3">
      <c r="A739" s="335" t="str">
        <f t="shared" ref="A739:A802" si="21">$A$482</f>
        <v>Actionplan-Maßnahmenplan</v>
      </c>
      <c r="B739" t="str">
        <f>pos('Actionplan-Maßnahmenplan'!O15)</f>
        <v>$O$15</v>
      </c>
      <c r="C739" t="str">
        <f t="shared" ca="1" si="20"/>
        <v/>
      </c>
    </row>
    <row r="740" spans="1:3">
      <c r="A740" s="335" t="str">
        <f t="shared" si="21"/>
        <v>Actionplan-Maßnahmenplan</v>
      </c>
      <c r="B740" t="str">
        <f>pos('Actionplan-Maßnahmenplan'!O16)</f>
        <v>$O$16</v>
      </c>
      <c r="C740" t="str">
        <f t="shared" ca="1" si="20"/>
        <v/>
      </c>
    </row>
    <row r="741" spans="1:3">
      <c r="A741" s="335" t="str">
        <f t="shared" si="21"/>
        <v>Actionplan-Maßnahmenplan</v>
      </c>
      <c r="B741" t="str">
        <f>pos('Actionplan-Maßnahmenplan'!O17)</f>
        <v>$O$17</v>
      </c>
      <c r="C741" t="str">
        <f t="shared" ca="1" si="20"/>
        <v/>
      </c>
    </row>
    <row r="742" spans="1:3">
      <c r="A742" s="335" t="str">
        <f t="shared" si="21"/>
        <v>Actionplan-Maßnahmenplan</v>
      </c>
      <c r="B742" t="str">
        <f>pos('Actionplan-Maßnahmenplan'!O18)</f>
        <v>$O$18</v>
      </c>
      <c r="C742" t="str">
        <f t="shared" ca="1" si="20"/>
        <v/>
      </c>
    </row>
    <row r="743" spans="1:3">
      <c r="A743" s="335" t="str">
        <f t="shared" si="21"/>
        <v>Actionplan-Maßnahmenplan</v>
      </c>
      <c r="B743" t="str">
        <f>pos('Actionplan-Maßnahmenplan'!O19)</f>
        <v>$O$19</v>
      </c>
      <c r="C743" t="str">
        <f t="shared" ca="1" si="20"/>
        <v/>
      </c>
    </row>
    <row r="744" spans="1:3">
      <c r="A744" s="335" t="str">
        <f t="shared" si="21"/>
        <v>Actionplan-Maßnahmenplan</v>
      </c>
      <c r="B744" t="str">
        <f>pos('Actionplan-Maßnahmenplan'!O20)</f>
        <v>$O$20</v>
      </c>
      <c r="C744" t="str">
        <f t="shared" ca="1" si="20"/>
        <v/>
      </c>
    </row>
    <row r="745" spans="1:3">
      <c r="A745" s="335" t="str">
        <f t="shared" si="21"/>
        <v>Actionplan-Maßnahmenplan</v>
      </c>
      <c r="B745" t="str">
        <f>pos('Actionplan-Maßnahmenplan'!O21)</f>
        <v>$O$21</v>
      </c>
      <c r="C745" t="str">
        <f t="shared" ca="1" si="20"/>
        <v/>
      </c>
    </row>
    <row r="746" spans="1:3">
      <c r="A746" s="335" t="str">
        <f t="shared" si="21"/>
        <v>Actionplan-Maßnahmenplan</v>
      </c>
      <c r="B746" t="str">
        <f>pos('Actionplan-Maßnahmenplan'!O22)</f>
        <v>$O$22</v>
      </c>
      <c r="C746" t="str">
        <f t="shared" ca="1" si="20"/>
        <v/>
      </c>
    </row>
    <row r="747" spans="1:3">
      <c r="A747" s="335" t="str">
        <f t="shared" si="21"/>
        <v>Actionplan-Maßnahmenplan</v>
      </c>
      <c r="B747" t="str">
        <f>pos('Actionplan-Maßnahmenplan'!O23)</f>
        <v>$O$23</v>
      </c>
      <c r="C747" t="str">
        <f t="shared" ca="1" si="20"/>
        <v/>
      </c>
    </row>
    <row r="748" spans="1:3">
      <c r="A748" s="335" t="str">
        <f t="shared" si="21"/>
        <v>Actionplan-Maßnahmenplan</v>
      </c>
      <c r="B748" t="str">
        <f>pos('Actionplan-Maßnahmenplan'!O24)</f>
        <v>$O$24</v>
      </c>
      <c r="C748" t="str">
        <f t="shared" ca="1" si="20"/>
        <v/>
      </c>
    </row>
    <row r="749" spans="1:3">
      <c r="A749" s="335" t="str">
        <f t="shared" si="21"/>
        <v>Actionplan-Maßnahmenplan</v>
      </c>
      <c r="B749" t="str">
        <f>pos('Actionplan-Maßnahmenplan'!O25)</f>
        <v>$O$25</v>
      </c>
      <c r="C749" t="str">
        <f t="shared" ca="1" si="20"/>
        <v/>
      </c>
    </row>
    <row r="750" spans="1:3">
      <c r="A750" s="335" t="str">
        <f t="shared" si="21"/>
        <v>Actionplan-Maßnahmenplan</v>
      </c>
      <c r="B750" t="str">
        <f>pos('Actionplan-Maßnahmenplan'!O26)</f>
        <v>$O$26</v>
      </c>
      <c r="C750" t="str">
        <f t="shared" ca="1" si="20"/>
        <v/>
      </c>
    </row>
    <row r="751" spans="1:3">
      <c r="A751" s="335" t="str">
        <f t="shared" si="21"/>
        <v>Actionplan-Maßnahmenplan</v>
      </c>
      <c r="B751" t="str">
        <f>pos('Actionplan-Maßnahmenplan'!O27)</f>
        <v>$O$27</v>
      </c>
      <c r="C751" t="str">
        <f t="shared" ca="1" si="20"/>
        <v/>
      </c>
    </row>
    <row r="752" spans="1:3">
      <c r="A752" s="335" t="str">
        <f t="shared" si="21"/>
        <v>Actionplan-Maßnahmenplan</v>
      </c>
      <c r="B752" t="str">
        <f>pos('Actionplan-Maßnahmenplan'!O28)</f>
        <v>$O$28</v>
      </c>
      <c r="C752" t="str">
        <f t="shared" ca="1" si="20"/>
        <v/>
      </c>
    </row>
    <row r="753" spans="1:3">
      <c r="A753" s="335" t="str">
        <f t="shared" si="21"/>
        <v>Actionplan-Maßnahmenplan</v>
      </c>
      <c r="B753" t="str">
        <f>pos('Actionplan-Maßnahmenplan'!O29)</f>
        <v>$O$29</v>
      </c>
      <c r="C753" t="str">
        <f t="shared" ca="1" si="20"/>
        <v/>
      </c>
    </row>
    <row r="754" spans="1:3">
      <c r="A754" s="335" t="str">
        <f t="shared" si="21"/>
        <v>Actionplan-Maßnahmenplan</v>
      </c>
      <c r="B754" t="str">
        <f>pos('Actionplan-Maßnahmenplan'!O30)</f>
        <v>$O$30</v>
      </c>
      <c r="C754" t="str">
        <f t="shared" ca="1" si="20"/>
        <v/>
      </c>
    </row>
    <row r="755" spans="1:3">
      <c r="A755" s="335" t="str">
        <f t="shared" si="21"/>
        <v>Actionplan-Maßnahmenplan</v>
      </c>
      <c r="B755" t="str">
        <f>pos('Actionplan-Maßnahmenplan'!O31)</f>
        <v>$O$31</v>
      </c>
      <c r="C755" t="str">
        <f t="shared" ca="1" si="20"/>
        <v/>
      </c>
    </row>
    <row r="756" spans="1:3">
      <c r="A756" s="335" t="str">
        <f t="shared" si="21"/>
        <v>Actionplan-Maßnahmenplan</v>
      </c>
      <c r="B756" t="str">
        <f>pos('Actionplan-Maßnahmenplan'!O32)</f>
        <v>$O$32</v>
      </c>
      <c r="C756" t="str">
        <f t="shared" ca="1" si="20"/>
        <v/>
      </c>
    </row>
    <row r="757" spans="1:3">
      <c r="A757" s="335" t="str">
        <f t="shared" si="21"/>
        <v>Actionplan-Maßnahmenplan</v>
      </c>
      <c r="B757" t="str">
        <f>pos('Actionplan-Maßnahmenplan'!O33)</f>
        <v>$O$33</v>
      </c>
      <c r="C757" t="str">
        <f t="shared" ca="1" si="20"/>
        <v/>
      </c>
    </row>
    <row r="758" spans="1:3">
      <c r="A758" s="335" t="str">
        <f t="shared" si="21"/>
        <v>Actionplan-Maßnahmenplan</v>
      </c>
      <c r="B758" t="str">
        <f>pos('Actionplan-Maßnahmenplan'!O34)</f>
        <v>$O$34</v>
      </c>
      <c r="C758" t="str">
        <f t="shared" ca="1" si="20"/>
        <v/>
      </c>
    </row>
    <row r="759" spans="1:3">
      <c r="A759" s="335" t="str">
        <f t="shared" si="21"/>
        <v>Actionplan-Maßnahmenplan</v>
      </c>
      <c r="B759" t="str">
        <f>pos('Actionplan-Maßnahmenplan'!O35)</f>
        <v>$O$35</v>
      </c>
      <c r="C759" t="str">
        <f t="shared" ca="1" si="20"/>
        <v/>
      </c>
    </row>
    <row r="760" spans="1:3">
      <c r="A760" s="335" t="str">
        <f t="shared" si="21"/>
        <v>Actionplan-Maßnahmenplan</v>
      </c>
      <c r="B760" t="str">
        <f>pos('Actionplan-Maßnahmenplan'!O36)</f>
        <v>$O$36</v>
      </c>
      <c r="C760" t="str">
        <f t="shared" ca="1" si="20"/>
        <v/>
      </c>
    </row>
    <row r="761" spans="1:3">
      <c r="A761" s="335" t="str">
        <f t="shared" si="21"/>
        <v>Actionplan-Maßnahmenplan</v>
      </c>
      <c r="B761" t="str">
        <f>pos('Actionplan-Maßnahmenplan'!O37)</f>
        <v>$O$37</v>
      </c>
      <c r="C761" t="str">
        <f t="shared" ca="1" si="20"/>
        <v/>
      </c>
    </row>
    <row r="762" spans="1:3">
      <c r="A762" s="335" t="str">
        <f t="shared" si="21"/>
        <v>Actionplan-Maßnahmenplan</v>
      </c>
      <c r="B762" t="str">
        <f>pos('Actionplan-Maßnahmenplan'!O38)</f>
        <v>$O$38</v>
      </c>
      <c r="C762" t="str">
        <f t="shared" ca="1" si="20"/>
        <v/>
      </c>
    </row>
    <row r="763" spans="1:3">
      <c r="A763" s="335" t="str">
        <f t="shared" si="21"/>
        <v>Actionplan-Maßnahmenplan</v>
      </c>
      <c r="B763" t="str">
        <f>pos('Actionplan-Maßnahmenplan'!O39)</f>
        <v>$O$39</v>
      </c>
      <c r="C763" t="str">
        <f t="shared" ca="1" si="20"/>
        <v/>
      </c>
    </row>
    <row r="764" spans="1:3">
      <c r="A764" s="335" t="str">
        <f t="shared" si="21"/>
        <v>Actionplan-Maßnahmenplan</v>
      </c>
      <c r="B764" t="str">
        <f>pos('Actionplan-Maßnahmenplan'!O40)</f>
        <v>$O$40</v>
      </c>
      <c r="C764" t="str">
        <f t="shared" ca="1" si="20"/>
        <v/>
      </c>
    </row>
    <row r="765" spans="1:3">
      <c r="A765" s="335" t="str">
        <f t="shared" si="21"/>
        <v>Actionplan-Maßnahmenplan</v>
      </c>
      <c r="B765" t="str">
        <f>pos('Actionplan-Maßnahmenplan'!O41)</f>
        <v>$O$41</v>
      </c>
      <c r="C765" t="str">
        <f t="shared" ca="1" si="20"/>
        <v/>
      </c>
    </row>
    <row r="766" spans="1:3">
      <c r="A766" s="335" t="str">
        <f t="shared" si="21"/>
        <v>Actionplan-Maßnahmenplan</v>
      </c>
      <c r="B766" t="str">
        <f>pos('Actionplan-Maßnahmenplan'!O42)</f>
        <v>$O$42</v>
      </c>
      <c r="C766" t="str">
        <f t="shared" ca="1" si="20"/>
        <v/>
      </c>
    </row>
    <row r="767" spans="1:3">
      <c r="A767" s="335" t="str">
        <f t="shared" si="21"/>
        <v>Actionplan-Maßnahmenplan</v>
      </c>
      <c r="B767" t="str">
        <f>pos('Actionplan-Maßnahmenplan'!O43)</f>
        <v>$O$43</v>
      </c>
      <c r="C767" t="str">
        <f t="shared" ca="1" si="20"/>
        <v/>
      </c>
    </row>
    <row r="768" spans="1:3">
      <c r="A768" s="335" t="str">
        <f t="shared" si="21"/>
        <v>Actionplan-Maßnahmenplan</v>
      </c>
      <c r="B768" t="str">
        <f>pos('Actionplan-Maßnahmenplan'!O44)</f>
        <v>$O$44</v>
      </c>
      <c r="C768" t="str">
        <f t="shared" ca="1" si="20"/>
        <v/>
      </c>
    </row>
    <row r="769" spans="1:3">
      <c r="A769" s="335" t="str">
        <f t="shared" si="21"/>
        <v>Actionplan-Maßnahmenplan</v>
      </c>
      <c r="B769" t="str">
        <f>pos('Actionplan-Maßnahmenplan'!O45)</f>
        <v>$O$45</v>
      </c>
      <c r="C769" t="str">
        <f t="shared" ref="C769:C832" ca="1" si="22">IF(INDIRECT("'"&amp;A769&amp;"'!"&amp;B769)=0,"",INDIRECT("'"&amp;A769&amp;"'!"&amp;B769))</f>
        <v/>
      </c>
    </row>
    <row r="770" spans="1:3">
      <c r="A770" s="335" t="str">
        <f t="shared" si="21"/>
        <v>Actionplan-Maßnahmenplan</v>
      </c>
      <c r="B770" t="str">
        <f>pos('Actionplan-Maßnahmenplan'!O46)</f>
        <v>$O$46</v>
      </c>
      <c r="C770" t="str">
        <f t="shared" ca="1" si="22"/>
        <v/>
      </c>
    </row>
    <row r="771" spans="1:3">
      <c r="A771" s="335" t="str">
        <f t="shared" si="21"/>
        <v>Actionplan-Maßnahmenplan</v>
      </c>
      <c r="B771" t="str">
        <f>pos('Actionplan-Maßnahmenplan'!O47)</f>
        <v>$O$47</v>
      </c>
      <c r="C771" t="str">
        <f t="shared" ca="1" si="22"/>
        <v/>
      </c>
    </row>
    <row r="772" spans="1:3">
      <c r="A772" s="335" t="str">
        <f t="shared" si="21"/>
        <v>Actionplan-Maßnahmenplan</v>
      </c>
      <c r="B772" t="str">
        <f>pos('Actionplan-Maßnahmenplan'!O48)</f>
        <v>$O$48</v>
      </c>
      <c r="C772" t="str">
        <f t="shared" ca="1" si="22"/>
        <v/>
      </c>
    </row>
    <row r="773" spans="1:3">
      <c r="A773" s="335" t="str">
        <f t="shared" si="21"/>
        <v>Actionplan-Maßnahmenplan</v>
      </c>
      <c r="B773" t="str">
        <f>pos('Actionplan-Maßnahmenplan'!O49)</f>
        <v>$O$49</v>
      </c>
      <c r="C773" t="str">
        <f t="shared" ca="1" si="22"/>
        <v/>
      </c>
    </row>
    <row r="774" spans="1:3">
      <c r="A774" s="335" t="str">
        <f t="shared" si="21"/>
        <v>Actionplan-Maßnahmenplan</v>
      </c>
      <c r="B774" t="str">
        <f>pos('Actionplan-Maßnahmenplan'!O50)</f>
        <v>$O$50</v>
      </c>
      <c r="C774" t="str">
        <f t="shared" ca="1" si="22"/>
        <v/>
      </c>
    </row>
    <row r="775" spans="1:3">
      <c r="A775" s="335" t="str">
        <f t="shared" si="21"/>
        <v>Actionplan-Maßnahmenplan</v>
      </c>
      <c r="B775" t="str">
        <f>pos('Actionplan-Maßnahmenplan'!O51)</f>
        <v>$O$51</v>
      </c>
      <c r="C775" t="str">
        <f t="shared" ca="1" si="22"/>
        <v/>
      </c>
    </row>
    <row r="776" spans="1:3">
      <c r="A776" s="335" t="str">
        <f t="shared" si="21"/>
        <v>Actionplan-Maßnahmenplan</v>
      </c>
      <c r="B776" t="str">
        <f>pos('Actionplan-Maßnahmenplan'!O52)</f>
        <v>$O$52</v>
      </c>
      <c r="C776" t="str">
        <f t="shared" ca="1" si="22"/>
        <v/>
      </c>
    </row>
    <row r="777" spans="1:3">
      <c r="A777" s="335" t="str">
        <f t="shared" si="21"/>
        <v>Actionplan-Maßnahmenplan</v>
      </c>
      <c r="B777" t="str">
        <f>pos('Actionplan-Maßnahmenplan'!O53)</f>
        <v>$O$53</v>
      </c>
      <c r="C777" t="str">
        <f t="shared" ca="1" si="22"/>
        <v>Deadline</v>
      </c>
    </row>
    <row r="778" spans="1:3">
      <c r="A778" s="335" t="str">
        <f t="shared" si="21"/>
        <v>Actionplan-Maßnahmenplan</v>
      </c>
      <c r="B778" t="str">
        <f>pos('Actionplan-Maßnahmenplan'!O54)</f>
        <v>$O$54</v>
      </c>
      <c r="C778" t="str">
        <f t="shared" ca="1" si="22"/>
        <v/>
      </c>
    </row>
    <row r="779" spans="1:3">
      <c r="A779" s="335" t="str">
        <f t="shared" si="21"/>
        <v>Actionplan-Maßnahmenplan</v>
      </c>
      <c r="B779" t="str">
        <f>pos('Actionplan-Maßnahmenplan'!O55)</f>
        <v>$O$55</v>
      </c>
      <c r="C779" t="str">
        <f t="shared" ca="1" si="22"/>
        <v/>
      </c>
    </row>
    <row r="780" spans="1:3">
      <c r="A780" s="335" t="str">
        <f t="shared" si="21"/>
        <v>Actionplan-Maßnahmenplan</v>
      </c>
      <c r="B780" t="str">
        <f>pos('Actionplan-Maßnahmenplan'!O56)</f>
        <v>$O$56</v>
      </c>
      <c r="C780" t="str">
        <f t="shared" ca="1" si="22"/>
        <v/>
      </c>
    </row>
    <row r="781" spans="1:3">
      <c r="A781" s="335" t="str">
        <f t="shared" si="21"/>
        <v>Actionplan-Maßnahmenplan</v>
      </c>
      <c r="B781" t="str">
        <f>pos('Actionplan-Maßnahmenplan'!O64)</f>
        <v>$O$64</v>
      </c>
      <c r="C781" t="str">
        <f t="shared" ca="1" si="22"/>
        <v/>
      </c>
    </row>
    <row r="782" spans="1:3">
      <c r="A782" s="335" t="str">
        <f t="shared" si="21"/>
        <v>Actionplan-Maßnahmenplan</v>
      </c>
      <c r="B782" t="str">
        <f>pos('Actionplan-Maßnahmenplan'!O65)</f>
        <v>$O$65</v>
      </c>
      <c r="C782" t="str">
        <f t="shared" ca="1" si="22"/>
        <v/>
      </c>
    </row>
    <row r="783" spans="1:3">
      <c r="A783" s="335" t="str">
        <f t="shared" si="21"/>
        <v>Actionplan-Maßnahmenplan</v>
      </c>
      <c r="B783" t="str">
        <f>pos('Actionplan-Maßnahmenplan'!O66)</f>
        <v>$O$66</v>
      </c>
      <c r="C783" t="str">
        <f t="shared" ca="1" si="22"/>
        <v/>
      </c>
    </row>
    <row r="784" spans="1:3">
      <c r="A784" s="335" t="str">
        <f t="shared" si="21"/>
        <v>Actionplan-Maßnahmenplan</v>
      </c>
      <c r="B784" t="str">
        <f>pos('Actionplan-Maßnahmenplan'!O74)</f>
        <v>$O$74</v>
      </c>
      <c r="C784" t="str">
        <f t="shared" ca="1" si="22"/>
        <v/>
      </c>
    </row>
    <row r="785" spans="1:3">
      <c r="A785" s="335" t="str">
        <f t="shared" si="21"/>
        <v>Actionplan-Maßnahmenplan</v>
      </c>
      <c r="B785" t="str">
        <f>pos('Actionplan-Maßnahmenplan'!O75)</f>
        <v>$O$75</v>
      </c>
      <c r="C785" t="str">
        <f t="shared" ca="1" si="22"/>
        <v/>
      </c>
    </row>
    <row r="786" spans="1:3">
      <c r="A786" s="335" t="str">
        <f t="shared" si="21"/>
        <v>Actionplan-Maßnahmenplan</v>
      </c>
      <c r="B786" t="str">
        <f>pos('Actionplan-Maßnahmenplan'!O76)</f>
        <v>$O$76</v>
      </c>
      <c r="C786" t="str">
        <f t="shared" ca="1" si="22"/>
        <v/>
      </c>
    </row>
    <row r="787" spans="1:3">
      <c r="A787" s="335" t="str">
        <f t="shared" si="21"/>
        <v>Actionplan-Maßnahmenplan</v>
      </c>
      <c r="B787" t="str">
        <f>pos('Actionplan-Maßnahmenplan'!O84)</f>
        <v>$O$84</v>
      </c>
      <c r="C787" t="str">
        <f t="shared" ca="1" si="22"/>
        <v/>
      </c>
    </row>
    <row r="788" spans="1:3">
      <c r="A788" s="335" t="str">
        <f t="shared" si="21"/>
        <v>Actionplan-Maßnahmenplan</v>
      </c>
      <c r="B788" t="str">
        <f>pos('Actionplan-Maßnahmenplan'!O85)</f>
        <v>$O$85</v>
      </c>
      <c r="C788" t="str">
        <f t="shared" ca="1" si="22"/>
        <v/>
      </c>
    </row>
    <row r="789" spans="1:3">
      <c r="A789" s="335" t="str">
        <f t="shared" si="21"/>
        <v>Actionplan-Maßnahmenplan</v>
      </c>
      <c r="B789" t="str">
        <f>pos('Actionplan-Maßnahmenplan'!O86)</f>
        <v>$O$86</v>
      </c>
      <c r="C789" t="str">
        <f t="shared" ca="1" si="22"/>
        <v/>
      </c>
    </row>
    <row r="790" spans="1:3">
      <c r="A790" s="335" t="str">
        <f t="shared" si="21"/>
        <v>Actionplan-Maßnahmenplan</v>
      </c>
      <c r="B790" t="str">
        <f>pos('Actionplan-Maßnahmenplan'!O94)</f>
        <v>$O$94</v>
      </c>
      <c r="C790" t="str">
        <f t="shared" ca="1" si="22"/>
        <v/>
      </c>
    </row>
    <row r="791" spans="1:3">
      <c r="A791" s="335" t="str">
        <f t="shared" si="21"/>
        <v>Actionplan-Maßnahmenplan</v>
      </c>
      <c r="B791" t="str">
        <f>pos('Actionplan-Maßnahmenplan'!O95)</f>
        <v>$O$95</v>
      </c>
      <c r="C791" t="str">
        <f t="shared" ca="1" si="22"/>
        <v/>
      </c>
    </row>
    <row r="792" spans="1:3">
      <c r="A792" s="335" t="str">
        <f t="shared" si="21"/>
        <v>Actionplan-Maßnahmenplan</v>
      </c>
      <c r="B792" t="str">
        <f>pos('Actionplan-Maßnahmenplan'!O96)</f>
        <v>$O$96</v>
      </c>
      <c r="C792" t="str">
        <f t="shared" ca="1" si="22"/>
        <v/>
      </c>
    </row>
    <row r="793" spans="1:3">
      <c r="A793" s="335" t="str">
        <f t="shared" si="21"/>
        <v>Actionplan-Maßnahmenplan</v>
      </c>
      <c r="B793" t="str">
        <f>pos('Actionplan-Maßnahmenplan'!O104)</f>
        <v>$O$104</v>
      </c>
      <c r="C793" t="str">
        <f t="shared" ca="1" si="22"/>
        <v/>
      </c>
    </row>
    <row r="794" spans="1:3">
      <c r="A794" s="335" t="str">
        <f t="shared" si="21"/>
        <v>Actionplan-Maßnahmenplan</v>
      </c>
      <c r="B794" t="str">
        <f>pos('Actionplan-Maßnahmenplan'!O105)</f>
        <v>$O$105</v>
      </c>
      <c r="C794" t="str">
        <f t="shared" ca="1" si="22"/>
        <v/>
      </c>
    </row>
    <row r="795" spans="1:3">
      <c r="A795" s="335" t="str">
        <f t="shared" si="21"/>
        <v>Actionplan-Maßnahmenplan</v>
      </c>
      <c r="B795" t="str">
        <f>pos('Actionplan-Maßnahmenplan'!O106)</f>
        <v>$O$106</v>
      </c>
      <c r="C795" t="str">
        <f t="shared" ca="1" si="22"/>
        <v/>
      </c>
    </row>
    <row r="796" spans="1:3">
      <c r="A796" s="335" t="str">
        <f t="shared" si="21"/>
        <v>Actionplan-Maßnahmenplan</v>
      </c>
      <c r="B796" t="str">
        <f>pos('Actionplan-Maßnahmenplan'!O114)</f>
        <v>$O$114</v>
      </c>
      <c r="C796" t="str">
        <f t="shared" ca="1" si="22"/>
        <v/>
      </c>
    </row>
    <row r="797" spans="1:3">
      <c r="A797" s="335" t="str">
        <f t="shared" si="21"/>
        <v>Actionplan-Maßnahmenplan</v>
      </c>
      <c r="B797" t="str">
        <f>pos('Actionplan-Maßnahmenplan'!O115)</f>
        <v>$O$115</v>
      </c>
      <c r="C797" t="str">
        <f t="shared" ca="1" si="22"/>
        <v/>
      </c>
    </row>
    <row r="798" spans="1:3">
      <c r="A798" s="335" t="str">
        <f t="shared" si="21"/>
        <v>Actionplan-Maßnahmenplan</v>
      </c>
      <c r="B798" t="str">
        <f>pos('Actionplan-Maßnahmenplan'!O116)</f>
        <v>$O$116</v>
      </c>
      <c r="C798" t="str">
        <f t="shared" ca="1" si="22"/>
        <v/>
      </c>
    </row>
    <row r="799" spans="1:3">
      <c r="A799" s="335" t="str">
        <f t="shared" si="21"/>
        <v>Actionplan-Maßnahmenplan</v>
      </c>
      <c r="B799" t="str">
        <f>pos('Actionplan-Maßnahmenplan'!O124)</f>
        <v>$O$124</v>
      </c>
      <c r="C799" t="str">
        <f t="shared" ca="1" si="22"/>
        <v/>
      </c>
    </row>
    <row r="800" spans="1:3">
      <c r="A800" s="335" t="str">
        <f t="shared" si="21"/>
        <v>Actionplan-Maßnahmenplan</v>
      </c>
      <c r="B800" t="str">
        <f>pos('Actionplan-Maßnahmenplan'!O125)</f>
        <v>$O$125</v>
      </c>
      <c r="C800" t="str">
        <f t="shared" ca="1" si="22"/>
        <v/>
      </c>
    </row>
    <row r="801" spans="1:3">
      <c r="A801" s="335" t="str">
        <f t="shared" si="21"/>
        <v>Actionplan-Maßnahmenplan</v>
      </c>
      <c r="B801" t="str">
        <f>pos('Actionplan-Maßnahmenplan'!O126)</f>
        <v>$O$126</v>
      </c>
      <c r="C801" t="str">
        <f t="shared" ca="1" si="22"/>
        <v/>
      </c>
    </row>
    <row r="802" spans="1:3">
      <c r="A802" s="335" t="str">
        <f t="shared" si="21"/>
        <v>Actionplan-Maßnahmenplan</v>
      </c>
      <c r="B802" t="str">
        <f>pos('Actionplan-Maßnahmenplan'!O134)</f>
        <v>$O$134</v>
      </c>
      <c r="C802" t="str">
        <f t="shared" ca="1" si="22"/>
        <v/>
      </c>
    </row>
    <row r="803" spans="1:3">
      <c r="A803" s="335" t="str">
        <f t="shared" ref="A803:A866" si="23">$A$482</f>
        <v>Actionplan-Maßnahmenplan</v>
      </c>
      <c r="B803" t="str">
        <f>pos('Actionplan-Maßnahmenplan'!O135)</f>
        <v>$O$135</v>
      </c>
      <c r="C803" t="str">
        <f t="shared" ca="1" si="22"/>
        <v/>
      </c>
    </row>
    <row r="804" spans="1:3">
      <c r="A804" s="335" t="str">
        <f t="shared" si="23"/>
        <v>Actionplan-Maßnahmenplan</v>
      </c>
      <c r="B804" t="str">
        <f>pos('Actionplan-Maßnahmenplan'!O136)</f>
        <v>$O$136</v>
      </c>
      <c r="C804" t="str">
        <f t="shared" ca="1" si="22"/>
        <v/>
      </c>
    </row>
    <row r="805" spans="1:3">
      <c r="A805" s="335" t="str">
        <f t="shared" si="23"/>
        <v>Actionplan-Maßnahmenplan</v>
      </c>
      <c r="B805" t="str">
        <f>pos('Actionplan-Maßnahmenplan'!O144)</f>
        <v>$O$144</v>
      </c>
      <c r="C805" t="str">
        <f t="shared" ca="1" si="22"/>
        <v/>
      </c>
    </row>
    <row r="806" spans="1:3">
      <c r="A806" s="335" t="str">
        <f t="shared" si="23"/>
        <v>Actionplan-Maßnahmenplan</v>
      </c>
      <c r="B806" t="str">
        <f>pos('Actionplan-Maßnahmenplan'!O145)</f>
        <v>$O$145</v>
      </c>
      <c r="C806" t="str">
        <f t="shared" ca="1" si="22"/>
        <v/>
      </c>
    </row>
    <row r="807" spans="1:3">
      <c r="A807" s="335" t="str">
        <f t="shared" si="23"/>
        <v>Actionplan-Maßnahmenplan</v>
      </c>
      <c r="B807" t="str">
        <f>pos('Actionplan-Maßnahmenplan'!O146)</f>
        <v>$O$146</v>
      </c>
      <c r="C807" t="str">
        <f t="shared" ca="1" si="22"/>
        <v/>
      </c>
    </row>
    <row r="808" spans="1:3">
      <c r="A808" s="335" t="str">
        <f t="shared" si="23"/>
        <v>Actionplan-Maßnahmenplan</v>
      </c>
      <c r="B808" t="str">
        <f>pos('Actionplan-Maßnahmenplan'!O154)</f>
        <v>$O$154</v>
      </c>
      <c r="C808" t="str">
        <f t="shared" ca="1" si="22"/>
        <v/>
      </c>
    </row>
    <row r="809" spans="1:3">
      <c r="A809" s="335" t="str">
        <f t="shared" si="23"/>
        <v>Actionplan-Maßnahmenplan</v>
      </c>
      <c r="B809" t="str">
        <f>pos('Actionplan-Maßnahmenplan'!O155)</f>
        <v>$O$155</v>
      </c>
      <c r="C809" t="str">
        <f t="shared" ca="1" si="22"/>
        <v/>
      </c>
    </row>
    <row r="810" spans="1:3">
      <c r="A810" s="335" t="str">
        <f t="shared" si="23"/>
        <v>Actionplan-Maßnahmenplan</v>
      </c>
      <c r="B810" t="str">
        <f>pos('Actionplan-Maßnahmenplan'!O156)</f>
        <v>$O$156</v>
      </c>
      <c r="C810" t="str">
        <f t="shared" ca="1" si="22"/>
        <v/>
      </c>
    </row>
    <row r="811" spans="1:3">
      <c r="A811" s="335" t="str">
        <f t="shared" si="23"/>
        <v>Actionplan-Maßnahmenplan</v>
      </c>
      <c r="B811" t="str">
        <f>pos('Actionplan-Maßnahmenplan'!O164)</f>
        <v>$O$164</v>
      </c>
      <c r="C811" t="str">
        <f t="shared" ca="1" si="22"/>
        <v/>
      </c>
    </row>
    <row r="812" spans="1:3">
      <c r="A812" s="335" t="str">
        <f t="shared" si="23"/>
        <v>Actionplan-Maßnahmenplan</v>
      </c>
      <c r="B812" t="str">
        <f>pos('Actionplan-Maßnahmenplan'!O165)</f>
        <v>$O$165</v>
      </c>
      <c r="C812" t="str">
        <f t="shared" ca="1" si="22"/>
        <v/>
      </c>
    </row>
    <row r="813" spans="1:3">
      <c r="A813" s="335" t="str">
        <f t="shared" si="23"/>
        <v>Actionplan-Maßnahmenplan</v>
      </c>
      <c r="B813" t="str">
        <f>pos('Actionplan-Maßnahmenplan'!O166)</f>
        <v>$O$166</v>
      </c>
      <c r="C813" t="str">
        <f t="shared" ca="1" si="22"/>
        <v/>
      </c>
    </row>
    <row r="814" spans="1:3">
      <c r="A814" s="335" t="str">
        <f t="shared" si="23"/>
        <v>Actionplan-Maßnahmenplan</v>
      </c>
      <c r="B814" t="str">
        <f>pos('Actionplan-Maßnahmenplan'!O174)</f>
        <v>$O$174</v>
      </c>
      <c r="C814" t="str">
        <f t="shared" ca="1" si="22"/>
        <v/>
      </c>
    </row>
    <row r="815" spans="1:3">
      <c r="A815" s="335" t="str">
        <f t="shared" si="23"/>
        <v>Actionplan-Maßnahmenplan</v>
      </c>
      <c r="B815" t="str">
        <f>pos('Actionplan-Maßnahmenplan'!O175)</f>
        <v>$O$175</v>
      </c>
      <c r="C815" t="str">
        <f t="shared" ca="1" si="22"/>
        <v/>
      </c>
    </row>
    <row r="816" spans="1:3">
      <c r="A816" s="335" t="str">
        <f t="shared" si="23"/>
        <v>Actionplan-Maßnahmenplan</v>
      </c>
      <c r="B816" t="str">
        <f>pos('Actionplan-Maßnahmenplan'!O176)</f>
        <v>$O$176</v>
      </c>
      <c r="C816" t="str">
        <f t="shared" ca="1" si="22"/>
        <v/>
      </c>
    </row>
    <row r="817" spans="1:3">
      <c r="A817" s="335" t="str">
        <f t="shared" si="23"/>
        <v>Actionplan-Maßnahmenplan</v>
      </c>
      <c r="B817" t="str">
        <f>pos('Actionplan-Maßnahmenplan'!O184)</f>
        <v>$O$184</v>
      </c>
      <c r="C817" t="str">
        <f t="shared" ca="1" si="22"/>
        <v/>
      </c>
    </row>
    <row r="818" spans="1:3">
      <c r="A818" s="335" t="str">
        <f t="shared" si="23"/>
        <v>Actionplan-Maßnahmenplan</v>
      </c>
      <c r="B818" t="str">
        <f>pos('Actionplan-Maßnahmenplan'!O185)</f>
        <v>$O$185</v>
      </c>
      <c r="C818" t="str">
        <f t="shared" ca="1" si="22"/>
        <v/>
      </c>
    </row>
    <row r="819" spans="1:3">
      <c r="A819" s="335" t="str">
        <f t="shared" si="23"/>
        <v>Actionplan-Maßnahmenplan</v>
      </c>
      <c r="B819" t="str">
        <f>pos('Actionplan-Maßnahmenplan'!O186)</f>
        <v>$O$186</v>
      </c>
      <c r="C819" t="str">
        <f t="shared" ca="1" si="22"/>
        <v/>
      </c>
    </row>
    <row r="820" spans="1:3">
      <c r="A820" s="335" t="str">
        <f t="shared" si="23"/>
        <v>Actionplan-Maßnahmenplan</v>
      </c>
      <c r="B820" t="str">
        <f>pos('Actionplan-Maßnahmenplan'!O194)</f>
        <v>$O$194</v>
      </c>
      <c r="C820">
        <f t="shared" ca="1" si="22"/>
        <v>45716</v>
      </c>
    </row>
    <row r="821" spans="1:3">
      <c r="A821" s="335" t="str">
        <f t="shared" si="23"/>
        <v>Actionplan-Maßnahmenplan</v>
      </c>
      <c r="B821" t="str">
        <f>pos('Actionplan-Maßnahmenplan'!O195)</f>
        <v>$O$195</v>
      </c>
      <c r="C821" t="str">
        <f t="shared" ca="1" si="22"/>
        <v/>
      </c>
    </row>
    <row r="822" spans="1:3">
      <c r="A822" s="335" t="str">
        <f t="shared" si="23"/>
        <v>Actionplan-Maßnahmenplan</v>
      </c>
      <c r="B822" t="str">
        <f>pos('Actionplan-Maßnahmenplan'!O196)</f>
        <v>$O$196</v>
      </c>
      <c r="C822" t="str">
        <f t="shared" ca="1" si="22"/>
        <v/>
      </c>
    </row>
    <row r="823" spans="1:3">
      <c r="A823" s="335" t="str">
        <f t="shared" si="23"/>
        <v>Actionplan-Maßnahmenplan</v>
      </c>
      <c r="B823" t="str">
        <f>pos('Actionplan-Maßnahmenplan'!O204)</f>
        <v>$O$204</v>
      </c>
      <c r="C823" t="str">
        <f t="shared" ca="1" si="22"/>
        <v/>
      </c>
    </row>
    <row r="824" spans="1:3">
      <c r="A824" s="335" t="str">
        <f t="shared" si="23"/>
        <v>Actionplan-Maßnahmenplan</v>
      </c>
      <c r="B824" t="str">
        <f>pos('Actionplan-Maßnahmenplan'!O205)</f>
        <v>$O$205</v>
      </c>
      <c r="C824" t="str">
        <f t="shared" ca="1" si="22"/>
        <v/>
      </c>
    </row>
    <row r="825" spans="1:3">
      <c r="A825" s="335" t="str">
        <f t="shared" si="23"/>
        <v>Actionplan-Maßnahmenplan</v>
      </c>
      <c r="B825" t="str">
        <f>pos('Actionplan-Maßnahmenplan'!O206)</f>
        <v>$O$206</v>
      </c>
      <c r="C825" t="str">
        <f t="shared" ca="1" si="22"/>
        <v/>
      </c>
    </row>
    <row r="826" spans="1:3">
      <c r="A826" s="335" t="str">
        <f t="shared" si="23"/>
        <v>Actionplan-Maßnahmenplan</v>
      </c>
      <c r="B826" t="str">
        <f>pos('Actionplan-Maßnahmenplan'!O214)</f>
        <v>$O$214</v>
      </c>
      <c r="C826" t="str">
        <f t="shared" ca="1" si="22"/>
        <v>Q3</v>
      </c>
    </row>
    <row r="827" spans="1:3">
      <c r="A827" s="335" t="str">
        <f t="shared" si="23"/>
        <v>Actionplan-Maßnahmenplan</v>
      </c>
      <c r="B827" t="str">
        <f>pos('Actionplan-Maßnahmenplan'!O215)</f>
        <v>$O$215</v>
      </c>
      <c r="C827" t="str">
        <f t="shared" ca="1" si="22"/>
        <v>Q3</v>
      </c>
    </row>
    <row r="828" spans="1:3">
      <c r="A828" s="335" t="str">
        <f t="shared" si="23"/>
        <v>Actionplan-Maßnahmenplan</v>
      </c>
      <c r="B828" t="str">
        <f>pos('Actionplan-Maßnahmenplan'!O216)</f>
        <v>$O$216</v>
      </c>
      <c r="C828" t="str">
        <f t="shared" ca="1" si="22"/>
        <v/>
      </c>
    </row>
    <row r="829" spans="1:3">
      <c r="A829" s="335" t="str">
        <f t="shared" si="23"/>
        <v>Actionplan-Maßnahmenplan</v>
      </c>
      <c r="B829" t="str">
        <f>pos('Actionplan-Maßnahmenplan'!O224)</f>
        <v>$O$224</v>
      </c>
      <c r="C829" t="str">
        <f t="shared" ca="1" si="22"/>
        <v/>
      </c>
    </row>
    <row r="830" spans="1:3">
      <c r="A830" s="335" t="str">
        <f t="shared" si="23"/>
        <v>Actionplan-Maßnahmenplan</v>
      </c>
      <c r="B830" t="str">
        <f>pos('Actionplan-Maßnahmenplan'!O225)</f>
        <v>$O$225</v>
      </c>
      <c r="C830" t="str">
        <f t="shared" ca="1" si="22"/>
        <v/>
      </c>
    </row>
    <row r="831" spans="1:3">
      <c r="A831" s="335" t="str">
        <f t="shared" si="23"/>
        <v>Actionplan-Maßnahmenplan</v>
      </c>
      <c r="B831" t="str">
        <f>pos('Actionplan-Maßnahmenplan'!O226)</f>
        <v>$O$226</v>
      </c>
      <c r="C831" t="str">
        <f t="shared" ca="1" si="22"/>
        <v/>
      </c>
    </row>
    <row r="832" spans="1:3">
      <c r="A832" s="335" t="str">
        <f t="shared" si="23"/>
        <v>Actionplan-Maßnahmenplan</v>
      </c>
      <c r="B832" t="str">
        <f>pos('Actionplan-Maßnahmenplan'!O234)</f>
        <v>$O$234</v>
      </c>
      <c r="C832" t="str">
        <f t="shared" ca="1" si="22"/>
        <v/>
      </c>
    </row>
    <row r="833" spans="1:3">
      <c r="A833" s="335" t="str">
        <f t="shared" si="23"/>
        <v>Actionplan-Maßnahmenplan</v>
      </c>
      <c r="B833" t="str">
        <f>pos('Actionplan-Maßnahmenplan'!O235)</f>
        <v>$O$235</v>
      </c>
      <c r="C833" t="str">
        <f t="shared" ref="C833:C896" ca="1" si="24">IF(INDIRECT("'"&amp;A833&amp;"'!"&amp;B833)=0,"",INDIRECT("'"&amp;A833&amp;"'!"&amp;B833))</f>
        <v/>
      </c>
    </row>
    <row r="834" spans="1:3">
      <c r="A834" s="335" t="str">
        <f t="shared" si="23"/>
        <v>Actionplan-Maßnahmenplan</v>
      </c>
      <c r="B834" t="str">
        <f>pos('Actionplan-Maßnahmenplan'!O236)</f>
        <v>$O$236</v>
      </c>
      <c r="C834" t="str">
        <f t="shared" ca="1" si="24"/>
        <v/>
      </c>
    </row>
    <row r="835" spans="1:3">
      <c r="A835" s="335" t="str">
        <f t="shared" si="23"/>
        <v>Actionplan-Maßnahmenplan</v>
      </c>
      <c r="B835" t="str">
        <f>pos('Actionplan-Maßnahmenplan'!O244)</f>
        <v>$O$244</v>
      </c>
      <c r="C835" t="str">
        <f t="shared" ca="1" si="24"/>
        <v/>
      </c>
    </row>
    <row r="836" spans="1:3">
      <c r="A836" s="335" t="str">
        <f t="shared" si="23"/>
        <v>Actionplan-Maßnahmenplan</v>
      </c>
      <c r="B836" t="str">
        <f>pos('Actionplan-Maßnahmenplan'!O245)</f>
        <v>$O$245</v>
      </c>
      <c r="C836" t="str">
        <f t="shared" ca="1" si="24"/>
        <v/>
      </c>
    </row>
    <row r="837" spans="1:3">
      <c r="A837" s="335" t="str">
        <f t="shared" si="23"/>
        <v>Actionplan-Maßnahmenplan</v>
      </c>
      <c r="B837" t="str">
        <f>pos('Actionplan-Maßnahmenplan'!O246)</f>
        <v>$O$246</v>
      </c>
      <c r="C837" t="str">
        <f t="shared" ca="1" si="24"/>
        <v/>
      </c>
    </row>
    <row r="838" spans="1:3">
      <c r="A838" s="335" t="str">
        <f t="shared" si="23"/>
        <v>Actionplan-Maßnahmenplan</v>
      </c>
      <c r="B838" t="str">
        <f>pos('Actionplan-Maßnahmenplan'!O254)</f>
        <v>$O$254</v>
      </c>
      <c r="C838" t="str">
        <f t="shared" ca="1" si="24"/>
        <v/>
      </c>
    </row>
    <row r="839" spans="1:3">
      <c r="A839" s="335" t="str">
        <f t="shared" si="23"/>
        <v>Actionplan-Maßnahmenplan</v>
      </c>
      <c r="B839" t="str">
        <f>pos('Actionplan-Maßnahmenplan'!O255)</f>
        <v>$O$255</v>
      </c>
      <c r="C839" t="str">
        <f t="shared" ca="1" si="24"/>
        <v/>
      </c>
    </row>
    <row r="840" spans="1:3">
      <c r="A840" s="335" t="str">
        <f t="shared" si="23"/>
        <v>Actionplan-Maßnahmenplan</v>
      </c>
      <c r="B840" t="str">
        <f>pos('Actionplan-Maßnahmenplan'!O256)</f>
        <v>$O$256</v>
      </c>
      <c r="C840" t="str">
        <f t="shared" ca="1" si="24"/>
        <v/>
      </c>
    </row>
    <row r="841" spans="1:3">
      <c r="A841" s="335" t="str">
        <f t="shared" si="23"/>
        <v>Actionplan-Maßnahmenplan</v>
      </c>
      <c r="B841" t="str">
        <f>pos('Actionplan-Maßnahmenplan'!O264)</f>
        <v>$O$264</v>
      </c>
      <c r="C841" t="str">
        <f t="shared" ca="1" si="24"/>
        <v/>
      </c>
    </row>
    <row r="842" spans="1:3">
      <c r="A842" s="335" t="str">
        <f t="shared" si="23"/>
        <v>Actionplan-Maßnahmenplan</v>
      </c>
      <c r="B842" t="str">
        <f>pos('Actionplan-Maßnahmenplan'!O265)</f>
        <v>$O$265</v>
      </c>
      <c r="C842" t="str">
        <f t="shared" ca="1" si="24"/>
        <v/>
      </c>
    </row>
    <row r="843" spans="1:3">
      <c r="A843" s="335" t="str">
        <f t="shared" si="23"/>
        <v>Actionplan-Maßnahmenplan</v>
      </c>
      <c r="B843" t="str">
        <f>pos('Actionplan-Maßnahmenplan'!O266)</f>
        <v>$O$266</v>
      </c>
      <c r="C843" t="str">
        <f t="shared" ca="1" si="24"/>
        <v/>
      </c>
    </row>
    <row r="844" spans="1:3">
      <c r="A844" s="335" t="str">
        <f t="shared" si="23"/>
        <v>Actionplan-Maßnahmenplan</v>
      </c>
      <c r="B844" t="str">
        <f>pos('Actionplan-Maßnahmenplan'!O274)</f>
        <v>$O$274</v>
      </c>
      <c r="C844" t="str">
        <f t="shared" ca="1" si="24"/>
        <v/>
      </c>
    </row>
    <row r="845" spans="1:3">
      <c r="A845" s="335" t="str">
        <f t="shared" si="23"/>
        <v>Actionplan-Maßnahmenplan</v>
      </c>
      <c r="B845" t="str">
        <f>pos('Actionplan-Maßnahmenplan'!O275)</f>
        <v>$O$275</v>
      </c>
      <c r="C845" t="str">
        <f t="shared" ca="1" si="24"/>
        <v/>
      </c>
    </row>
    <row r="846" spans="1:3">
      <c r="A846" s="335" t="str">
        <f t="shared" si="23"/>
        <v>Actionplan-Maßnahmenplan</v>
      </c>
      <c r="B846" t="str">
        <f>pos('Actionplan-Maßnahmenplan'!O276)</f>
        <v>$O$276</v>
      </c>
      <c r="C846" t="str">
        <f t="shared" ca="1" si="24"/>
        <v/>
      </c>
    </row>
    <row r="847" spans="1:3">
      <c r="A847" s="335" t="str">
        <f t="shared" si="23"/>
        <v>Actionplan-Maßnahmenplan</v>
      </c>
      <c r="B847" t="str">
        <f>pos('Actionplan-Maßnahmenplan'!O284)</f>
        <v>$O$284</v>
      </c>
      <c r="C847" t="str">
        <f t="shared" ca="1" si="24"/>
        <v/>
      </c>
    </row>
    <row r="848" spans="1:3">
      <c r="A848" s="335" t="str">
        <f t="shared" si="23"/>
        <v>Actionplan-Maßnahmenplan</v>
      </c>
      <c r="B848" t="str">
        <f>pos('Actionplan-Maßnahmenplan'!O285)</f>
        <v>$O$285</v>
      </c>
      <c r="C848" t="str">
        <f t="shared" ca="1" si="24"/>
        <v/>
      </c>
    </row>
    <row r="849" spans="1:3">
      <c r="A849" s="335" t="str">
        <f t="shared" si="23"/>
        <v>Actionplan-Maßnahmenplan</v>
      </c>
      <c r="B849" t="str">
        <f>pos('Actionplan-Maßnahmenplan'!O286)</f>
        <v>$O$286</v>
      </c>
      <c r="C849" t="str">
        <f t="shared" ca="1" si="24"/>
        <v/>
      </c>
    </row>
    <row r="850" spans="1:3">
      <c r="A850" s="335" t="str">
        <f t="shared" si="23"/>
        <v>Actionplan-Maßnahmenplan</v>
      </c>
      <c r="B850" t="str">
        <f>pos('Actionplan-Maßnahmenplan'!O294)</f>
        <v>$O$294</v>
      </c>
      <c r="C850">
        <f t="shared" ca="1" si="24"/>
        <v>45716</v>
      </c>
    </row>
    <row r="851" spans="1:3">
      <c r="A851" s="335" t="str">
        <f t="shared" si="23"/>
        <v>Actionplan-Maßnahmenplan</v>
      </c>
      <c r="B851" t="str">
        <f>pos('Actionplan-Maßnahmenplan'!O295)</f>
        <v>$O$295</v>
      </c>
      <c r="C851" t="str">
        <f t="shared" ca="1" si="24"/>
        <v/>
      </c>
    </row>
    <row r="852" spans="1:3">
      <c r="A852" s="335" t="str">
        <f t="shared" si="23"/>
        <v>Actionplan-Maßnahmenplan</v>
      </c>
      <c r="B852" t="str">
        <f>pos('Actionplan-Maßnahmenplan'!O296)</f>
        <v>$O$296</v>
      </c>
      <c r="C852" t="str">
        <f t="shared" ca="1" si="24"/>
        <v/>
      </c>
    </row>
    <row r="853" spans="1:3">
      <c r="A853" s="335" t="str">
        <f t="shared" si="23"/>
        <v>Actionplan-Maßnahmenplan</v>
      </c>
      <c r="B853" t="str">
        <f>pos('Actionplan-Maßnahmenplan'!O304)</f>
        <v>$O$304</v>
      </c>
      <c r="C853" t="str">
        <f t="shared" ca="1" si="24"/>
        <v/>
      </c>
    </row>
    <row r="854" spans="1:3">
      <c r="A854" s="335" t="str">
        <f t="shared" si="23"/>
        <v>Actionplan-Maßnahmenplan</v>
      </c>
      <c r="B854" t="str">
        <f>pos('Actionplan-Maßnahmenplan'!O305)</f>
        <v>$O$305</v>
      </c>
      <c r="C854" t="str">
        <f t="shared" ca="1" si="24"/>
        <v/>
      </c>
    </row>
    <row r="855" spans="1:3">
      <c r="A855" s="335" t="str">
        <f t="shared" si="23"/>
        <v>Actionplan-Maßnahmenplan</v>
      </c>
      <c r="B855" t="str">
        <f>pos('Actionplan-Maßnahmenplan'!O306)</f>
        <v>$O$306</v>
      </c>
      <c r="C855" t="str">
        <f t="shared" ca="1" si="24"/>
        <v/>
      </c>
    </row>
    <row r="856" spans="1:3">
      <c r="A856" s="335" t="str">
        <f t="shared" si="23"/>
        <v>Actionplan-Maßnahmenplan</v>
      </c>
      <c r="B856" t="str">
        <f>pos('Actionplan-Maßnahmenplan'!O314)</f>
        <v>$O$314</v>
      </c>
      <c r="C856" t="str">
        <f t="shared" ca="1" si="24"/>
        <v/>
      </c>
    </row>
    <row r="857" spans="1:3">
      <c r="A857" s="335" t="str">
        <f t="shared" si="23"/>
        <v>Actionplan-Maßnahmenplan</v>
      </c>
      <c r="B857" t="str">
        <f>pos('Actionplan-Maßnahmenplan'!O315)</f>
        <v>$O$315</v>
      </c>
      <c r="C857" t="str">
        <f t="shared" ca="1" si="24"/>
        <v/>
      </c>
    </row>
    <row r="858" spans="1:3">
      <c r="A858" s="335" t="str">
        <f t="shared" si="23"/>
        <v>Actionplan-Maßnahmenplan</v>
      </c>
      <c r="B858" t="str">
        <f>pos('Actionplan-Maßnahmenplan'!O316)</f>
        <v>$O$316</v>
      </c>
      <c r="C858" t="str">
        <f t="shared" ca="1" si="24"/>
        <v/>
      </c>
    </row>
    <row r="859" spans="1:3">
      <c r="A859" s="335" t="str">
        <f t="shared" si="23"/>
        <v>Actionplan-Maßnahmenplan</v>
      </c>
      <c r="B859" t="str">
        <f>pos('Actionplan-Maßnahmenplan'!O317)</f>
        <v>$O$317</v>
      </c>
      <c r="C859" t="str">
        <f t="shared" ca="1" si="24"/>
        <v/>
      </c>
    </row>
    <row r="860" spans="1:3">
      <c r="A860" s="335" t="str">
        <f t="shared" si="23"/>
        <v>Actionplan-Maßnahmenplan</v>
      </c>
      <c r="B860" t="str">
        <f>pos('Actionplan-Maßnahmenplan'!O318)</f>
        <v>$O$318</v>
      </c>
      <c r="C860" t="str">
        <f t="shared" ca="1" si="24"/>
        <v/>
      </c>
    </row>
    <row r="861" spans="1:3">
      <c r="A861" s="335" t="str">
        <f t="shared" si="23"/>
        <v>Actionplan-Maßnahmenplan</v>
      </c>
      <c r="B861" t="str">
        <f>pos('Actionplan-Maßnahmenplan'!O319)</f>
        <v>$O$319</v>
      </c>
      <c r="C861" t="str">
        <f t="shared" ca="1" si="24"/>
        <v/>
      </c>
    </row>
    <row r="862" spans="1:3">
      <c r="A862" s="335" t="str">
        <f t="shared" si="23"/>
        <v>Actionplan-Maßnahmenplan</v>
      </c>
      <c r="B862" t="str">
        <f>pos('Actionplan-Maßnahmenplan'!O320)</f>
        <v>$O$320</v>
      </c>
      <c r="C862" t="str">
        <f t="shared" ca="1" si="24"/>
        <v/>
      </c>
    </row>
    <row r="863" spans="1:3">
      <c r="A863" s="335" t="str">
        <f t="shared" si="23"/>
        <v>Actionplan-Maßnahmenplan</v>
      </c>
      <c r="B863" t="str">
        <f>pos('Actionplan-Maßnahmenplan'!Q12)</f>
        <v>$Q$12</v>
      </c>
      <c r="C863" t="str">
        <f t="shared" ca="1" si="24"/>
        <v/>
      </c>
    </row>
    <row r="864" spans="1:3">
      <c r="A864" s="335" t="str">
        <f t="shared" si="23"/>
        <v>Actionplan-Maßnahmenplan</v>
      </c>
      <c r="B864" t="str">
        <f>pos('Actionplan-Maßnahmenplan'!Q13)</f>
        <v>$Q$13</v>
      </c>
      <c r="C864" t="str">
        <f t="shared" ca="1" si="24"/>
        <v/>
      </c>
    </row>
    <row r="865" spans="1:3">
      <c r="A865" s="335" t="str">
        <f t="shared" si="23"/>
        <v>Actionplan-Maßnahmenplan</v>
      </c>
      <c r="B865" t="str">
        <f>pos('Actionplan-Maßnahmenplan'!Q14)</f>
        <v>$Q$14</v>
      </c>
      <c r="C865" t="str">
        <f t="shared" ca="1" si="24"/>
        <v/>
      </c>
    </row>
    <row r="866" spans="1:3">
      <c r="A866" s="335" t="str">
        <f t="shared" si="23"/>
        <v>Actionplan-Maßnahmenplan</v>
      </c>
      <c r="B866" t="str">
        <f>pos('Actionplan-Maßnahmenplan'!Q15)</f>
        <v>$Q$15</v>
      </c>
      <c r="C866" t="str">
        <f t="shared" ca="1" si="24"/>
        <v/>
      </c>
    </row>
    <row r="867" spans="1:3">
      <c r="A867" s="335" t="str">
        <f t="shared" ref="A867:A930" si="25">$A$482</f>
        <v>Actionplan-Maßnahmenplan</v>
      </c>
      <c r="B867" t="str">
        <f>pos('Actionplan-Maßnahmenplan'!Q16)</f>
        <v>$Q$16</v>
      </c>
      <c r="C867" t="str">
        <f t="shared" ca="1" si="24"/>
        <v/>
      </c>
    </row>
    <row r="868" spans="1:3">
      <c r="A868" s="335" t="str">
        <f t="shared" si="25"/>
        <v>Actionplan-Maßnahmenplan</v>
      </c>
      <c r="B868" t="str">
        <f>pos('Actionplan-Maßnahmenplan'!Q17)</f>
        <v>$Q$17</v>
      </c>
      <c r="C868" t="str">
        <f t="shared" ca="1" si="24"/>
        <v/>
      </c>
    </row>
    <row r="869" spans="1:3">
      <c r="A869" s="335" t="str">
        <f t="shared" si="25"/>
        <v>Actionplan-Maßnahmenplan</v>
      </c>
      <c r="B869" t="str">
        <f>pos('Actionplan-Maßnahmenplan'!Q18)</f>
        <v>$Q$18</v>
      </c>
      <c r="C869" t="str">
        <f t="shared" ca="1" si="24"/>
        <v/>
      </c>
    </row>
    <row r="870" spans="1:3">
      <c r="A870" s="335" t="str">
        <f t="shared" si="25"/>
        <v>Actionplan-Maßnahmenplan</v>
      </c>
      <c r="B870" t="str">
        <f>pos('Actionplan-Maßnahmenplan'!Q19)</f>
        <v>$Q$19</v>
      </c>
      <c r="C870" t="str">
        <f t="shared" ca="1" si="24"/>
        <v/>
      </c>
    </row>
    <row r="871" spans="1:3">
      <c r="A871" s="335" t="str">
        <f t="shared" si="25"/>
        <v>Actionplan-Maßnahmenplan</v>
      </c>
      <c r="B871" t="str">
        <f>pos('Actionplan-Maßnahmenplan'!Q20)</f>
        <v>$Q$20</v>
      </c>
      <c r="C871" t="str">
        <f t="shared" ca="1" si="24"/>
        <v/>
      </c>
    </row>
    <row r="872" spans="1:3">
      <c r="A872" s="335" t="str">
        <f t="shared" si="25"/>
        <v>Actionplan-Maßnahmenplan</v>
      </c>
      <c r="B872" t="str">
        <f>pos('Actionplan-Maßnahmenplan'!Q21)</f>
        <v>$Q$21</v>
      </c>
      <c r="C872" t="str">
        <f t="shared" ca="1" si="24"/>
        <v/>
      </c>
    </row>
    <row r="873" spans="1:3">
      <c r="A873" s="335" t="str">
        <f t="shared" si="25"/>
        <v>Actionplan-Maßnahmenplan</v>
      </c>
      <c r="B873" t="str">
        <f>pos('Actionplan-Maßnahmenplan'!Q22)</f>
        <v>$Q$22</v>
      </c>
      <c r="C873" t="str">
        <f t="shared" ca="1" si="24"/>
        <v/>
      </c>
    </row>
    <row r="874" spans="1:3">
      <c r="A874" s="335" t="str">
        <f t="shared" si="25"/>
        <v>Actionplan-Maßnahmenplan</v>
      </c>
      <c r="B874" t="str">
        <f>pos('Actionplan-Maßnahmenplan'!Q23)</f>
        <v>$Q$23</v>
      </c>
      <c r="C874" t="str">
        <f t="shared" ca="1" si="24"/>
        <v/>
      </c>
    </row>
    <row r="875" spans="1:3">
      <c r="A875" s="335" t="str">
        <f t="shared" si="25"/>
        <v>Actionplan-Maßnahmenplan</v>
      </c>
      <c r="B875" t="str">
        <f>pos('Actionplan-Maßnahmenplan'!Q24)</f>
        <v>$Q$24</v>
      </c>
      <c r="C875" t="str">
        <f t="shared" ca="1" si="24"/>
        <v/>
      </c>
    </row>
    <row r="876" spans="1:3">
      <c r="A876" s="335" t="str">
        <f t="shared" si="25"/>
        <v>Actionplan-Maßnahmenplan</v>
      </c>
      <c r="B876" t="str">
        <f>pos('Actionplan-Maßnahmenplan'!Q25)</f>
        <v>$Q$25</v>
      </c>
      <c r="C876" t="str">
        <f t="shared" ca="1" si="24"/>
        <v/>
      </c>
    </row>
    <row r="877" spans="1:3">
      <c r="A877" s="335" t="str">
        <f t="shared" si="25"/>
        <v>Actionplan-Maßnahmenplan</v>
      </c>
      <c r="B877" t="str">
        <f>pos('Actionplan-Maßnahmenplan'!Q26)</f>
        <v>$Q$26</v>
      </c>
      <c r="C877" t="str">
        <f t="shared" ca="1" si="24"/>
        <v/>
      </c>
    </row>
    <row r="878" spans="1:3">
      <c r="A878" s="335" t="str">
        <f t="shared" si="25"/>
        <v>Actionplan-Maßnahmenplan</v>
      </c>
      <c r="B878" t="str">
        <f>pos('Actionplan-Maßnahmenplan'!Q27)</f>
        <v>$Q$27</v>
      </c>
      <c r="C878" t="str">
        <f t="shared" ca="1" si="24"/>
        <v/>
      </c>
    </row>
    <row r="879" spans="1:3">
      <c r="A879" s="335" t="str">
        <f t="shared" si="25"/>
        <v>Actionplan-Maßnahmenplan</v>
      </c>
      <c r="B879" t="str">
        <f>pos('Actionplan-Maßnahmenplan'!Q28)</f>
        <v>$Q$28</v>
      </c>
      <c r="C879" t="str">
        <f t="shared" ca="1" si="24"/>
        <v/>
      </c>
    </row>
    <row r="880" spans="1:3">
      <c r="A880" s="335" t="str">
        <f t="shared" si="25"/>
        <v>Actionplan-Maßnahmenplan</v>
      </c>
      <c r="B880" t="str">
        <f>pos('Actionplan-Maßnahmenplan'!Q29)</f>
        <v>$Q$29</v>
      </c>
      <c r="C880" t="str">
        <f t="shared" ca="1" si="24"/>
        <v/>
      </c>
    </row>
    <row r="881" spans="1:3">
      <c r="A881" s="335" t="str">
        <f t="shared" si="25"/>
        <v>Actionplan-Maßnahmenplan</v>
      </c>
      <c r="B881" t="str">
        <f>pos('Actionplan-Maßnahmenplan'!Q30)</f>
        <v>$Q$30</v>
      </c>
      <c r="C881" t="str">
        <f t="shared" ca="1" si="24"/>
        <v/>
      </c>
    </row>
    <row r="882" spans="1:3">
      <c r="A882" s="335" t="str">
        <f t="shared" si="25"/>
        <v>Actionplan-Maßnahmenplan</v>
      </c>
      <c r="B882" t="str">
        <f>pos('Actionplan-Maßnahmenplan'!Q31)</f>
        <v>$Q$31</v>
      </c>
      <c r="C882" t="str">
        <f t="shared" ca="1" si="24"/>
        <v/>
      </c>
    </row>
    <row r="883" spans="1:3">
      <c r="A883" s="335" t="str">
        <f t="shared" si="25"/>
        <v>Actionplan-Maßnahmenplan</v>
      </c>
      <c r="B883" t="str">
        <f>pos('Actionplan-Maßnahmenplan'!Q32)</f>
        <v>$Q$32</v>
      </c>
      <c r="C883" t="str">
        <f t="shared" ca="1" si="24"/>
        <v/>
      </c>
    </row>
    <row r="884" spans="1:3">
      <c r="A884" s="335" t="str">
        <f t="shared" si="25"/>
        <v>Actionplan-Maßnahmenplan</v>
      </c>
      <c r="B884" t="str">
        <f>pos('Actionplan-Maßnahmenplan'!Q33)</f>
        <v>$Q$33</v>
      </c>
      <c r="C884" t="str">
        <f t="shared" ca="1" si="24"/>
        <v/>
      </c>
    </row>
    <row r="885" spans="1:3">
      <c r="A885" s="335" t="str">
        <f t="shared" si="25"/>
        <v>Actionplan-Maßnahmenplan</v>
      </c>
      <c r="B885" t="str">
        <f>pos('Actionplan-Maßnahmenplan'!Q34)</f>
        <v>$Q$34</v>
      </c>
      <c r="C885" t="str">
        <f t="shared" ca="1" si="24"/>
        <v/>
      </c>
    </row>
    <row r="886" spans="1:3">
      <c r="A886" s="335" t="str">
        <f t="shared" si="25"/>
        <v>Actionplan-Maßnahmenplan</v>
      </c>
      <c r="B886" t="str">
        <f>pos('Actionplan-Maßnahmenplan'!Q35)</f>
        <v>$Q$35</v>
      </c>
      <c r="C886" t="str">
        <f t="shared" ca="1" si="24"/>
        <v/>
      </c>
    </row>
    <row r="887" spans="1:3">
      <c r="A887" s="335" t="str">
        <f t="shared" si="25"/>
        <v>Actionplan-Maßnahmenplan</v>
      </c>
      <c r="B887" t="str">
        <f>pos('Actionplan-Maßnahmenplan'!Q36)</f>
        <v>$Q$36</v>
      </c>
      <c r="C887" t="str">
        <f t="shared" ca="1" si="24"/>
        <v/>
      </c>
    </row>
    <row r="888" spans="1:3">
      <c r="A888" s="335" t="str">
        <f t="shared" si="25"/>
        <v>Actionplan-Maßnahmenplan</v>
      </c>
      <c r="B888" t="str">
        <f>pos('Actionplan-Maßnahmenplan'!Q37)</f>
        <v>$Q$37</v>
      </c>
      <c r="C888" t="str">
        <f t="shared" ca="1" si="24"/>
        <v/>
      </c>
    </row>
    <row r="889" spans="1:3">
      <c r="A889" s="335" t="str">
        <f t="shared" si="25"/>
        <v>Actionplan-Maßnahmenplan</v>
      </c>
      <c r="B889" t="str">
        <f>pos('Actionplan-Maßnahmenplan'!Q38)</f>
        <v>$Q$38</v>
      </c>
      <c r="C889" t="str">
        <f t="shared" ca="1" si="24"/>
        <v/>
      </c>
    </row>
    <row r="890" spans="1:3">
      <c r="A890" s="335" t="str">
        <f t="shared" si="25"/>
        <v>Actionplan-Maßnahmenplan</v>
      </c>
      <c r="B890" t="str">
        <f>pos('Actionplan-Maßnahmenplan'!Q39)</f>
        <v>$Q$39</v>
      </c>
      <c r="C890" t="str">
        <f t="shared" ca="1" si="24"/>
        <v/>
      </c>
    </row>
    <row r="891" spans="1:3">
      <c r="A891" s="335" t="str">
        <f t="shared" si="25"/>
        <v>Actionplan-Maßnahmenplan</v>
      </c>
      <c r="B891" t="str">
        <f>pos('Actionplan-Maßnahmenplan'!Q40)</f>
        <v>$Q$40</v>
      </c>
      <c r="C891" t="str">
        <f t="shared" ca="1" si="24"/>
        <v/>
      </c>
    </row>
    <row r="892" spans="1:3">
      <c r="A892" s="335" t="str">
        <f t="shared" si="25"/>
        <v>Actionplan-Maßnahmenplan</v>
      </c>
      <c r="B892" t="str">
        <f>pos('Actionplan-Maßnahmenplan'!Q41)</f>
        <v>$Q$41</v>
      </c>
      <c r="C892" t="str">
        <f t="shared" ca="1" si="24"/>
        <v/>
      </c>
    </row>
    <row r="893" spans="1:3">
      <c r="A893" s="335" t="str">
        <f t="shared" si="25"/>
        <v>Actionplan-Maßnahmenplan</v>
      </c>
      <c r="B893" t="str">
        <f>pos('Actionplan-Maßnahmenplan'!Q42)</f>
        <v>$Q$42</v>
      </c>
      <c r="C893" t="str">
        <f t="shared" ca="1" si="24"/>
        <v/>
      </c>
    </row>
    <row r="894" spans="1:3">
      <c r="A894" s="335" t="str">
        <f t="shared" si="25"/>
        <v>Actionplan-Maßnahmenplan</v>
      </c>
      <c r="B894" t="str">
        <f>pos('Actionplan-Maßnahmenplan'!Q43)</f>
        <v>$Q$43</v>
      </c>
      <c r="C894" t="str">
        <f t="shared" ca="1" si="24"/>
        <v/>
      </c>
    </row>
    <row r="895" spans="1:3">
      <c r="A895" s="335" t="str">
        <f t="shared" si="25"/>
        <v>Actionplan-Maßnahmenplan</v>
      </c>
      <c r="B895" t="str">
        <f>pos('Actionplan-Maßnahmenplan'!Q44)</f>
        <v>$Q$44</v>
      </c>
      <c r="C895" t="str">
        <f t="shared" ca="1" si="24"/>
        <v/>
      </c>
    </row>
    <row r="896" spans="1:3">
      <c r="A896" s="335" t="str">
        <f t="shared" si="25"/>
        <v>Actionplan-Maßnahmenplan</v>
      </c>
      <c r="B896" t="str">
        <f>pos('Actionplan-Maßnahmenplan'!Q45)</f>
        <v>$Q$45</v>
      </c>
      <c r="C896" t="str">
        <f t="shared" ca="1" si="24"/>
        <v/>
      </c>
    </row>
    <row r="897" spans="1:3">
      <c r="A897" s="335" t="str">
        <f t="shared" si="25"/>
        <v>Actionplan-Maßnahmenplan</v>
      </c>
      <c r="B897" t="str">
        <f>pos('Actionplan-Maßnahmenplan'!Q46)</f>
        <v>$Q$46</v>
      </c>
      <c r="C897" t="str">
        <f t="shared" ref="C897:C960" ca="1" si="26">IF(INDIRECT("'"&amp;A897&amp;"'!"&amp;B897)=0,"",INDIRECT("'"&amp;A897&amp;"'!"&amp;B897))</f>
        <v/>
      </c>
    </row>
    <row r="898" spans="1:3">
      <c r="A898" s="335" t="str">
        <f t="shared" si="25"/>
        <v>Actionplan-Maßnahmenplan</v>
      </c>
      <c r="B898" t="str">
        <f>pos('Actionplan-Maßnahmenplan'!Q47)</f>
        <v>$Q$47</v>
      </c>
      <c r="C898" t="str">
        <f t="shared" ca="1" si="26"/>
        <v/>
      </c>
    </row>
    <row r="899" spans="1:3">
      <c r="A899" s="335" t="str">
        <f t="shared" si="25"/>
        <v>Actionplan-Maßnahmenplan</v>
      </c>
      <c r="B899" t="str">
        <f>pos('Actionplan-Maßnahmenplan'!Q48)</f>
        <v>$Q$48</v>
      </c>
      <c r="C899" t="str">
        <f t="shared" ca="1" si="26"/>
        <v/>
      </c>
    </row>
    <row r="900" spans="1:3">
      <c r="A900" s="335" t="str">
        <f t="shared" si="25"/>
        <v>Actionplan-Maßnahmenplan</v>
      </c>
      <c r="B900" t="str">
        <f>pos('Actionplan-Maßnahmenplan'!Q49)</f>
        <v>$Q$49</v>
      </c>
      <c r="C900" t="str">
        <f t="shared" ca="1" si="26"/>
        <v/>
      </c>
    </row>
    <row r="901" spans="1:3">
      <c r="A901" s="335" t="str">
        <f t="shared" si="25"/>
        <v>Actionplan-Maßnahmenplan</v>
      </c>
      <c r="B901" t="str">
        <f>pos('Actionplan-Maßnahmenplan'!Q50)</f>
        <v>$Q$50</v>
      </c>
      <c r="C901" t="str">
        <f t="shared" ca="1" si="26"/>
        <v/>
      </c>
    </row>
    <row r="902" spans="1:3">
      <c r="A902" s="335" t="str">
        <f t="shared" si="25"/>
        <v>Actionplan-Maßnahmenplan</v>
      </c>
      <c r="B902" t="str">
        <f>pos('Actionplan-Maßnahmenplan'!Q51)</f>
        <v>$Q$51</v>
      </c>
      <c r="C902" t="str">
        <f t="shared" ca="1" si="26"/>
        <v/>
      </c>
    </row>
    <row r="903" spans="1:3">
      <c r="A903" s="335" t="str">
        <f t="shared" si="25"/>
        <v>Actionplan-Maßnahmenplan</v>
      </c>
      <c r="B903" t="str">
        <f>pos('Actionplan-Maßnahmenplan'!Q52)</f>
        <v>$Q$52</v>
      </c>
      <c r="C903" t="str">
        <f t="shared" ca="1" si="26"/>
        <v/>
      </c>
    </row>
    <row r="904" spans="1:3">
      <c r="A904" s="335" t="str">
        <f t="shared" si="25"/>
        <v>Actionplan-Maßnahmenplan</v>
      </c>
      <c r="B904" t="str">
        <f>pos('Actionplan-Maßnahmenplan'!Q53)</f>
        <v>$Q$53</v>
      </c>
      <c r="C904" t="str">
        <f t="shared" ca="1" si="26"/>
        <v>Respon-sibility</v>
      </c>
    </row>
    <row r="905" spans="1:3">
      <c r="A905" s="335" t="str">
        <f t="shared" si="25"/>
        <v>Actionplan-Maßnahmenplan</v>
      </c>
      <c r="B905" t="str">
        <f>pos('Actionplan-Maßnahmenplan'!Q54)</f>
        <v>$Q$54</v>
      </c>
      <c r="C905" t="str">
        <f t="shared" ca="1" si="26"/>
        <v/>
      </c>
    </row>
    <row r="906" spans="1:3">
      <c r="A906" s="335" t="str">
        <f t="shared" si="25"/>
        <v>Actionplan-Maßnahmenplan</v>
      </c>
      <c r="B906" t="str">
        <f>pos('Actionplan-Maßnahmenplan'!Q55)</f>
        <v>$Q$55</v>
      </c>
      <c r="C906" t="str">
        <f t="shared" ca="1" si="26"/>
        <v/>
      </c>
    </row>
    <row r="907" spans="1:3">
      <c r="A907" s="335" t="str">
        <f t="shared" si="25"/>
        <v>Actionplan-Maßnahmenplan</v>
      </c>
      <c r="B907" t="str">
        <f>pos('Actionplan-Maßnahmenplan'!Q56)</f>
        <v>$Q$56</v>
      </c>
      <c r="C907" t="str">
        <f t="shared" ca="1" si="26"/>
        <v/>
      </c>
    </row>
    <row r="908" spans="1:3">
      <c r="A908" s="335" t="str">
        <f t="shared" si="25"/>
        <v>Actionplan-Maßnahmenplan</v>
      </c>
      <c r="B908" t="str">
        <f>pos('Actionplan-Maßnahmenplan'!Q64)</f>
        <v>$Q$64</v>
      </c>
      <c r="C908" t="str">
        <f t="shared" ca="1" si="26"/>
        <v/>
      </c>
    </row>
    <row r="909" spans="1:3">
      <c r="A909" s="335" t="str">
        <f t="shared" si="25"/>
        <v>Actionplan-Maßnahmenplan</v>
      </c>
      <c r="B909" t="str">
        <f>pos('Actionplan-Maßnahmenplan'!Q65)</f>
        <v>$Q$65</v>
      </c>
      <c r="C909" t="str">
        <f t="shared" ca="1" si="26"/>
        <v/>
      </c>
    </row>
    <row r="910" spans="1:3">
      <c r="A910" s="335" t="str">
        <f t="shared" si="25"/>
        <v>Actionplan-Maßnahmenplan</v>
      </c>
      <c r="B910" t="str">
        <f>pos('Actionplan-Maßnahmenplan'!Q66)</f>
        <v>$Q$66</v>
      </c>
      <c r="C910" t="str">
        <f t="shared" ca="1" si="26"/>
        <v/>
      </c>
    </row>
    <row r="911" spans="1:3">
      <c r="A911" s="335" t="str">
        <f t="shared" si="25"/>
        <v>Actionplan-Maßnahmenplan</v>
      </c>
      <c r="B911" t="str">
        <f>pos('Actionplan-Maßnahmenplan'!Q74)</f>
        <v>$Q$74</v>
      </c>
      <c r="C911" t="str">
        <f t="shared" ca="1" si="26"/>
        <v/>
      </c>
    </row>
    <row r="912" spans="1:3">
      <c r="A912" s="335" t="str">
        <f t="shared" si="25"/>
        <v>Actionplan-Maßnahmenplan</v>
      </c>
      <c r="B912" t="str">
        <f>pos('Actionplan-Maßnahmenplan'!Q75)</f>
        <v>$Q$75</v>
      </c>
      <c r="C912" t="str">
        <f t="shared" ca="1" si="26"/>
        <v/>
      </c>
    </row>
    <row r="913" spans="1:3">
      <c r="A913" s="335" t="str">
        <f t="shared" si="25"/>
        <v>Actionplan-Maßnahmenplan</v>
      </c>
      <c r="B913" t="str">
        <f>pos('Actionplan-Maßnahmenplan'!Q76)</f>
        <v>$Q$76</v>
      </c>
      <c r="C913" t="str">
        <f t="shared" ca="1" si="26"/>
        <v/>
      </c>
    </row>
    <row r="914" spans="1:3">
      <c r="A914" s="335" t="str">
        <f t="shared" si="25"/>
        <v>Actionplan-Maßnahmenplan</v>
      </c>
      <c r="B914" t="str">
        <f>pos('Actionplan-Maßnahmenplan'!Q84)</f>
        <v>$Q$84</v>
      </c>
      <c r="C914" t="str">
        <f t="shared" ca="1" si="26"/>
        <v/>
      </c>
    </row>
    <row r="915" spans="1:3">
      <c r="A915" s="335" t="str">
        <f t="shared" si="25"/>
        <v>Actionplan-Maßnahmenplan</v>
      </c>
      <c r="B915" t="str">
        <f>pos('Actionplan-Maßnahmenplan'!Q85)</f>
        <v>$Q$85</v>
      </c>
      <c r="C915" t="str">
        <f t="shared" ca="1" si="26"/>
        <v/>
      </c>
    </row>
    <row r="916" spans="1:3">
      <c r="A916" s="335" t="str">
        <f t="shared" si="25"/>
        <v>Actionplan-Maßnahmenplan</v>
      </c>
      <c r="B916" t="str">
        <f>pos('Actionplan-Maßnahmenplan'!Q86)</f>
        <v>$Q$86</v>
      </c>
      <c r="C916" t="str">
        <f t="shared" ca="1" si="26"/>
        <v/>
      </c>
    </row>
    <row r="917" spans="1:3">
      <c r="A917" s="335" t="str">
        <f t="shared" si="25"/>
        <v>Actionplan-Maßnahmenplan</v>
      </c>
      <c r="B917" t="str">
        <f>pos('Actionplan-Maßnahmenplan'!Q94)</f>
        <v>$Q$94</v>
      </c>
      <c r="C917" t="str">
        <f t="shared" ca="1" si="26"/>
        <v/>
      </c>
    </row>
    <row r="918" spans="1:3">
      <c r="A918" s="335" t="str">
        <f t="shared" si="25"/>
        <v>Actionplan-Maßnahmenplan</v>
      </c>
      <c r="B918" t="str">
        <f>pos('Actionplan-Maßnahmenplan'!Q95)</f>
        <v>$Q$95</v>
      </c>
      <c r="C918" t="str">
        <f t="shared" ca="1" si="26"/>
        <v/>
      </c>
    </row>
    <row r="919" spans="1:3">
      <c r="A919" s="335" t="str">
        <f t="shared" si="25"/>
        <v>Actionplan-Maßnahmenplan</v>
      </c>
      <c r="B919" t="str">
        <f>pos('Actionplan-Maßnahmenplan'!Q96)</f>
        <v>$Q$96</v>
      </c>
      <c r="C919" t="str">
        <f t="shared" ca="1" si="26"/>
        <v/>
      </c>
    </row>
    <row r="920" spans="1:3">
      <c r="A920" s="335" t="str">
        <f t="shared" si="25"/>
        <v>Actionplan-Maßnahmenplan</v>
      </c>
      <c r="B920" t="str">
        <f>pos('Actionplan-Maßnahmenplan'!Q104)</f>
        <v>$Q$104</v>
      </c>
      <c r="C920" t="str">
        <f t="shared" ca="1" si="26"/>
        <v/>
      </c>
    </row>
    <row r="921" spans="1:3">
      <c r="A921" s="335" t="str">
        <f t="shared" si="25"/>
        <v>Actionplan-Maßnahmenplan</v>
      </c>
      <c r="B921" t="str">
        <f>pos('Actionplan-Maßnahmenplan'!Q105)</f>
        <v>$Q$105</v>
      </c>
      <c r="C921" t="str">
        <f t="shared" ca="1" si="26"/>
        <v/>
      </c>
    </row>
    <row r="922" spans="1:3">
      <c r="A922" s="335" t="str">
        <f t="shared" si="25"/>
        <v>Actionplan-Maßnahmenplan</v>
      </c>
      <c r="B922" t="str">
        <f>pos('Actionplan-Maßnahmenplan'!Q106)</f>
        <v>$Q$106</v>
      </c>
      <c r="C922" t="str">
        <f t="shared" ca="1" si="26"/>
        <v/>
      </c>
    </row>
    <row r="923" spans="1:3">
      <c r="A923" s="335" t="str">
        <f t="shared" si="25"/>
        <v>Actionplan-Maßnahmenplan</v>
      </c>
      <c r="B923" t="str">
        <f>pos('Actionplan-Maßnahmenplan'!Q114)</f>
        <v>$Q$114</v>
      </c>
      <c r="C923" t="str">
        <f t="shared" ca="1" si="26"/>
        <v/>
      </c>
    </row>
    <row r="924" spans="1:3">
      <c r="A924" s="335" t="str">
        <f t="shared" si="25"/>
        <v>Actionplan-Maßnahmenplan</v>
      </c>
      <c r="B924" t="str">
        <f>pos('Actionplan-Maßnahmenplan'!Q115)</f>
        <v>$Q$115</v>
      </c>
      <c r="C924" t="str">
        <f t="shared" ca="1" si="26"/>
        <v/>
      </c>
    </row>
    <row r="925" spans="1:3">
      <c r="A925" s="335" t="str">
        <f t="shared" si="25"/>
        <v>Actionplan-Maßnahmenplan</v>
      </c>
      <c r="B925" t="str">
        <f>pos('Actionplan-Maßnahmenplan'!Q116)</f>
        <v>$Q$116</v>
      </c>
      <c r="C925" t="str">
        <f t="shared" ca="1" si="26"/>
        <v/>
      </c>
    </row>
    <row r="926" spans="1:3">
      <c r="A926" s="335" t="str">
        <f t="shared" si="25"/>
        <v>Actionplan-Maßnahmenplan</v>
      </c>
      <c r="B926" t="str">
        <f>pos('Actionplan-Maßnahmenplan'!Q124)</f>
        <v>$Q$124</v>
      </c>
      <c r="C926" t="str">
        <f t="shared" ca="1" si="26"/>
        <v/>
      </c>
    </row>
    <row r="927" spans="1:3">
      <c r="A927" s="335" t="str">
        <f t="shared" si="25"/>
        <v>Actionplan-Maßnahmenplan</v>
      </c>
      <c r="B927" t="str">
        <f>pos('Actionplan-Maßnahmenplan'!Q125)</f>
        <v>$Q$125</v>
      </c>
      <c r="C927" t="str">
        <f t="shared" ca="1" si="26"/>
        <v/>
      </c>
    </row>
    <row r="928" spans="1:3">
      <c r="A928" s="335" t="str">
        <f t="shared" si="25"/>
        <v>Actionplan-Maßnahmenplan</v>
      </c>
      <c r="B928" t="str">
        <f>pos('Actionplan-Maßnahmenplan'!Q126)</f>
        <v>$Q$126</v>
      </c>
      <c r="C928" t="str">
        <f t="shared" ca="1" si="26"/>
        <v/>
      </c>
    </row>
    <row r="929" spans="1:3">
      <c r="A929" s="335" t="str">
        <f t="shared" si="25"/>
        <v>Actionplan-Maßnahmenplan</v>
      </c>
      <c r="B929" t="str">
        <f>pos('Actionplan-Maßnahmenplan'!Q134)</f>
        <v>$Q$134</v>
      </c>
      <c r="C929" t="str">
        <f t="shared" ca="1" si="26"/>
        <v/>
      </c>
    </row>
    <row r="930" spans="1:3">
      <c r="A930" s="335" t="str">
        <f t="shared" si="25"/>
        <v>Actionplan-Maßnahmenplan</v>
      </c>
      <c r="B930" t="str">
        <f>pos('Actionplan-Maßnahmenplan'!Q135)</f>
        <v>$Q$135</v>
      </c>
      <c r="C930" t="str">
        <f t="shared" ca="1" si="26"/>
        <v/>
      </c>
    </row>
    <row r="931" spans="1:3">
      <c r="A931" s="335" t="str">
        <f t="shared" ref="A931:A994" si="27">$A$482</f>
        <v>Actionplan-Maßnahmenplan</v>
      </c>
      <c r="B931" t="str">
        <f>pos('Actionplan-Maßnahmenplan'!Q136)</f>
        <v>$Q$136</v>
      </c>
      <c r="C931" t="str">
        <f t="shared" ca="1" si="26"/>
        <v/>
      </c>
    </row>
    <row r="932" spans="1:3">
      <c r="A932" s="335" t="str">
        <f t="shared" si="27"/>
        <v>Actionplan-Maßnahmenplan</v>
      </c>
      <c r="B932" t="str">
        <f>pos('Actionplan-Maßnahmenplan'!Q144)</f>
        <v>$Q$144</v>
      </c>
      <c r="C932" t="str">
        <f t="shared" ca="1" si="26"/>
        <v/>
      </c>
    </row>
    <row r="933" spans="1:3">
      <c r="A933" s="335" t="str">
        <f t="shared" si="27"/>
        <v>Actionplan-Maßnahmenplan</v>
      </c>
      <c r="B933" t="str">
        <f>pos('Actionplan-Maßnahmenplan'!Q145)</f>
        <v>$Q$145</v>
      </c>
      <c r="C933" t="str">
        <f t="shared" ca="1" si="26"/>
        <v/>
      </c>
    </row>
    <row r="934" spans="1:3">
      <c r="A934" s="335" t="str">
        <f t="shared" si="27"/>
        <v>Actionplan-Maßnahmenplan</v>
      </c>
      <c r="B934" t="str">
        <f>pos('Actionplan-Maßnahmenplan'!Q146)</f>
        <v>$Q$146</v>
      </c>
      <c r="C934" t="str">
        <f t="shared" ca="1" si="26"/>
        <v/>
      </c>
    </row>
    <row r="935" spans="1:3">
      <c r="A935" s="335" t="str">
        <f t="shared" si="27"/>
        <v>Actionplan-Maßnahmenplan</v>
      </c>
      <c r="B935" t="str">
        <f>pos('Actionplan-Maßnahmenplan'!Q154)</f>
        <v>$Q$154</v>
      </c>
      <c r="C935" t="str">
        <f t="shared" ca="1" si="26"/>
        <v/>
      </c>
    </row>
    <row r="936" spans="1:3">
      <c r="A936" s="335" t="str">
        <f t="shared" si="27"/>
        <v>Actionplan-Maßnahmenplan</v>
      </c>
      <c r="B936" t="str">
        <f>pos('Actionplan-Maßnahmenplan'!Q155)</f>
        <v>$Q$155</v>
      </c>
      <c r="C936" t="str">
        <f t="shared" ca="1" si="26"/>
        <v/>
      </c>
    </row>
    <row r="937" spans="1:3">
      <c r="A937" s="335" t="str">
        <f t="shared" si="27"/>
        <v>Actionplan-Maßnahmenplan</v>
      </c>
      <c r="B937" t="str">
        <f>pos('Actionplan-Maßnahmenplan'!Q156)</f>
        <v>$Q$156</v>
      </c>
      <c r="C937" t="str">
        <f t="shared" ca="1" si="26"/>
        <v/>
      </c>
    </row>
    <row r="938" spans="1:3">
      <c r="A938" s="335" t="str">
        <f t="shared" si="27"/>
        <v>Actionplan-Maßnahmenplan</v>
      </c>
      <c r="B938" t="str">
        <f>pos('Actionplan-Maßnahmenplan'!Q164)</f>
        <v>$Q$164</v>
      </c>
      <c r="C938" t="str">
        <f t="shared" ca="1" si="26"/>
        <v/>
      </c>
    </row>
    <row r="939" spans="1:3">
      <c r="A939" s="335" t="str">
        <f t="shared" si="27"/>
        <v>Actionplan-Maßnahmenplan</v>
      </c>
      <c r="B939" t="str">
        <f>pos('Actionplan-Maßnahmenplan'!Q165)</f>
        <v>$Q$165</v>
      </c>
      <c r="C939" t="str">
        <f t="shared" ca="1" si="26"/>
        <v/>
      </c>
    </row>
    <row r="940" spans="1:3">
      <c r="A940" s="335" t="str">
        <f t="shared" si="27"/>
        <v>Actionplan-Maßnahmenplan</v>
      </c>
      <c r="B940" t="str">
        <f>pos('Actionplan-Maßnahmenplan'!Q166)</f>
        <v>$Q$166</v>
      </c>
      <c r="C940" t="str">
        <f t="shared" ca="1" si="26"/>
        <v/>
      </c>
    </row>
    <row r="941" spans="1:3">
      <c r="A941" s="335" t="str">
        <f t="shared" si="27"/>
        <v>Actionplan-Maßnahmenplan</v>
      </c>
      <c r="B941" t="str">
        <f>pos('Actionplan-Maßnahmenplan'!Q174)</f>
        <v>$Q$174</v>
      </c>
      <c r="C941" t="str">
        <f t="shared" ca="1" si="26"/>
        <v/>
      </c>
    </row>
    <row r="942" spans="1:3">
      <c r="A942" s="335" t="str">
        <f t="shared" si="27"/>
        <v>Actionplan-Maßnahmenplan</v>
      </c>
      <c r="B942" t="str">
        <f>pos('Actionplan-Maßnahmenplan'!Q175)</f>
        <v>$Q$175</v>
      </c>
      <c r="C942" t="str">
        <f t="shared" ca="1" si="26"/>
        <v/>
      </c>
    </row>
    <row r="943" spans="1:3">
      <c r="A943" s="335" t="str">
        <f t="shared" si="27"/>
        <v>Actionplan-Maßnahmenplan</v>
      </c>
      <c r="B943" t="str">
        <f>pos('Actionplan-Maßnahmenplan'!Q176)</f>
        <v>$Q$176</v>
      </c>
      <c r="C943" t="str">
        <f t="shared" ca="1" si="26"/>
        <v/>
      </c>
    </row>
    <row r="944" spans="1:3">
      <c r="A944" s="335" t="str">
        <f t="shared" si="27"/>
        <v>Actionplan-Maßnahmenplan</v>
      </c>
      <c r="B944" t="str">
        <f>pos('Actionplan-Maßnahmenplan'!Q184)</f>
        <v>$Q$184</v>
      </c>
      <c r="C944" t="str">
        <f t="shared" ca="1" si="26"/>
        <v/>
      </c>
    </row>
    <row r="945" spans="1:3">
      <c r="A945" s="335" t="str">
        <f t="shared" si="27"/>
        <v>Actionplan-Maßnahmenplan</v>
      </c>
      <c r="B945" t="str">
        <f>pos('Actionplan-Maßnahmenplan'!Q185)</f>
        <v>$Q$185</v>
      </c>
      <c r="C945" t="str">
        <f t="shared" ca="1" si="26"/>
        <v/>
      </c>
    </row>
    <row r="946" spans="1:3">
      <c r="A946" s="335" t="str">
        <f t="shared" si="27"/>
        <v>Actionplan-Maßnahmenplan</v>
      </c>
      <c r="B946" t="str">
        <f>pos('Actionplan-Maßnahmenplan'!Q186)</f>
        <v>$Q$186</v>
      </c>
      <c r="C946" t="str">
        <f t="shared" ca="1" si="26"/>
        <v/>
      </c>
    </row>
    <row r="947" spans="1:3">
      <c r="A947" s="335" t="str">
        <f t="shared" si="27"/>
        <v>Actionplan-Maßnahmenplan</v>
      </c>
      <c r="B947" t="str">
        <f>pos('Actionplan-Maßnahmenplan'!Q194)</f>
        <v>$Q$194</v>
      </c>
      <c r="C947" t="str">
        <f t="shared" ca="1" si="26"/>
        <v>Pontus S.</v>
      </c>
    </row>
    <row r="948" spans="1:3">
      <c r="A948" s="335" t="str">
        <f t="shared" si="27"/>
        <v>Actionplan-Maßnahmenplan</v>
      </c>
      <c r="B948" t="str">
        <f>pos('Actionplan-Maßnahmenplan'!Q195)</f>
        <v>$Q$195</v>
      </c>
      <c r="C948" t="str">
        <f t="shared" ca="1" si="26"/>
        <v/>
      </c>
    </row>
    <row r="949" spans="1:3">
      <c r="A949" s="335" t="str">
        <f t="shared" si="27"/>
        <v>Actionplan-Maßnahmenplan</v>
      </c>
      <c r="B949" t="str">
        <f>pos('Actionplan-Maßnahmenplan'!Q196)</f>
        <v>$Q$196</v>
      </c>
      <c r="C949" t="str">
        <f t="shared" ca="1" si="26"/>
        <v/>
      </c>
    </row>
    <row r="950" spans="1:3">
      <c r="A950" s="335" t="str">
        <f t="shared" si="27"/>
        <v>Actionplan-Maßnahmenplan</v>
      </c>
      <c r="B950" t="str">
        <f>pos('Actionplan-Maßnahmenplan'!Q204)</f>
        <v>$Q$204</v>
      </c>
      <c r="C950" t="str">
        <f t="shared" ca="1" si="26"/>
        <v/>
      </c>
    </row>
    <row r="951" spans="1:3">
      <c r="A951" s="335" t="str">
        <f t="shared" si="27"/>
        <v>Actionplan-Maßnahmenplan</v>
      </c>
      <c r="B951" t="str">
        <f>pos('Actionplan-Maßnahmenplan'!Q205)</f>
        <v>$Q$205</v>
      </c>
      <c r="C951" t="str">
        <f t="shared" ca="1" si="26"/>
        <v/>
      </c>
    </row>
    <row r="952" spans="1:3">
      <c r="A952" s="335" t="str">
        <f t="shared" si="27"/>
        <v>Actionplan-Maßnahmenplan</v>
      </c>
      <c r="B952" t="str">
        <f>pos('Actionplan-Maßnahmenplan'!Q206)</f>
        <v>$Q$206</v>
      </c>
      <c r="C952" t="str">
        <f t="shared" ca="1" si="26"/>
        <v/>
      </c>
    </row>
    <row r="953" spans="1:3">
      <c r="A953" s="335" t="str">
        <f t="shared" si="27"/>
        <v>Actionplan-Maßnahmenplan</v>
      </c>
      <c r="B953" t="str">
        <f>pos('Actionplan-Maßnahmenplan'!Q214)</f>
        <v>$Q$214</v>
      </c>
      <c r="C953" t="str">
        <f t="shared" ca="1" si="26"/>
        <v xml:space="preserve">Kubal Project Team  </v>
      </c>
    </row>
    <row r="954" spans="1:3">
      <c r="A954" s="335" t="str">
        <f t="shared" si="27"/>
        <v>Actionplan-Maßnahmenplan</v>
      </c>
      <c r="B954" t="str">
        <f>pos('Actionplan-Maßnahmenplan'!Q215)</f>
        <v>$Q$215</v>
      </c>
      <c r="C954" t="str">
        <f t="shared" ca="1" si="26"/>
        <v xml:space="preserve">Kubal Project Team  </v>
      </c>
    </row>
    <row r="955" spans="1:3">
      <c r="A955" s="335" t="str">
        <f t="shared" si="27"/>
        <v>Actionplan-Maßnahmenplan</v>
      </c>
      <c r="B955" t="str">
        <f>pos('Actionplan-Maßnahmenplan'!Q216)</f>
        <v>$Q$216</v>
      </c>
      <c r="C955" t="str">
        <f t="shared" ca="1" si="26"/>
        <v/>
      </c>
    </row>
    <row r="956" spans="1:3">
      <c r="A956" s="335" t="str">
        <f t="shared" si="27"/>
        <v>Actionplan-Maßnahmenplan</v>
      </c>
      <c r="B956" t="str">
        <f>pos('Actionplan-Maßnahmenplan'!Q224)</f>
        <v>$Q$224</v>
      </c>
      <c r="C956" t="str">
        <f t="shared" ca="1" si="26"/>
        <v/>
      </c>
    </row>
    <row r="957" spans="1:3">
      <c r="A957" s="335" t="str">
        <f t="shared" si="27"/>
        <v>Actionplan-Maßnahmenplan</v>
      </c>
      <c r="B957" t="str">
        <f>pos('Actionplan-Maßnahmenplan'!Q225)</f>
        <v>$Q$225</v>
      </c>
      <c r="C957" t="str">
        <f t="shared" ca="1" si="26"/>
        <v/>
      </c>
    </row>
    <row r="958" spans="1:3">
      <c r="A958" s="335" t="str">
        <f t="shared" si="27"/>
        <v>Actionplan-Maßnahmenplan</v>
      </c>
      <c r="B958" t="str">
        <f>pos('Actionplan-Maßnahmenplan'!Q226)</f>
        <v>$Q$226</v>
      </c>
      <c r="C958" t="str">
        <f t="shared" ca="1" si="26"/>
        <v/>
      </c>
    </row>
    <row r="959" spans="1:3">
      <c r="A959" s="335" t="str">
        <f t="shared" si="27"/>
        <v>Actionplan-Maßnahmenplan</v>
      </c>
      <c r="B959" t="str">
        <f>pos('Actionplan-Maßnahmenplan'!Q234)</f>
        <v>$Q$234</v>
      </c>
      <c r="C959" t="str">
        <f t="shared" ca="1" si="26"/>
        <v/>
      </c>
    </row>
    <row r="960" spans="1:3">
      <c r="A960" s="335" t="str">
        <f t="shared" si="27"/>
        <v>Actionplan-Maßnahmenplan</v>
      </c>
      <c r="B960" t="str">
        <f>pos('Actionplan-Maßnahmenplan'!Q235)</f>
        <v>$Q$235</v>
      </c>
      <c r="C960" t="str">
        <f t="shared" ca="1" si="26"/>
        <v/>
      </c>
    </row>
    <row r="961" spans="1:3">
      <c r="A961" s="335" t="str">
        <f t="shared" si="27"/>
        <v>Actionplan-Maßnahmenplan</v>
      </c>
      <c r="B961" t="str">
        <f>pos('Actionplan-Maßnahmenplan'!Q236)</f>
        <v>$Q$236</v>
      </c>
      <c r="C961" t="str">
        <f t="shared" ref="C961:C1024" ca="1" si="28">IF(INDIRECT("'"&amp;A961&amp;"'!"&amp;B961)=0,"",INDIRECT("'"&amp;A961&amp;"'!"&amp;B961))</f>
        <v/>
      </c>
    </row>
    <row r="962" spans="1:3">
      <c r="A962" s="335" t="str">
        <f t="shared" si="27"/>
        <v>Actionplan-Maßnahmenplan</v>
      </c>
      <c r="B962" t="str">
        <f>pos('Actionplan-Maßnahmenplan'!Q244)</f>
        <v>$Q$244</v>
      </c>
      <c r="C962" t="str">
        <f t="shared" ca="1" si="28"/>
        <v/>
      </c>
    </row>
    <row r="963" spans="1:3">
      <c r="A963" s="335" t="str">
        <f t="shared" si="27"/>
        <v>Actionplan-Maßnahmenplan</v>
      </c>
      <c r="B963" t="str">
        <f>pos('Actionplan-Maßnahmenplan'!Q245)</f>
        <v>$Q$245</v>
      </c>
      <c r="C963" t="str">
        <f t="shared" ca="1" si="28"/>
        <v/>
      </c>
    </row>
    <row r="964" spans="1:3">
      <c r="A964" s="335" t="str">
        <f t="shared" si="27"/>
        <v>Actionplan-Maßnahmenplan</v>
      </c>
      <c r="B964" t="str">
        <f>pos('Actionplan-Maßnahmenplan'!Q246)</f>
        <v>$Q$246</v>
      </c>
      <c r="C964" t="str">
        <f t="shared" ca="1" si="28"/>
        <v/>
      </c>
    </row>
    <row r="965" spans="1:3">
      <c r="A965" s="335" t="str">
        <f t="shared" si="27"/>
        <v>Actionplan-Maßnahmenplan</v>
      </c>
      <c r="B965" t="str">
        <f>pos('Actionplan-Maßnahmenplan'!Q254)</f>
        <v>$Q$254</v>
      </c>
      <c r="C965" t="str">
        <f t="shared" ca="1" si="28"/>
        <v/>
      </c>
    </row>
    <row r="966" spans="1:3">
      <c r="A966" s="335" t="str">
        <f t="shared" si="27"/>
        <v>Actionplan-Maßnahmenplan</v>
      </c>
      <c r="B966" t="str">
        <f>pos('Actionplan-Maßnahmenplan'!Q255)</f>
        <v>$Q$255</v>
      </c>
      <c r="C966" t="str">
        <f t="shared" ca="1" si="28"/>
        <v/>
      </c>
    </row>
    <row r="967" spans="1:3">
      <c r="A967" s="335" t="str">
        <f t="shared" si="27"/>
        <v>Actionplan-Maßnahmenplan</v>
      </c>
      <c r="B967" t="str">
        <f>pos('Actionplan-Maßnahmenplan'!Q256)</f>
        <v>$Q$256</v>
      </c>
      <c r="C967" t="str">
        <f t="shared" ca="1" si="28"/>
        <v/>
      </c>
    </row>
    <row r="968" spans="1:3">
      <c r="A968" s="335" t="str">
        <f t="shared" si="27"/>
        <v>Actionplan-Maßnahmenplan</v>
      </c>
      <c r="B968" t="str">
        <f>pos('Actionplan-Maßnahmenplan'!Q264)</f>
        <v>$Q$264</v>
      </c>
      <c r="C968" t="str">
        <f t="shared" ca="1" si="28"/>
        <v/>
      </c>
    </row>
    <row r="969" spans="1:3">
      <c r="A969" s="335" t="str">
        <f t="shared" si="27"/>
        <v>Actionplan-Maßnahmenplan</v>
      </c>
      <c r="B969" t="str">
        <f>pos('Actionplan-Maßnahmenplan'!Q265)</f>
        <v>$Q$265</v>
      </c>
      <c r="C969" t="str">
        <f t="shared" ca="1" si="28"/>
        <v/>
      </c>
    </row>
    <row r="970" spans="1:3">
      <c r="A970" s="335" t="str">
        <f t="shared" si="27"/>
        <v>Actionplan-Maßnahmenplan</v>
      </c>
      <c r="B970" t="str">
        <f>pos('Actionplan-Maßnahmenplan'!Q266)</f>
        <v>$Q$266</v>
      </c>
      <c r="C970" t="str">
        <f t="shared" ca="1" si="28"/>
        <v/>
      </c>
    </row>
    <row r="971" spans="1:3">
      <c r="A971" s="335" t="str">
        <f t="shared" si="27"/>
        <v>Actionplan-Maßnahmenplan</v>
      </c>
      <c r="B971" t="str">
        <f>pos('Actionplan-Maßnahmenplan'!Q274)</f>
        <v>$Q$274</v>
      </c>
      <c r="C971" t="str">
        <f t="shared" ca="1" si="28"/>
        <v/>
      </c>
    </row>
    <row r="972" spans="1:3">
      <c r="A972" s="335" t="str">
        <f t="shared" si="27"/>
        <v>Actionplan-Maßnahmenplan</v>
      </c>
      <c r="B972" t="str">
        <f>pos('Actionplan-Maßnahmenplan'!Q275)</f>
        <v>$Q$275</v>
      </c>
      <c r="C972" t="str">
        <f t="shared" ca="1" si="28"/>
        <v/>
      </c>
    </row>
    <row r="973" spans="1:3">
      <c r="A973" s="335" t="str">
        <f t="shared" si="27"/>
        <v>Actionplan-Maßnahmenplan</v>
      </c>
      <c r="B973" t="str">
        <f>pos('Actionplan-Maßnahmenplan'!Q276)</f>
        <v>$Q$276</v>
      </c>
      <c r="C973" t="str">
        <f t="shared" ca="1" si="28"/>
        <v/>
      </c>
    </row>
    <row r="974" spans="1:3">
      <c r="A974" s="335" t="str">
        <f t="shared" si="27"/>
        <v>Actionplan-Maßnahmenplan</v>
      </c>
      <c r="B974" t="str">
        <f>pos('Actionplan-Maßnahmenplan'!Q284)</f>
        <v>$Q$284</v>
      </c>
      <c r="C974" t="str">
        <f t="shared" ca="1" si="28"/>
        <v/>
      </c>
    </row>
    <row r="975" spans="1:3">
      <c r="A975" s="335" t="str">
        <f t="shared" si="27"/>
        <v>Actionplan-Maßnahmenplan</v>
      </c>
      <c r="B975" t="str">
        <f>pos('Actionplan-Maßnahmenplan'!Q285)</f>
        <v>$Q$285</v>
      </c>
      <c r="C975" t="str">
        <f t="shared" ca="1" si="28"/>
        <v/>
      </c>
    </row>
    <row r="976" spans="1:3">
      <c r="A976" s="335" t="str">
        <f t="shared" si="27"/>
        <v>Actionplan-Maßnahmenplan</v>
      </c>
      <c r="B976" t="str">
        <f>pos('Actionplan-Maßnahmenplan'!Q286)</f>
        <v>$Q$286</v>
      </c>
      <c r="C976" t="str">
        <f t="shared" ca="1" si="28"/>
        <v/>
      </c>
    </row>
    <row r="977" spans="1:3">
      <c r="A977" s="335" t="str">
        <f t="shared" si="27"/>
        <v>Actionplan-Maßnahmenplan</v>
      </c>
      <c r="B977" t="str">
        <f>pos('Actionplan-Maßnahmenplan'!Q294)</f>
        <v>$Q$294</v>
      </c>
      <c r="C977" t="str">
        <f t="shared" ca="1" si="28"/>
        <v>Pontus S.</v>
      </c>
    </row>
    <row r="978" spans="1:3">
      <c r="A978" s="335" t="str">
        <f t="shared" si="27"/>
        <v>Actionplan-Maßnahmenplan</v>
      </c>
      <c r="B978" t="str">
        <f>pos('Actionplan-Maßnahmenplan'!Q295)</f>
        <v>$Q$295</v>
      </c>
      <c r="C978" t="str">
        <f t="shared" ca="1" si="28"/>
        <v/>
      </c>
    </row>
    <row r="979" spans="1:3">
      <c r="A979" s="335" t="str">
        <f t="shared" si="27"/>
        <v>Actionplan-Maßnahmenplan</v>
      </c>
      <c r="B979" t="str">
        <f>pos('Actionplan-Maßnahmenplan'!Q296)</f>
        <v>$Q$296</v>
      </c>
      <c r="C979" t="str">
        <f t="shared" ca="1" si="28"/>
        <v/>
      </c>
    </row>
    <row r="980" spans="1:3">
      <c r="A980" s="335" t="str">
        <f t="shared" si="27"/>
        <v>Actionplan-Maßnahmenplan</v>
      </c>
      <c r="B980" t="str">
        <f>pos('Actionplan-Maßnahmenplan'!Q304)</f>
        <v>$Q$304</v>
      </c>
      <c r="C980" t="str">
        <f t="shared" ca="1" si="28"/>
        <v/>
      </c>
    </row>
    <row r="981" spans="1:3">
      <c r="A981" s="335" t="str">
        <f t="shared" si="27"/>
        <v>Actionplan-Maßnahmenplan</v>
      </c>
      <c r="B981" t="str">
        <f>pos('Actionplan-Maßnahmenplan'!Q305)</f>
        <v>$Q$305</v>
      </c>
      <c r="C981" t="str">
        <f t="shared" ca="1" si="28"/>
        <v/>
      </c>
    </row>
    <row r="982" spans="1:3">
      <c r="A982" s="335" t="str">
        <f t="shared" si="27"/>
        <v>Actionplan-Maßnahmenplan</v>
      </c>
      <c r="B982" t="str">
        <f>pos('Actionplan-Maßnahmenplan'!Q306)</f>
        <v>$Q$306</v>
      </c>
      <c r="C982" t="str">
        <f t="shared" ca="1" si="28"/>
        <v/>
      </c>
    </row>
    <row r="983" spans="1:3">
      <c r="A983" s="335" t="str">
        <f t="shared" si="27"/>
        <v>Actionplan-Maßnahmenplan</v>
      </c>
      <c r="B983" t="str">
        <f>pos('Actionplan-Maßnahmenplan'!Q314)</f>
        <v>$Q$314</v>
      </c>
      <c r="C983" t="str">
        <f t="shared" ca="1" si="28"/>
        <v/>
      </c>
    </row>
    <row r="984" spans="1:3">
      <c r="A984" s="335" t="str">
        <f t="shared" si="27"/>
        <v>Actionplan-Maßnahmenplan</v>
      </c>
      <c r="B984" t="str">
        <f>pos('Actionplan-Maßnahmenplan'!Q315)</f>
        <v>$Q$315</v>
      </c>
      <c r="C984" t="str">
        <f t="shared" ca="1" si="28"/>
        <v/>
      </c>
    </row>
    <row r="985" spans="1:3">
      <c r="A985" s="335" t="str">
        <f t="shared" si="27"/>
        <v>Actionplan-Maßnahmenplan</v>
      </c>
      <c r="B985" t="str">
        <f>pos('Actionplan-Maßnahmenplan'!Q316)</f>
        <v>$Q$316</v>
      </c>
      <c r="C985" t="str">
        <f t="shared" ca="1" si="28"/>
        <v/>
      </c>
    </row>
    <row r="986" spans="1:3">
      <c r="A986" s="335" t="str">
        <f t="shared" si="27"/>
        <v>Actionplan-Maßnahmenplan</v>
      </c>
      <c r="B986" t="str">
        <f>pos('Actionplan-Maßnahmenplan'!Q317)</f>
        <v>$Q$317</v>
      </c>
      <c r="C986" t="str">
        <f t="shared" ca="1" si="28"/>
        <v/>
      </c>
    </row>
    <row r="987" spans="1:3">
      <c r="A987" s="335" t="str">
        <f t="shared" si="27"/>
        <v>Actionplan-Maßnahmenplan</v>
      </c>
      <c r="B987" t="str">
        <f>pos('Actionplan-Maßnahmenplan'!Q318)</f>
        <v>$Q$318</v>
      </c>
      <c r="C987" t="str">
        <f t="shared" ca="1" si="28"/>
        <v/>
      </c>
    </row>
    <row r="988" spans="1:3">
      <c r="A988" s="335" t="str">
        <f t="shared" si="27"/>
        <v>Actionplan-Maßnahmenplan</v>
      </c>
      <c r="B988" t="str">
        <f>pos('Actionplan-Maßnahmenplan'!Q319)</f>
        <v>$Q$319</v>
      </c>
      <c r="C988" t="str">
        <f t="shared" ca="1" si="28"/>
        <v/>
      </c>
    </row>
    <row r="989" spans="1:3">
      <c r="A989" s="335" t="str">
        <f t="shared" si="27"/>
        <v>Actionplan-Maßnahmenplan</v>
      </c>
      <c r="B989" t="str">
        <f>pos('Actionplan-Maßnahmenplan'!Q320)</f>
        <v>$Q$320</v>
      </c>
      <c r="C989" t="str">
        <f t="shared" ca="1" si="28"/>
        <v/>
      </c>
    </row>
    <row r="990" spans="1:3">
      <c r="A990" s="335" t="str">
        <f t="shared" si="27"/>
        <v>Actionplan-Maßnahmenplan</v>
      </c>
      <c r="B990" t="str">
        <f>pos('Actionplan-Maßnahmenplan'!S12)</f>
        <v>$S$12</v>
      </c>
      <c r="C990" t="str">
        <f t="shared" ca="1" si="28"/>
        <v/>
      </c>
    </row>
    <row r="991" spans="1:3">
      <c r="A991" s="335" t="str">
        <f t="shared" si="27"/>
        <v>Actionplan-Maßnahmenplan</v>
      </c>
      <c r="B991" t="str">
        <f>pos('Actionplan-Maßnahmenplan'!S13)</f>
        <v>$S$13</v>
      </c>
      <c r="C991" t="str">
        <f t="shared" ca="1" si="28"/>
        <v/>
      </c>
    </row>
    <row r="992" spans="1:3">
      <c r="A992" s="335" t="str">
        <f t="shared" si="27"/>
        <v>Actionplan-Maßnahmenplan</v>
      </c>
      <c r="B992" t="str">
        <f>pos('Actionplan-Maßnahmenplan'!S14)</f>
        <v>$S$14</v>
      </c>
      <c r="C992" t="str">
        <f t="shared" ca="1" si="28"/>
        <v/>
      </c>
    </row>
    <row r="993" spans="1:3">
      <c r="A993" s="335" t="str">
        <f t="shared" si="27"/>
        <v>Actionplan-Maßnahmenplan</v>
      </c>
      <c r="B993" t="str">
        <f>pos('Actionplan-Maßnahmenplan'!S15)</f>
        <v>$S$15</v>
      </c>
      <c r="C993" t="str">
        <f t="shared" ca="1" si="28"/>
        <v/>
      </c>
    </row>
    <row r="994" spans="1:3">
      <c r="A994" s="335" t="str">
        <f t="shared" si="27"/>
        <v>Actionplan-Maßnahmenplan</v>
      </c>
      <c r="B994" t="str">
        <f>pos('Actionplan-Maßnahmenplan'!S16)</f>
        <v>$S$16</v>
      </c>
      <c r="C994" t="str">
        <f t="shared" ca="1" si="28"/>
        <v/>
      </c>
    </row>
    <row r="995" spans="1:3">
      <c r="A995" t="str">
        <f t="shared" ref="A995:A1058" si="29">$A$482</f>
        <v>Actionplan-Maßnahmenplan</v>
      </c>
      <c r="B995" t="str">
        <f>pos('Actionplan-Maßnahmenplan'!S17)</f>
        <v>$S$17</v>
      </c>
      <c r="C995" t="str">
        <f t="shared" ca="1" si="28"/>
        <v/>
      </c>
    </row>
    <row r="996" spans="1:3">
      <c r="A996" t="str">
        <f t="shared" si="29"/>
        <v>Actionplan-Maßnahmenplan</v>
      </c>
      <c r="B996" t="str">
        <f>pos('Actionplan-Maßnahmenplan'!S18)</f>
        <v>$S$18</v>
      </c>
      <c r="C996" t="str">
        <f t="shared" ca="1" si="28"/>
        <v/>
      </c>
    </row>
    <row r="997" spans="1:3">
      <c r="A997" t="str">
        <f t="shared" si="29"/>
        <v>Actionplan-Maßnahmenplan</v>
      </c>
      <c r="B997" t="str">
        <f>pos('Actionplan-Maßnahmenplan'!S19)</f>
        <v>$S$19</v>
      </c>
      <c r="C997" t="str">
        <f t="shared" ca="1" si="28"/>
        <v/>
      </c>
    </row>
    <row r="998" spans="1:3">
      <c r="A998" t="str">
        <f t="shared" si="29"/>
        <v>Actionplan-Maßnahmenplan</v>
      </c>
      <c r="B998" t="str">
        <f>pos('Actionplan-Maßnahmenplan'!S20)</f>
        <v>$S$20</v>
      </c>
      <c r="C998" t="str">
        <f t="shared" ca="1" si="28"/>
        <v/>
      </c>
    </row>
    <row r="999" spans="1:3">
      <c r="A999" t="str">
        <f t="shared" si="29"/>
        <v>Actionplan-Maßnahmenplan</v>
      </c>
      <c r="B999" t="str">
        <f>pos('Actionplan-Maßnahmenplan'!S21)</f>
        <v>$S$21</v>
      </c>
      <c r="C999" t="str">
        <f t="shared" ca="1" si="28"/>
        <v/>
      </c>
    </row>
    <row r="1000" spans="1:3">
      <c r="A1000" t="str">
        <f t="shared" si="29"/>
        <v>Actionplan-Maßnahmenplan</v>
      </c>
      <c r="B1000" t="str">
        <f>pos('Actionplan-Maßnahmenplan'!S22)</f>
        <v>$S$22</v>
      </c>
      <c r="C1000" t="str">
        <f t="shared" ca="1" si="28"/>
        <v/>
      </c>
    </row>
    <row r="1001" spans="1:3">
      <c r="A1001" t="str">
        <f t="shared" si="29"/>
        <v>Actionplan-Maßnahmenplan</v>
      </c>
      <c r="B1001" t="str">
        <f>pos('Actionplan-Maßnahmenplan'!S23)</f>
        <v>$S$23</v>
      </c>
      <c r="C1001" t="str">
        <f t="shared" ca="1" si="28"/>
        <v/>
      </c>
    </row>
    <row r="1002" spans="1:3">
      <c r="A1002" t="str">
        <f t="shared" si="29"/>
        <v>Actionplan-Maßnahmenplan</v>
      </c>
      <c r="B1002" t="str">
        <f>pos('Actionplan-Maßnahmenplan'!S24)</f>
        <v>$S$24</v>
      </c>
      <c r="C1002" t="str">
        <f t="shared" ca="1" si="28"/>
        <v/>
      </c>
    </row>
    <row r="1003" spans="1:3">
      <c r="A1003" t="str">
        <f t="shared" si="29"/>
        <v>Actionplan-Maßnahmenplan</v>
      </c>
      <c r="B1003" t="str">
        <f>pos('Actionplan-Maßnahmenplan'!S25)</f>
        <v>$S$25</v>
      </c>
      <c r="C1003" t="str">
        <f t="shared" ca="1" si="28"/>
        <v/>
      </c>
    </row>
    <row r="1004" spans="1:3">
      <c r="A1004" t="str">
        <f t="shared" si="29"/>
        <v>Actionplan-Maßnahmenplan</v>
      </c>
      <c r="B1004" t="str">
        <f>pos('Actionplan-Maßnahmenplan'!S26)</f>
        <v>$S$26</v>
      </c>
      <c r="C1004" t="str">
        <f t="shared" ca="1" si="28"/>
        <v/>
      </c>
    </row>
    <row r="1005" spans="1:3">
      <c r="A1005" t="str">
        <f t="shared" si="29"/>
        <v>Actionplan-Maßnahmenplan</v>
      </c>
      <c r="B1005" t="str">
        <f>pos('Actionplan-Maßnahmenplan'!S27)</f>
        <v>$S$27</v>
      </c>
      <c r="C1005" t="str">
        <f t="shared" ca="1" si="28"/>
        <v/>
      </c>
    </row>
    <row r="1006" spans="1:3">
      <c r="A1006" t="str">
        <f t="shared" si="29"/>
        <v>Actionplan-Maßnahmenplan</v>
      </c>
      <c r="B1006" t="str">
        <f>pos('Actionplan-Maßnahmenplan'!S28)</f>
        <v>$S$28</v>
      </c>
      <c r="C1006" t="str">
        <f t="shared" ca="1" si="28"/>
        <v/>
      </c>
    </row>
    <row r="1007" spans="1:3">
      <c r="A1007" t="str">
        <f t="shared" si="29"/>
        <v>Actionplan-Maßnahmenplan</v>
      </c>
      <c r="B1007" t="str">
        <f>pos('Actionplan-Maßnahmenplan'!S29)</f>
        <v>$S$29</v>
      </c>
      <c r="C1007" t="str">
        <f t="shared" ca="1" si="28"/>
        <v/>
      </c>
    </row>
    <row r="1008" spans="1:3">
      <c r="A1008" t="str">
        <f t="shared" si="29"/>
        <v>Actionplan-Maßnahmenplan</v>
      </c>
      <c r="B1008" t="str">
        <f>pos('Actionplan-Maßnahmenplan'!S30)</f>
        <v>$S$30</v>
      </c>
      <c r="C1008" t="str">
        <f t="shared" ca="1" si="28"/>
        <v/>
      </c>
    </row>
    <row r="1009" spans="1:3">
      <c r="A1009" t="str">
        <f t="shared" si="29"/>
        <v>Actionplan-Maßnahmenplan</v>
      </c>
      <c r="B1009" t="str">
        <f>pos('Actionplan-Maßnahmenplan'!S31)</f>
        <v>$S$31</v>
      </c>
      <c r="C1009" t="str">
        <f t="shared" ca="1" si="28"/>
        <v/>
      </c>
    </row>
    <row r="1010" spans="1:3">
      <c r="A1010" t="str">
        <f t="shared" si="29"/>
        <v>Actionplan-Maßnahmenplan</v>
      </c>
      <c r="B1010" t="str">
        <f>pos('Actionplan-Maßnahmenplan'!S32)</f>
        <v>$S$32</v>
      </c>
      <c r="C1010" t="str">
        <f t="shared" ca="1" si="28"/>
        <v/>
      </c>
    </row>
    <row r="1011" spans="1:3">
      <c r="A1011" t="str">
        <f t="shared" si="29"/>
        <v>Actionplan-Maßnahmenplan</v>
      </c>
      <c r="B1011" t="str">
        <f>pos('Actionplan-Maßnahmenplan'!S33)</f>
        <v>$S$33</v>
      </c>
      <c r="C1011" t="str">
        <f t="shared" ca="1" si="28"/>
        <v/>
      </c>
    </row>
    <row r="1012" spans="1:3">
      <c r="A1012" t="str">
        <f t="shared" si="29"/>
        <v>Actionplan-Maßnahmenplan</v>
      </c>
      <c r="B1012" t="str">
        <f>pos('Actionplan-Maßnahmenplan'!S34)</f>
        <v>$S$34</v>
      </c>
      <c r="C1012" t="str">
        <f t="shared" ca="1" si="28"/>
        <v/>
      </c>
    </row>
    <row r="1013" spans="1:3">
      <c r="A1013" t="str">
        <f t="shared" si="29"/>
        <v>Actionplan-Maßnahmenplan</v>
      </c>
      <c r="B1013" t="str">
        <f>pos('Actionplan-Maßnahmenplan'!S35)</f>
        <v>$S$35</v>
      </c>
      <c r="C1013" t="str">
        <f t="shared" ca="1" si="28"/>
        <v/>
      </c>
    </row>
    <row r="1014" spans="1:3">
      <c r="A1014" t="str">
        <f t="shared" si="29"/>
        <v>Actionplan-Maßnahmenplan</v>
      </c>
      <c r="B1014" t="str">
        <f>pos('Actionplan-Maßnahmenplan'!S36)</f>
        <v>$S$36</v>
      </c>
      <c r="C1014" t="str">
        <f t="shared" ca="1" si="28"/>
        <v/>
      </c>
    </row>
    <row r="1015" spans="1:3">
      <c r="A1015" t="str">
        <f t="shared" si="29"/>
        <v>Actionplan-Maßnahmenplan</v>
      </c>
      <c r="B1015" t="str">
        <f>pos('Actionplan-Maßnahmenplan'!S37)</f>
        <v>$S$37</v>
      </c>
      <c r="C1015" t="str">
        <f t="shared" ca="1" si="28"/>
        <v/>
      </c>
    </row>
    <row r="1016" spans="1:3">
      <c r="A1016" t="str">
        <f t="shared" si="29"/>
        <v>Actionplan-Maßnahmenplan</v>
      </c>
      <c r="B1016" t="str">
        <f>pos('Actionplan-Maßnahmenplan'!S38)</f>
        <v>$S$38</v>
      </c>
      <c r="C1016" t="str">
        <f t="shared" ca="1" si="28"/>
        <v/>
      </c>
    </row>
    <row r="1017" spans="1:3">
      <c r="A1017" t="str">
        <f t="shared" si="29"/>
        <v>Actionplan-Maßnahmenplan</v>
      </c>
      <c r="B1017" t="str">
        <f>pos('Actionplan-Maßnahmenplan'!S39)</f>
        <v>$S$39</v>
      </c>
      <c r="C1017" t="str">
        <f t="shared" ca="1" si="28"/>
        <v/>
      </c>
    </row>
    <row r="1018" spans="1:3">
      <c r="A1018" t="str">
        <f t="shared" si="29"/>
        <v>Actionplan-Maßnahmenplan</v>
      </c>
      <c r="B1018" t="str">
        <f>pos('Actionplan-Maßnahmenplan'!S40)</f>
        <v>$S$40</v>
      </c>
      <c r="C1018" t="str">
        <f t="shared" ca="1" si="28"/>
        <v/>
      </c>
    </row>
    <row r="1019" spans="1:3">
      <c r="A1019" t="str">
        <f t="shared" si="29"/>
        <v>Actionplan-Maßnahmenplan</v>
      </c>
      <c r="B1019" t="str">
        <f>pos('Actionplan-Maßnahmenplan'!S41)</f>
        <v>$S$41</v>
      </c>
      <c r="C1019" t="str">
        <f t="shared" ca="1" si="28"/>
        <v/>
      </c>
    </row>
    <row r="1020" spans="1:3">
      <c r="A1020" t="str">
        <f t="shared" si="29"/>
        <v>Actionplan-Maßnahmenplan</v>
      </c>
      <c r="B1020" t="str">
        <f>pos('Actionplan-Maßnahmenplan'!S42)</f>
        <v>$S$42</v>
      </c>
      <c r="C1020" t="str">
        <f t="shared" ca="1" si="28"/>
        <v/>
      </c>
    </row>
    <row r="1021" spans="1:3">
      <c r="A1021" t="str">
        <f t="shared" si="29"/>
        <v>Actionplan-Maßnahmenplan</v>
      </c>
      <c r="B1021" t="str">
        <f>pos('Actionplan-Maßnahmenplan'!S43)</f>
        <v>$S$43</v>
      </c>
      <c r="C1021" t="str">
        <f t="shared" ca="1" si="28"/>
        <v/>
      </c>
    </row>
    <row r="1022" spans="1:3">
      <c r="A1022" t="str">
        <f t="shared" si="29"/>
        <v>Actionplan-Maßnahmenplan</v>
      </c>
      <c r="B1022" t="str">
        <f>pos('Actionplan-Maßnahmenplan'!S44)</f>
        <v>$S$44</v>
      </c>
      <c r="C1022" t="str">
        <f t="shared" ca="1" si="28"/>
        <v/>
      </c>
    </row>
    <row r="1023" spans="1:3">
      <c r="A1023" t="str">
        <f t="shared" si="29"/>
        <v>Actionplan-Maßnahmenplan</v>
      </c>
      <c r="B1023" t="str">
        <f>pos('Actionplan-Maßnahmenplan'!S45)</f>
        <v>$S$45</v>
      </c>
      <c r="C1023" t="str">
        <f t="shared" ca="1" si="28"/>
        <v/>
      </c>
    </row>
    <row r="1024" spans="1:3">
      <c r="A1024" t="str">
        <f t="shared" si="29"/>
        <v>Actionplan-Maßnahmenplan</v>
      </c>
      <c r="B1024" t="str">
        <f>pos('Actionplan-Maßnahmenplan'!S46)</f>
        <v>$S$46</v>
      </c>
      <c r="C1024" t="str">
        <f t="shared" ca="1" si="28"/>
        <v/>
      </c>
    </row>
    <row r="1025" spans="1:3">
      <c r="A1025" t="str">
        <f t="shared" si="29"/>
        <v>Actionplan-Maßnahmenplan</v>
      </c>
      <c r="B1025" t="str">
        <f>pos('Actionplan-Maßnahmenplan'!S47)</f>
        <v>$S$47</v>
      </c>
      <c r="C1025" t="str">
        <f t="shared" ref="C1025:C1088" ca="1" si="30">IF(INDIRECT("'"&amp;A1025&amp;"'!"&amp;B1025)=0,"",INDIRECT("'"&amp;A1025&amp;"'!"&amp;B1025))</f>
        <v/>
      </c>
    </row>
    <row r="1026" spans="1:3">
      <c r="A1026" t="str">
        <f t="shared" si="29"/>
        <v>Actionplan-Maßnahmenplan</v>
      </c>
      <c r="B1026" t="str">
        <f>pos('Actionplan-Maßnahmenplan'!S48)</f>
        <v>$S$48</v>
      </c>
      <c r="C1026" t="str">
        <f t="shared" ca="1" si="30"/>
        <v/>
      </c>
    </row>
    <row r="1027" spans="1:3">
      <c r="A1027" t="str">
        <f t="shared" si="29"/>
        <v>Actionplan-Maßnahmenplan</v>
      </c>
      <c r="B1027" t="str">
        <f>pos('Actionplan-Maßnahmenplan'!S49)</f>
        <v>$S$49</v>
      </c>
      <c r="C1027" t="str">
        <f t="shared" ca="1" si="30"/>
        <v/>
      </c>
    </row>
    <row r="1028" spans="1:3">
      <c r="A1028" t="str">
        <f t="shared" si="29"/>
        <v>Actionplan-Maßnahmenplan</v>
      </c>
      <c r="B1028" t="str">
        <f>pos('Actionplan-Maßnahmenplan'!S50)</f>
        <v>$S$50</v>
      </c>
      <c r="C1028" t="str">
        <f t="shared" ca="1" si="30"/>
        <v/>
      </c>
    </row>
    <row r="1029" spans="1:3">
      <c r="A1029" t="str">
        <f t="shared" si="29"/>
        <v>Actionplan-Maßnahmenplan</v>
      </c>
      <c r="B1029" t="str">
        <f>pos('Actionplan-Maßnahmenplan'!S51)</f>
        <v>$S$51</v>
      </c>
      <c r="C1029" t="str">
        <f t="shared" ca="1" si="30"/>
        <v/>
      </c>
    </row>
    <row r="1030" spans="1:3">
      <c r="A1030" t="str">
        <f t="shared" si="29"/>
        <v>Actionplan-Maßnahmenplan</v>
      </c>
      <c r="B1030" t="str">
        <f>pos('Actionplan-Maßnahmenplan'!S52)</f>
        <v>$S$52</v>
      </c>
      <c r="C1030" t="str">
        <f t="shared" ca="1" si="30"/>
        <v/>
      </c>
    </row>
    <row r="1031" spans="1:3">
      <c r="A1031" t="str">
        <f t="shared" si="29"/>
        <v>Actionplan-Maßnahmenplan</v>
      </c>
      <c r="B1031" t="str">
        <f>pos('Actionplan-Maßnahmenplan'!S53)</f>
        <v>$S$53</v>
      </c>
      <c r="C1031" t="str">
        <f t="shared" ca="1" si="30"/>
        <v>Effec-tivity</v>
      </c>
    </row>
    <row r="1032" spans="1:3">
      <c r="A1032" t="str">
        <f t="shared" si="29"/>
        <v>Actionplan-Maßnahmenplan</v>
      </c>
      <c r="B1032" t="str">
        <f>pos('Actionplan-Maßnahmenplan'!S54)</f>
        <v>$S$54</v>
      </c>
      <c r="C1032" t="str">
        <f t="shared" ca="1" si="30"/>
        <v/>
      </c>
    </row>
    <row r="1033" spans="1:3">
      <c r="A1033" t="str">
        <f t="shared" si="29"/>
        <v>Actionplan-Maßnahmenplan</v>
      </c>
      <c r="B1033" t="str">
        <f>pos('Actionplan-Maßnahmenplan'!S55)</f>
        <v>$S$55</v>
      </c>
      <c r="C1033" t="str">
        <f t="shared" ca="1" si="30"/>
        <v/>
      </c>
    </row>
    <row r="1034" spans="1:3">
      <c r="A1034" t="str">
        <f t="shared" si="29"/>
        <v>Actionplan-Maßnahmenplan</v>
      </c>
      <c r="B1034" t="str">
        <f>pos('Actionplan-Maßnahmenplan'!S56)</f>
        <v>$S$56</v>
      </c>
      <c r="C1034" t="str">
        <f t="shared" ca="1" si="30"/>
        <v/>
      </c>
    </row>
    <row r="1035" spans="1:3">
      <c r="A1035" t="str">
        <f t="shared" si="29"/>
        <v>Actionplan-Maßnahmenplan</v>
      </c>
      <c r="B1035" t="str">
        <f>pos('Actionplan-Maßnahmenplan'!S64)</f>
        <v>$S$64</v>
      </c>
      <c r="C1035" t="str">
        <f t="shared" ca="1" si="30"/>
        <v/>
      </c>
    </row>
    <row r="1036" spans="1:3">
      <c r="A1036" t="str">
        <f t="shared" si="29"/>
        <v>Actionplan-Maßnahmenplan</v>
      </c>
      <c r="B1036" t="str">
        <f>pos('Actionplan-Maßnahmenplan'!S65)</f>
        <v>$S$65</v>
      </c>
      <c r="C1036" t="str">
        <f t="shared" ca="1" si="30"/>
        <v/>
      </c>
    </row>
    <row r="1037" spans="1:3">
      <c r="A1037" t="str">
        <f t="shared" si="29"/>
        <v>Actionplan-Maßnahmenplan</v>
      </c>
      <c r="B1037" t="str">
        <f>pos('Actionplan-Maßnahmenplan'!S66)</f>
        <v>$S$66</v>
      </c>
      <c r="C1037" t="str">
        <f t="shared" ca="1" si="30"/>
        <v/>
      </c>
    </row>
    <row r="1038" spans="1:3">
      <c r="A1038" t="str">
        <f t="shared" si="29"/>
        <v>Actionplan-Maßnahmenplan</v>
      </c>
      <c r="B1038" t="str">
        <f>pos('Actionplan-Maßnahmenplan'!S74)</f>
        <v>$S$74</v>
      </c>
      <c r="C1038" t="str">
        <f t="shared" ca="1" si="30"/>
        <v/>
      </c>
    </row>
    <row r="1039" spans="1:3">
      <c r="A1039" t="str">
        <f t="shared" si="29"/>
        <v>Actionplan-Maßnahmenplan</v>
      </c>
      <c r="B1039" t="str">
        <f>pos('Actionplan-Maßnahmenplan'!S75)</f>
        <v>$S$75</v>
      </c>
      <c r="C1039" t="str">
        <f t="shared" ca="1" si="30"/>
        <v/>
      </c>
    </row>
    <row r="1040" spans="1:3">
      <c r="A1040" t="str">
        <f t="shared" si="29"/>
        <v>Actionplan-Maßnahmenplan</v>
      </c>
      <c r="B1040" t="str">
        <f>pos('Actionplan-Maßnahmenplan'!S76)</f>
        <v>$S$76</v>
      </c>
      <c r="C1040" t="str">
        <f t="shared" ca="1" si="30"/>
        <v/>
      </c>
    </row>
    <row r="1041" spans="1:3">
      <c r="A1041" t="str">
        <f t="shared" si="29"/>
        <v>Actionplan-Maßnahmenplan</v>
      </c>
      <c r="B1041" t="str">
        <f>pos('Actionplan-Maßnahmenplan'!S84)</f>
        <v>$S$84</v>
      </c>
      <c r="C1041" t="str">
        <f t="shared" ca="1" si="30"/>
        <v/>
      </c>
    </row>
    <row r="1042" spans="1:3">
      <c r="A1042" t="str">
        <f t="shared" si="29"/>
        <v>Actionplan-Maßnahmenplan</v>
      </c>
      <c r="B1042" t="str">
        <f>pos('Actionplan-Maßnahmenplan'!S85)</f>
        <v>$S$85</v>
      </c>
      <c r="C1042" t="str">
        <f t="shared" ca="1" si="30"/>
        <v/>
      </c>
    </row>
    <row r="1043" spans="1:3">
      <c r="A1043" t="str">
        <f t="shared" si="29"/>
        <v>Actionplan-Maßnahmenplan</v>
      </c>
      <c r="B1043" t="str">
        <f>pos('Actionplan-Maßnahmenplan'!S86)</f>
        <v>$S$86</v>
      </c>
      <c r="C1043" t="str">
        <f t="shared" ca="1" si="30"/>
        <v/>
      </c>
    </row>
    <row r="1044" spans="1:3">
      <c r="A1044" t="str">
        <f t="shared" si="29"/>
        <v>Actionplan-Maßnahmenplan</v>
      </c>
      <c r="B1044" t="str">
        <f>pos('Actionplan-Maßnahmenplan'!S94)</f>
        <v>$S$94</v>
      </c>
      <c r="C1044" t="str">
        <f t="shared" ca="1" si="30"/>
        <v/>
      </c>
    </row>
    <row r="1045" spans="1:3">
      <c r="A1045" t="str">
        <f t="shared" si="29"/>
        <v>Actionplan-Maßnahmenplan</v>
      </c>
      <c r="B1045" t="str">
        <f>pos('Actionplan-Maßnahmenplan'!S95)</f>
        <v>$S$95</v>
      </c>
      <c r="C1045" t="str">
        <f t="shared" ca="1" si="30"/>
        <v/>
      </c>
    </row>
    <row r="1046" spans="1:3">
      <c r="A1046" t="str">
        <f t="shared" si="29"/>
        <v>Actionplan-Maßnahmenplan</v>
      </c>
      <c r="B1046" t="str">
        <f>pos('Actionplan-Maßnahmenplan'!S96)</f>
        <v>$S$96</v>
      </c>
      <c r="C1046" t="str">
        <f t="shared" ca="1" si="30"/>
        <v/>
      </c>
    </row>
    <row r="1047" spans="1:3">
      <c r="A1047" t="str">
        <f t="shared" si="29"/>
        <v>Actionplan-Maßnahmenplan</v>
      </c>
      <c r="B1047" t="str">
        <f>pos('Actionplan-Maßnahmenplan'!S104)</f>
        <v>$S$104</v>
      </c>
      <c r="C1047" t="str">
        <f t="shared" ca="1" si="30"/>
        <v/>
      </c>
    </row>
    <row r="1048" spans="1:3">
      <c r="A1048" t="str">
        <f t="shared" si="29"/>
        <v>Actionplan-Maßnahmenplan</v>
      </c>
      <c r="B1048" t="str">
        <f>pos('Actionplan-Maßnahmenplan'!S105)</f>
        <v>$S$105</v>
      </c>
      <c r="C1048" t="str">
        <f t="shared" ca="1" si="30"/>
        <v/>
      </c>
    </row>
    <row r="1049" spans="1:3">
      <c r="A1049" t="str">
        <f t="shared" si="29"/>
        <v>Actionplan-Maßnahmenplan</v>
      </c>
      <c r="B1049" t="str">
        <f>pos('Actionplan-Maßnahmenplan'!S106)</f>
        <v>$S$106</v>
      </c>
      <c r="C1049" t="str">
        <f t="shared" ca="1" si="30"/>
        <v/>
      </c>
    </row>
    <row r="1050" spans="1:3">
      <c r="A1050" t="str">
        <f t="shared" si="29"/>
        <v>Actionplan-Maßnahmenplan</v>
      </c>
      <c r="B1050" t="str">
        <f>pos('Actionplan-Maßnahmenplan'!S114)</f>
        <v>$S$114</v>
      </c>
      <c r="C1050" t="str">
        <f t="shared" ca="1" si="30"/>
        <v/>
      </c>
    </row>
    <row r="1051" spans="1:3">
      <c r="A1051" t="str">
        <f t="shared" si="29"/>
        <v>Actionplan-Maßnahmenplan</v>
      </c>
      <c r="B1051" t="str">
        <f>pos('Actionplan-Maßnahmenplan'!S115)</f>
        <v>$S$115</v>
      </c>
      <c r="C1051" t="str">
        <f t="shared" ca="1" si="30"/>
        <v/>
      </c>
    </row>
    <row r="1052" spans="1:3">
      <c r="A1052" t="str">
        <f t="shared" si="29"/>
        <v>Actionplan-Maßnahmenplan</v>
      </c>
      <c r="B1052" t="str">
        <f>pos('Actionplan-Maßnahmenplan'!S116)</f>
        <v>$S$116</v>
      </c>
      <c r="C1052" t="str">
        <f t="shared" ca="1" si="30"/>
        <v/>
      </c>
    </row>
    <row r="1053" spans="1:3">
      <c r="A1053" t="str">
        <f t="shared" si="29"/>
        <v>Actionplan-Maßnahmenplan</v>
      </c>
      <c r="B1053" t="str">
        <f>pos('Actionplan-Maßnahmenplan'!S124)</f>
        <v>$S$124</v>
      </c>
      <c r="C1053" t="str">
        <f t="shared" ca="1" si="30"/>
        <v/>
      </c>
    </row>
    <row r="1054" spans="1:3">
      <c r="A1054" t="str">
        <f t="shared" si="29"/>
        <v>Actionplan-Maßnahmenplan</v>
      </c>
      <c r="B1054" t="str">
        <f>pos('Actionplan-Maßnahmenplan'!S125)</f>
        <v>$S$125</v>
      </c>
      <c r="C1054" t="str">
        <f t="shared" ca="1" si="30"/>
        <v/>
      </c>
    </row>
    <row r="1055" spans="1:3">
      <c r="A1055" t="str">
        <f t="shared" si="29"/>
        <v>Actionplan-Maßnahmenplan</v>
      </c>
      <c r="B1055" t="str">
        <f>pos('Actionplan-Maßnahmenplan'!S126)</f>
        <v>$S$126</v>
      </c>
      <c r="C1055" t="str">
        <f t="shared" ca="1" si="30"/>
        <v/>
      </c>
    </row>
    <row r="1056" spans="1:3">
      <c r="A1056" t="str">
        <f t="shared" si="29"/>
        <v>Actionplan-Maßnahmenplan</v>
      </c>
      <c r="B1056" t="str">
        <f>pos('Actionplan-Maßnahmenplan'!S134)</f>
        <v>$S$134</v>
      </c>
      <c r="C1056" t="str">
        <f t="shared" ca="1" si="30"/>
        <v/>
      </c>
    </row>
    <row r="1057" spans="1:3">
      <c r="A1057" t="str">
        <f t="shared" si="29"/>
        <v>Actionplan-Maßnahmenplan</v>
      </c>
      <c r="B1057" t="str">
        <f>pos('Actionplan-Maßnahmenplan'!S135)</f>
        <v>$S$135</v>
      </c>
      <c r="C1057" t="str">
        <f t="shared" ca="1" si="30"/>
        <v/>
      </c>
    </row>
    <row r="1058" spans="1:3">
      <c r="A1058" t="str">
        <f t="shared" si="29"/>
        <v>Actionplan-Maßnahmenplan</v>
      </c>
      <c r="B1058" t="str">
        <f>pos('Actionplan-Maßnahmenplan'!S136)</f>
        <v>$S$136</v>
      </c>
      <c r="C1058" t="str">
        <f t="shared" ca="1" si="30"/>
        <v/>
      </c>
    </row>
    <row r="1059" spans="1:3">
      <c r="A1059" t="str">
        <f t="shared" ref="A1059:A1116" si="31">$A$482</f>
        <v>Actionplan-Maßnahmenplan</v>
      </c>
      <c r="B1059" t="str">
        <f>pos('Actionplan-Maßnahmenplan'!S144)</f>
        <v>$S$144</v>
      </c>
      <c r="C1059" t="str">
        <f t="shared" ca="1" si="30"/>
        <v/>
      </c>
    </row>
    <row r="1060" spans="1:3">
      <c r="A1060" t="str">
        <f t="shared" si="31"/>
        <v>Actionplan-Maßnahmenplan</v>
      </c>
      <c r="B1060" t="str">
        <f>pos('Actionplan-Maßnahmenplan'!S145)</f>
        <v>$S$145</v>
      </c>
      <c r="C1060" t="str">
        <f t="shared" ca="1" si="30"/>
        <v/>
      </c>
    </row>
    <row r="1061" spans="1:3">
      <c r="A1061" t="str">
        <f t="shared" si="31"/>
        <v>Actionplan-Maßnahmenplan</v>
      </c>
      <c r="B1061" t="str">
        <f>pos('Actionplan-Maßnahmenplan'!S146)</f>
        <v>$S$146</v>
      </c>
      <c r="C1061" t="str">
        <f t="shared" ca="1" si="30"/>
        <v/>
      </c>
    </row>
    <row r="1062" spans="1:3">
      <c r="A1062" t="str">
        <f t="shared" si="31"/>
        <v>Actionplan-Maßnahmenplan</v>
      </c>
      <c r="B1062" t="str">
        <f>pos('Actionplan-Maßnahmenplan'!S154)</f>
        <v>$S$154</v>
      </c>
      <c r="C1062" t="str">
        <f t="shared" ca="1" si="30"/>
        <v/>
      </c>
    </row>
    <row r="1063" spans="1:3">
      <c r="A1063" t="str">
        <f t="shared" si="31"/>
        <v>Actionplan-Maßnahmenplan</v>
      </c>
      <c r="B1063" t="str">
        <f>pos('Actionplan-Maßnahmenplan'!S155)</f>
        <v>$S$155</v>
      </c>
      <c r="C1063" t="str">
        <f t="shared" ca="1" si="30"/>
        <v/>
      </c>
    </row>
    <row r="1064" spans="1:3">
      <c r="A1064" t="str">
        <f t="shared" si="31"/>
        <v>Actionplan-Maßnahmenplan</v>
      </c>
      <c r="B1064" t="str">
        <f>pos('Actionplan-Maßnahmenplan'!S156)</f>
        <v>$S$156</v>
      </c>
      <c r="C1064" t="str">
        <f t="shared" ca="1" si="30"/>
        <v/>
      </c>
    </row>
    <row r="1065" spans="1:3">
      <c r="A1065" t="str">
        <f t="shared" si="31"/>
        <v>Actionplan-Maßnahmenplan</v>
      </c>
      <c r="B1065" t="str">
        <f>pos('Actionplan-Maßnahmenplan'!S164)</f>
        <v>$S$164</v>
      </c>
      <c r="C1065" t="str">
        <f t="shared" ca="1" si="30"/>
        <v/>
      </c>
    </row>
    <row r="1066" spans="1:3">
      <c r="A1066" t="str">
        <f t="shared" si="31"/>
        <v>Actionplan-Maßnahmenplan</v>
      </c>
      <c r="B1066" t="str">
        <f>pos('Actionplan-Maßnahmenplan'!S165)</f>
        <v>$S$165</v>
      </c>
      <c r="C1066" t="str">
        <f t="shared" ca="1" si="30"/>
        <v/>
      </c>
    </row>
    <row r="1067" spans="1:3">
      <c r="A1067" t="str">
        <f t="shared" si="31"/>
        <v>Actionplan-Maßnahmenplan</v>
      </c>
      <c r="B1067" t="str">
        <f>pos('Actionplan-Maßnahmenplan'!S166)</f>
        <v>$S$166</v>
      </c>
      <c r="C1067" t="str">
        <f t="shared" ca="1" si="30"/>
        <v/>
      </c>
    </row>
    <row r="1068" spans="1:3">
      <c r="A1068" t="str">
        <f t="shared" si="31"/>
        <v>Actionplan-Maßnahmenplan</v>
      </c>
      <c r="B1068" t="str">
        <f>pos('Actionplan-Maßnahmenplan'!S174)</f>
        <v>$S$174</v>
      </c>
      <c r="C1068" t="str">
        <f t="shared" ca="1" si="30"/>
        <v/>
      </c>
    </row>
    <row r="1069" spans="1:3">
      <c r="A1069" t="str">
        <f t="shared" si="31"/>
        <v>Actionplan-Maßnahmenplan</v>
      </c>
      <c r="B1069" t="str">
        <f>pos('Actionplan-Maßnahmenplan'!S175)</f>
        <v>$S$175</v>
      </c>
      <c r="C1069" t="str">
        <f t="shared" ca="1" si="30"/>
        <v/>
      </c>
    </row>
    <row r="1070" spans="1:3">
      <c r="A1070" t="str">
        <f t="shared" si="31"/>
        <v>Actionplan-Maßnahmenplan</v>
      </c>
      <c r="B1070" t="str">
        <f>pos('Actionplan-Maßnahmenplan'!S176)</f>
        <v>$S$176</v>
      </c>
      <c r="C1070" t="str">
        <f t="shared" ca="1" si="30"/>
        <v/>
      </c>
    </row>
    <row r="1071" spans="1:3">
      <c r="A1071" t="str">
        <f t="shared" si="31"/>
        <v>Actionplan-Maßnahmenplan</v>
      </c>
      <c r="B1071" t="str">
        <f>pos('Actionplan-Maßnahmenplan'!S184)</f>
        <v>$S$184</v>
      </c>
      <c r="C1071" t="str">
        <f t="shared" ca="1" si="30"/>
        <v/>
      </c>
    </row>
    <row r="1072" spans="1:3">
      <c r="A1072" t="str">
        <f t="shared" si="31"/>
        <v>Actionplan-Maßnahmenplan</v>
      </c>
      <c r="B1072" t="str">
        <f>pos('Actionplan-Maßnahmenplan'!S185)</f>
        <v>$S$185</v>
      </c>
      <c r="C1072" t="str">
        <f t="shared" ca="1" si="30"/>
        <v/>
      </c>
    </row>
    <row r="1073" spans="1:3">
      <c r="A1073" t="str">
        <f t="shared" si="31"/>
        <v>Actionplan-Maßnahmenplan</v>
      </c>
      <c r="B1073" t="str">
        <f>pos('Actionplan-Maßnahmenplan'!S186)</f>
        <v>$S$186</v>
      </c>
      <c r="C1073" t="str">
        <f t="shared" ca="1" si="30"/>
        <v/>
      </c>
    </row>
    <row r="1074" spans="1:3">
      <c r="A1074" t="str">
        <f t="shared" si="31"/>
        <v>Actionplan-Maßnahmenplan</v>
      </c>
      <c r="B1074" t="str">
        <f>pos('Actionplan-Maßnahmenplan'!S194)</f>
        <v>$S$194</v>
      </c>
      <c r="C1074" t="str">
        <f t="shared" ca="1" si="30"/>
        <v>Done feb. 25</v>
      </c>
    </row>
    <row r="1075" spans="1:3">
      <c r="A1075" t="str">
        <f t="shared" si="31"/>
        <v>Actionplan-Maßnahmenplan</v>
      </c>
      <c r="B1075" t="str">
        <f>pos('Actionplan-Maßnahmenplan'!S195)</f>
        <v>$S$195</v>
      </c>
      <c r="C1075" t="str">
        <f t="shared" ca="1" si="30"/>
        <v/>
      </c>
    </row>
    <row r="1076" spans="1:3">
      <c r="A1076" t="str">
        <f t="shared" si="31"/>
        <v>Actionplan-Maßnahmenplan</v>
      </c>
      <c r="B1076" t="str">
        <f>pos('Actionplan-Maßnahmenplan'!S196)</f>
        <v>$S$196</v>
      </c>
      <c r="C1076" t="str">
        <f t="shared" ca="1" si="30"/>
        <v/>
      </c>
    </row>
    <row r="1077" spans="1:3">
      <c r="A1077" t="str">
        <f t="shared" si="31"/>
        <v>Actionplan-Maßnahmenplan</v>
      </c>
      <c r="B1077" t="str">
        <f>pos('Actionplan-Maßnahmenplan'!S204)</f>
        <v>$S$204</v>
      </c>
      <c r="C1077" t="str">
        <f t="shared" ca="1" si="30"/>
        <v/>
      </c>
    </row>
    <row r="1078" spans="1:3">
      <c r="A1078" t="str">
        <f t="shared" si="31"/>
        <v>Actionplan-Maßnahmenplan</v>
      </c>
      <c r="B1078" t="str">
        <f>pos('Actionplan-Maßnahmenplan'!S205)</f>
        <v>$S$205</v>
      </c>
      <c r="C1078" t="str">
        <f t="shared" ca="1" si="30"/>
        <v/>
      </c>
    </row>
    <row r="1079" spans="1:3">
      <c r="A1079" t="str">
        <f t="shared" si="31"/>
        <v>Actionplan-Maßnahmenplan</v>
      </c>
      <c r="B1079" t="str">
        <f>pos('Actionplan-Maßnahmenplan'!S206)</f>
        <v>$S$206</v>
      </c>
      <c r="C1079" t="str">
        <f t="shared" ca="1" si="30"/>
        <v/>
      </c>
    </row>
    <row r="1080" spans="1:3">
      <c r="A1080" t="str">
        <f t="shared" si="31"/>
        <v>Actionplan-Maßnahmenplan</v>
      </c>
      <c r="B1080" t="str">
        <f>pos('Actionplan-Maßnahmenplan'!S214)</f>
        <v>$S$214</v>
      </c>
      <c r="C1080" t="str">
        <f t="shared" ca="1" si="30"/>
        <v>GTC 3 preliminary start in October - november 2024</v>
      </c>
    </row>
    <row r="1081" spans="1:3">
      <c r="A1081" t="str">
        <f t="shared" si="31"/>
        <v>Actionplan-Maßnahmenplan</v>
      </c>
      <c r="B1081" t="str">
        <f>pos('Actionplan-Maßnahmenplan'!S215)</f>
        <v>$S$215</v>
      </c>
      <c r="C1081" t="str">
        <f t="shared" ca="1" si="30"/>
        <v>GTC 3 preliminary start in October - november 2024</v>
      </c>
    </row>
    <row r="1082" spans="1:3">
      <c r="A1082" t="str">
        <f t="shared" si="31"/>
        <v>Actionplan-Maßnahmenplan</v>
      </c>
      <c r="B1082" t="str">
        <f>pos('Actionplan-Maßnahmenplan'!S216)</f>
        <v>$S$216</v>
      </c>
      <c r="C1082" t="str">
        <f t="shared" ca="1" si="30"/>
        <v/>
      </c>
    </row>
    <row r="1083" spans="1:3">
      <c r="A1083" t="str">
        <f t="shared" si="31"/>
        <v>Actionplan-Maßnahmenplan</v>
      </c>
      <c r="B1083" t="str">
        <f>pos('Actionplan-Maßnahmenplan'!S224)</f>
        <v>$S$224</v>
      </c>
      <c r="C1083" t="str">
        <f t="shared" ca="1" si="30"/>
        <v/>
      </c>
    </row>
    <row r="1084" spans="1:3">
      <c r="A1084" t="str">
        <f t="shared" si="31"/>
        <v>Actionplan-Maßnahmenplan</v>
      </c>
      <c r="B1084" t="str">
        <f>pos('Actionplan-Maßnahmenplan'!S225)</f>
        <v>$S$225</v>
      </c>
      <c r="C1084" t="str">
        <f t="shared" ca="1" si="30"/>
        <v/>
      </c>
    </row>
    <row r="1085" spans="1:3">
      <c r="A1085" t="str">
        <f t="shared" si="31"/>
        <v>Actionplan-Maßnahmenplan</v>
      </c>
      <c r="B1085" t="str">
        <f>pos('Actionplan-Maßnahmenplan'!S226)</f>
        <v>$S$226</v>
      </c>
      <c r="C1085" t="str">
        <f t="shared" ca="1" si="30"/>
        <v/>
      </c>
    </row>
    <row r="1086" spans="1:3">
      <c r="A1086" t="str">
        <f t="shared" si="31"/>
        <v>Actionplan-Maßnahmenplan</v>
      </c>
      <c r="B1086" t="str">
        <f>pos('Actionplan-Maßnahmenplan'!S234)</f>
        <v>$S$234</v>
      </c>
      <c r="C1086" t="str">
        <f t="shared" ca="1" si="30"/>
        <v/>
      </c>
    </row>
    <row r="1087" spans="1:3">
      <c r="A1087" t="str">
        <f t="shared" si="31"/>
        <v>Actionplan-Maßnahmenplan</v>
      </c>
      <c r="B1087" t="str">
        <f>pos('Actionplan-Maßnahmenplan'!S235)</f>
        <v>$S$235</v>
      </c>
      <c r="C1087" t="str">
        <f t="shared" ca="1" si="30"/>
        <v/>
      </c>
    </row>
    <row r="1088" spans="1:3">
      <c r="A1088" t="str">
        <f t="shared" si="31"/>
        <v>Actionplan-Maßnahmenplan</v>
      </c>
      <c r="B1088" t="str">
        <f>pos('Actionplan-Maßnahmenplan'!S236)</f>
        <v>$S$236</v>
      </c>
      <c r="C1088" t="str">
        <f t="shared" ca="1" si="30"/>
        <v/>
      </c>
    </row>
    <row r="1089" spans="1:3">
      <c r="A1089" t="str">
        <f t="shared" si="31"/>
        <v>Actionplan-Maßnahmenplan</v>
      </c>
      <c r="B1089" t="str">
        <f>pos('Actionplan-Maßnahmenplan'!S244)</f>
        <v>$S$244</v>
      </c>
      <c r="C1089" t="str">
        <f t="shared" ref="C1089:C1116" ca="1" si="32">IF(INDIRECT("'"&amp;A1089&amp;"'!"&amp;B1089)=0,"",INDIRECT("'"&amp;A1089&amp;"'!"&amp;B1089))</f>
        <v/>
      </c>
    </row>
    <row r="1090" spans="1:3">
      <c r="A1090" t="str">
        <f t="shared" si="31"/>
        <v>Actionplan-Maßnahmenplan</v>
      </c>
      <c r="B1090" t="str">
        <f>pos('Actionplan-Maßnahmenplan'!S245)</f>
        <v>$S$245</v>
      </c>
      <c r="C1090" t="str">
        <f t="shared" ca="1" si="32"/>
        <v/>
      </c>
    </row>
    <row r="1091" spans="1:3">
      <c r="A1091" t="str">
        <f t="shared" si="31"/>
        <v>Actionplan-Maßnahmenplan</v>
      </c>
      <c r="B1091" t="str">
        <f>pos('Actionplan-Maßnahmenplan'!S246)</f>
        <v>$S$246</v>
      </c>
      <c r="C1091" t="str">
        <f t="shared" ca="1" si="32"/>
        <v/>
      </c>
    </row>
    <row r="1092" spans="1:3">
      <c r="A1092" t="str">
        <f t="shared" si="31"/>
        <v>Actionplan-Maßnahmenplan</v>
      </c>
      <c r="B1092" t="str">
        <f>pos('Actionplan-Maßnahmenplan'!S254)</f>
        <v>$S$254</v>
      </c>
      <c r="C1092" t="str">
        <f t="shared" ca="1" si="32"/>
        <v/>
      </c>
    </row>
    <row r="1093" spans="1:3">
      <c r="A1093" t="str">
        <f t="shared" si="31"/>
        <v>Actionplan-Maßnahmenplan</v>
      </c>
      <c r="B1093" t="str">
        <f>pos('Actionplan-Maßnahmenplan'!S255)</f>
        <v>$S$255</v>
      </c>
      <c r="C1093" t="str">
        <f t="shared" ca="1" si="32"/>
        <v/>
      </c>
    </row>
    <row r="1094" spans="1:3">
      <c r="A1094" t="str">
        <f t="shared" si="31"/>
        <v>Actionplan-Maßnahmenplan</v>
      </c>
      <c r="B1094" t="str">
        <f>pos('Actionplan-Maßnahmenplan'!S256)</f>
        <v>$S$256</v>
      </c>
      <c r="C1094" t="str">
        <f t="shared" ca="1" si="32"/>
        <v/>
      </c>
    </row>
    <row r="1095" spans="1:3">
      <c r="A1095" t="str">
        <f t="shared" si="31"/>
        <v>Actionplan-Maßnahmenplan</v>
      </c>
      <c r="B1095" t="str">
        <f>pos('Actionplan-Maßnahmenplan'!S264)</f>
        <v>$S$264</v>
      </c>
      <c r="C1095" t="str">
        <f t="shared" ca="1" si="32"/>
        <v/>
      </c>
    </row>
    <row r="1096" spans="1:3">
      <c r="A1096" t="str">
        <f t="shared" si="31"/>
        <v>Actionplan-Maßnahmenplan</v>
      </c>
      <c r="B1096" t="str">
        <f>pos('Actionplan-Maßnahmenplan'!S265)</f>
        <v>$S$265</v>
      </c>
      <c r="C1096" t="str">
        <f t="shared" ca="1" si="32"/>
        <v/>
      </c>
    </row>
    <row r="1097" spans="1:3">
      <c r="A1097" t="str">
        <f t="shared" si="31"/>
        <v>Actionplan-Maßnahmenplan</v>
      </c>
      <c r="B1097" t="str">
        <f>pos('Actionplan-Maßnahmenplan'!S266)</f>
        <v>$S$266</v>
      </c>
      <c r="C1097" t="str">
        <f t="shared" ca="1" si="32"/>
        <v/>
      </c>
    </row>
    <row r="1098" spans="1:3">
      <c r="A1098" t="str">
        <f t="shared" si="31"/>
        <v>Actionplan-Maßnahmenplan</v>
      </c>
      <c r="B1098" t="str">
        <f>pos('Actionplan-Maßnahmenplan'!S274)</f>
        <v>$S$274</v>
      </c>
      <c r="C1098" t="str">
        <f t="shared" ca="1" si="32"/>
        <v/>
      </c>
    </row>
    <row r="1099" spans="1:3">
      <c r="A1099" t="str">
        <f t="shared" si="31"/>
        <v>Actionplan-Maßnahmenplan</v>
      </c>
      <c r="B1099" t="str">
        <f>pos('Actionplan-Maßnahmenplan'!S275)</f>
        <v>$S$275</v>
      </c>
      <c r="C1099" t="str">
        <f t="shared" ca="1" si="32"/>
        <v/>
      </c>
    </row>
    <row r="1100" spans="1:3">
      <c r="A1100" t="str">
        <f t="shared" si="31"/>
        <v>Actionplan-Maßnahmenplan</v>
      </c>
      <c r="B1100" t="str">
        <f>pos('Actionplan-Maßnahmenplan'!S276)</f>
        <v>$S$276</v>
      </c>
      <c r="C1100" t="str">
        <f t="shared" ca="1" si="32"/>
        <v/>
      </c>
    </row>
    <row r="1101" spans="1:3">
      <c r="A1101" t="str">
        <f t="shared" si="31"/>
        <v>Actionplan-Maßnahmenplan</v>
      </c>
      <c r="B1101" t="str">
        <f>pos('Actionplan-Maßnahmenplan'!S284)</f>
        <v>$S$284</v>
      </c>
      <c r="C1101" t="str">
        <f t="shared" ca="1" si="32"/>
        <v/>
      </c>
    </row>
    <row r="1102" spans="1:3">
      <c r="A1102" t="str">
        <f t="shared" si="31"/>
        <v>Actionplan-Maßnahmenplan</v>
      </c>
      <c r="B1102" t="str">
        <f>pos('Actionplan-Maßnahmenplan'!S285)</f>
        <v>$S$285</v>
      </c>
      <c r="C1102" t="str">
        <f t="shared" ca="1" si="32"/>
        <v/>
      </c>
    </row>
    <row r="1103" spans="1:3">
      <c r="A1103" t="str">
        <f t="shared" si="31"/>
        <v>Actionplan-Maßnahmenplan</v>
      </c>
      <c r="B1103" t="str">
        <f>pos('Actionplan-Maßnahmenplan'!S286)</f>
        <v>$S$286</v>
      </c>
      <c r="C1103" t="str">
        <f t="shared" ca="1" si="32"/>
        <v/>
      </c>
    </row>
    <row r="1104" spans="1:3">
      <c r="A1104" t="str">
        <f t="shared" si="31"/>
        <v>Actionplan-Maßnahmenplan</v>
      </c>
      <c r="B1104" t="str">
        <f>pos('Actionplan-Maßnahmenplan'!S294)</f>
        <v>$S$294</v>
      </c>
      <c r="C1104" t="str">
        <f t="shared" ca="1" si="32"/>
        <v>Done feb. 25</v>
      </c>
    </row>
    <row r="1105" spans="1:3">
      <c r="A1105" t="str">
        <f t="shared" si="31"/>
        <v>Actionplan-Maßnahmenplan</v>
      </c>
      <c r="B1105" t="str">
        <f>pos('Actionplan-Maßnahmenplan'!S295)</f>
        <v>$S$295</v>
      </c>
      <c r="C1105" t="str">
        <f t="shared" ca="1" si="32"/>
        <v/>
      </c>
    </row>
    <row r="1106" spans="1:3">
      <c r="A1106" t="str">
        <f t="shared" si="31"/>
        <v>Actionplan-Maßnahmenplan</v>
      </c>
      <c r="B1106" t="str">
        <f>pos('Actionplan-Maßnahmenplan'!S296)</f>
        <v>$S$296</v>
      </c>
      <c r="C1106" t="str">
        <f t="shared" ca="1" si="32"/>
        <v/>
      </c>
    </row>
    <row r="1107" spans="1:3">
      <c r="A1107" t="str">
        <f t="shared" si="31"/>
        <v>Actionplan-Maßnahmenplan</v>
      </c>
      <c r="B1107" t="str">
        <f>pos('Actionplan-Maßnahmenplan'!S304)</f>
        <v>$S$304</v>
      </c>
      <c r="C1107" t="str">
        <f t="shared" ca="1" si="32"/>
        <v/>
      </c>
    </row>
    <row r="1108" spans="1:3">
      <c r="A1108" t="str">
        <f t="shared" si="31"/>
        <v>Actionplan-Maßnahmenplan</v>
      </c>
      <c r="B1108" t="str">
        <f>pos('Actionplan-Maßnahmenplan'!S305)</f>
        <v>$S$305</v>
      </c>
      <c r="C1108" t="str">
        <f t="shared" ca="1" si="32"/>
        <v/>
      </c>
    </row>
    <row r="1109" spans="1:3">
      <c r="A1109" t="str">
        <f t="shared" si="31"/>
        <v>Actionplan-Maßnahmenplan</v>
      </c>
      <c r="B1109" t="str">
        <f>pos('Actionplan-Maßnahmenplan'!S306)</f>
        <v>$S$306</v>
      </c>
      <c r="C1109" t="str">
        <f t="shared" ca="1" si="32"/>
        <v/>
      </c>
    </row>
    <row r="1110" spans="1:3">
      <c r="A1110" t="str">
        <f t="shared" si="31"/>
        <v>Actionplan-Maßnahmenplan</v>
      </c>
      <c r="B1110" t="str">
        <f>pos('Actionplan-Maßnahmenplan'!S314)</f>
        <v>$S$314</v>
      </c>
      <c r="C1110" t="str">
        <f t="shared" ca="1" si="32"/>
        <v/>
      </c>
    </row>
    <row r="1111" spans="1:3">
      <c r="A1111" t="str">
        <f t="shared" si="31"/>
        <v>Actionplan-Maßnahmenplan</v>
      </c>
      <c r="B1111" t="str">
        <f>pos('Actionplan-Maßnahmenplan'!S315)</f>
        <v>$S$315</v>
      </c>
      <c r="C1111" t="str">
        <f t="shared" ca="1" si="32"/>
        <v/>
      </c>
    </row>
    <row r="1112" spans="1:3">
      <c r="A1112" t="str">
        <f t="shared" si="31"/>
        <v>Actionplan-Maßnahmenplan</v>
      </c>
      <c r="B1112" t="str">
        <f>pos('Actionplan-Maßnahmenplan'!S316)</f>
        <v>$S$316</v>
      </c>
      <c r="C1112" t="str">
        <f t="shared" ca="1" si="32"/>
        <v/>
      </c>
    </row>
    <row r="1113" spans="1:3">
      <c r="A1113" t="str">
        <f t="shared" si="31"/>
        <v>Actionplan-Maßnahmenplan</v>
      </c>
      <c r="B1113" t="str">
        <f>pos('Actionplan-Maßnahmenplan'!S317)</f>
        <v>$S$317</v>
      </c>
      <c r="C1113" t="str">
        <f t="shared" ca="1" si="32"/>
        <v/>
      </c>
    </row>
    <row r="1114" spans="1:3">
      <c r="A1114" t="str">
        <f t="shared" si="31"/>
        <v>Actionplan-Maßnahmenplan</v>
      </c>
      <c r="B1114" t="str">
        <f>pos('Actionplan-Maßnahmenplan'!S318)</f>
        <v>$S$318</v>
      </c>
      <c r="C1114" t="str">
        <f t="shared" ca="1" si="32"/>
        <v/>
      </c>
    </row>
    <row r="1115" spans="1:3">
      <c r="A1115" t="str">
        <f t="shared" si="31"/>
        <v>Actionplan-Maßnahmenplan</v>
      </c>
      <c r="B1115" t="str">
        <f>pos('Actionplan-Maßnahmenplan'!S319)</f>
        <v>$S$319</v>
      </c>
      <c r="C1115" t="str">
        <f t="shared" ca="1" si="32"/>
        <v/>
      </c>
    </row>
    <row r="1116" spans="1:3">
      <c r="A1116" t="str">
        <f t="shared" si="31"/>
        <v>Actionplan-Maßnahmenplan</v>
      </c>
      <c r="B1116" t="str">
        <f>pos('Actionplan-Maßnahmenplan'!S320)</f>
        <v>$S$320</v>
      </c>
      <c r="C1116" t="str">
        <f t="shared" ca="1" si="32"/>
        <v/>
      </c>
    </row>
  </sheetData>
  <autoFilter ref="A1:C994" xr:uid="{00000000-0009-0000-0000-00000D00000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14</vt:i4>
      </vt:variant>
      <vt:variant>
        <vt:lpstr>Namngivna områden</vt:lpstr>
      </vt:variant>
      <vt:variant>
        <vt:i4>197</vt:i4>
      </vt:variant>
    </vt:vector>
  </HeadingPairs>
  <TitlesOfParts>
    <vt:vector size="211" baseType="lpstr">
      <vt:lpstr>Disclaimer</vt:lpstr>
      <vt:lpstr>First Sheet - Deckblatt</vt:lpstr>
      <vt:lpstr>Input Form - EingabeMaske</vt:lpstr>
      <vt:lpstr>Questions - Fragen</vt:lpstr>
      <vt:lpstr>Evaluation-Bewertung</vt:lpstr>
      <vt:lpstr>PrGr1</vt:lpstr>
      <vt:lpstr>PrGr2</vt:lpstr>
      <vt:lpstr>PrGr3</vt:lpstr>
      <vt:lpstr>PrGr4</vt:lpstr>
      <vt:lpstr>Report-Bericht</vt:lpstr>
      <vt:lpstr>Actionplan-Maßnahmenplan</vt:lpstr>
      <vt:lpstr>History</vt:lpstr>
      <vt:lpstr>Language-Sprachen</vt:lpstr>
      <vt:lpstr>CSV</vt:lpstr>
      <vt:lpstr>'Evaluation-Bewertung'!_e1</vt:lpstr>
      <vt:lpstr>PrGr1!_e1</vt:lpstr>
      <vt:lpstr>PrGr2!_e1</vt:lpstr>
      <vt:lpstr>PrGr3!_e1</vt:lpstr>
      <vt:lpstr>PrGr4!_e1</vt:lpstr>
      <vt:lpstr>'Evaluation-Bewertung'!_e2</vt:lpstr>
      <vt:lpstr>PrGr1!_e2</vt:lpstr>
      <vt:lpstr>PrGr2!_e2</vt:lpstr>
      <vt:lpstr>PrGr3!_e2</vt:lpstr>
      <vt:lpstr>PrGr4!_e2</vt:lpstr>
      <vt:lpstr>'Evaluation-Bewertung'!_e3</vt:lpstr>
      <vt:lpstr>PrGr1!_e3</vt:lpstr>
      <vt:lpstr>PrGr2!_e3</vt:lpstr>
      <vt:lpstr>PrGr3!_e3</vt:lpstr>
      <vt:lpstr>PrGr4!_e3</vt:lpstr>
      <vt:lpstr>'Evaluation-Bewertung'!_Ep1</vt:lpstr>
      <vt:lpstr>PrGr1!_Ep1</vt:lpstr>
      <vt:lpstr>PrGr2!_Ep1</vt:lpstr>
      <vt:lpstr>PrGr3!_Ep1</vt:lpstr>
      <vt:lpstr>PrGr4!_Ep1</vt:lpstr>
      <vt:lpstr>'Evaluation-Bewertung'!_Ep2</vt:lpstr>
      <vt:lpstr>PrGr1!_Ep2</vt:lpstr>
      <vt:lpstr>PrGr2!_Ep2</vt:lpstr>
      <vt:lpstr>PrGr3!_Ep2</vt:lpstr>
      <vt:lpstr>PrGr4!_Ep2</vt:lpstr>
      <vt:lpstr>'Evaluation-Bewertung'!_Ep3</vt:lpstr>
      <vt:lpstr>PrGr1!_Ep3</vt:lpstr>
      <vt:lpstr>PrGr2!_Ep3</vt:lpstr>
      <vt:lpstr>PrGr3!_Ep3</vt:lpstr>
      <vt:lpstr>PrGr4!_Ep3</vt:lpstr>
      <vt:lpstr>'Evaluation-Bewertung'!_Ep4</vt:lpstr>
      <vt:lpstr>PrGr1!_Ep4</vt:lpstr>
      <vt:lpstr>PrGr2!_Ep4</vt:lpstr>
      <vt:lpstr>PrGr3!_Ep4</vt:lpstr>
      <vt:lpstr>PrGr4!_Ep4</vt:lpstr>
      <vt:lpstr>'Evaluation-Bewertung'!_epg1</vt:lpstr>
      <vt:lpstr>PrGr1!_epg1</vt:lpstr>
      <vt:lpstr>PrGr2!_epg1</vt:lpstr>
      <vt:lpstr>PrGr3!_epg1</vt:lpstr>
      <vt:lpstr>PrGr4!_epg1</vt:lpstr>
      <vt:lpstr>'Evaluation-Bewertung'!_epg2</vt:lpstr>
      <vt:lpstr>PrGr1!_epg2</vt:lpstr>
      <vt:lpstr>PrGr2!_epg2</vt:lpstr>
      <vt:lpstr>PrGr3!_epg2</vt:lpstr>
      <vt:lpstr>PrGr4!_epg2</vt:lpstr>
      <vt:lpstr>'Evaluation-Bewertung'!_epg3</vt:lpstr>
      <vt:lpstr>PrGr1!_epg3</vt:lpstr>
      <vt:lpstr>PrGr2!_epg3</vt:lpstr>
      <vt:lpstr>PrGr3!_epg3</vt:lpstr>
      <vt:lpstr>PrGr4!_epg3</vt:lpstr>
      <vt:lpstr>'Evaluation-Bewertung'!_epg4</vt:lpstr>
      <vt:lpstr>PrGr1!_epg4</vt:lpstr>
      <vt:lpstr>PrGr2!_epg4</vt:lpstr>
      <vt:lpstr>PrGr3!_epg4</vt:lpstr>
      <vt:lpstr>PrGr4!_epg4</vt:lpstr>
      <vt:lpstr>'Evaluation-Bewertung'!_epg5</vt:lpstr>
      <vt:lpstr>PrGr1!_epg5</vt:lpstr>
      <vt:lpstr>PrGr2!_epg5</vt:lpstr>
      <vt:lpstr>PrGr3!_epg5</vt:lpstr>
      <vt:lpstr>PrGr4!_epg5</vt:lpstr>
      <vt:lpstr>'Evaluation-Bewertung'!_epg6</vt:lpstr>
      <vt:lpstr>PrGr1!_epg6</vt:lpstr>
      <vt:lpstr>PrGr2!_epg6</vt:lpstr>
      <vt:lpstr>PrGr3!_epg6</vt:lpstr>
      <vt:lpstr>PrGr4!_epg6</vt:lpstr>
      <vt:lpstr>'Evaluation-Bewertung'!_es1</vt:lpstr>
      <vt:lpstr>PrGr1!_es1</vt:lpstr>
      <vt:lpstr>PrGr2!_es1</vt:lpstr>
      <vt:lpstr>PrGr3!_es1</vt:lpstr>
      <vt:lpstr>PrGr4!_es1</vt:lpstr>
      <vt:lpstr>'Evaluation-Bewertung'!_es2</vt:lpstr>
      <vt:lpstr>PrGr1!_es2</vt:lpstr>
      <vt:lpstr>PrGr2!_es2</vt:lpstr>
      <vt:lpstr>PrGr3!_es2</vt:lpstr>
      <vt:lpstr>PrGr4!_es2</vt:lpstr>
      <vt:lpstr>'Evaluation-Bewertung'!_es3</vt:lpstr>
      <vt:lpstr>PrGr1!_es3</vt:lpstr>
      <vt:lpstr>PrGr2!_es3</vt:lpstr>
      <vt:lpstr>PrGr3!_es3</vt:lpstr>
      <vt:lpstr>PrGr4!_es3</vt:lpstr>
      <vt:lpstr>'Evaluation-Bewertung'!_es4</vt:lpstr>
      <vt:lpstr>PrGr1!_es4</vt:lpstr>
      <vt:lpstr>PrGr2!_es4</vt:lpstr>
      <vt:lpstr>PrGr3!_es4</vt:lpstr>
      <vt:lpstr>PrGr4!_es4</vt:lpstr>
      <vt:lpstr>_nb</vt:lpstr>
      <vt:lpstr>AnzSchritte</vt:lpstr>
      <vt:lpstr>DUNS_Nr</vt:lpstr>
      <vt:lpstr>'Evaluation-Bewertung'!ede</vt:lpstr>
      <vt:lpstr>PrGr1!ede</vt:lpstr>
      <vt:lpstr>PrGr2!ede</vt:lpstr>
      <vt:lpstr>PrGr3!ede</vt:lpstr>
      <vt:lpstr>PrGr4!ede</vt:lpstr>
      <vt:lpstr>'Evaluation-Bewertung'!ek</vt:lpstr>
      <vt:lpstr>PrGr1!ek</vt:lpstr>
      <vt:lpstr>PrGr2!ek</vt:lpstr>
      <vt:lpstr>PrGr3!ek</vt:lpstr>
      <vt:lpstr>PrGr4!ek</vt:lpstr>
      <vt:lpstr>PrGr1!elm</vt:lpstr>
      <vt:lpstr>PrGr2!elm</vt:lpstr>
      <vt:lpstr>PrGr3!elm</vt:lpstr>
      <vt:lpstr>PrGr4!elm</vt:lpstr>
      <vt:lpstr>elm</vt:lpstr>
      <vt:lpstr>PrGr1!epdp</vt:lpstr>
      <vt:lpstr>PrGr2!epdp</vt:lpstr>
      <vt:lpstr>PrGr3!epdp</vt:lpstr>
      <vt:lpstr>PrGr4!epdp</vt:lpstr>
      <vt:lpstr>epdp</vt:lpstr>
      <vt:lpstr>PrGr1!epdr</vt:lpstr>
      <vt:lpstr>PrGr2!epdr</vt:lpstr>
      <vt:lpstr>PrGr3!epdr</vt:lpstr>
      <vt:lpstr>PrGr4!epdr</vt:lpstr>
      <vt:lpstr>epdr</vt:lpstr>
      <vt:lpstr>'Evaluation-Bewertung'!epe</vt:lpstr>
      <vt:lpstr>PrGr1!epe</vt:lpstr>
      <vt:lpstr>PrGr2!epe</vt:lpstr>
      <vt:lpstr>PrGr3!epe</vt:lpstr>
      <vt:lpstr>PrGr4!epe</vt:lpstr>
      <vt:lpstr>PrGr1!epg</vt:lpstr>
      <vt:lpstr>PrGr2!epg</vt:lpstr>
      <vt:lpstr>PrGr3!epg</vt:lpstr>
      <vt:lpstr>PrGr4!epg</vt:lpstr>
      <vt:lpstr>epg</vt:lpstr>
      <vt:lpstr>PrGr1!epm</vt:lpstr>
      <vt:lpstr>PrGr2!epm</vt:lpstr>
      <vt:lpstr>PrGr3!epm</vt:lpstr>
      <vt:lpstr>PrGr4!epm</vt:lpstr>
      <vt:lpstr>epm</vt:lpstr>
      <vt:lpstr>PrGr1!epp</vt:lpstr>
      <vt:lpstr>PrGr2!epp</vt:lpstr>
      <vt:lpstr>PrGr3!epp</vt:lpstr>
      <vt:lpstr>PrGr4!epp</vt:lpstr>
      <vt:lpstr>epp</vt:lpstr>
      <vt:lpstr>PrGr1!epr</vt:lpstr>
      <vt:lpstr>PrGr2!epr</vt:lpstr>
      <vt:lpstr>PrGr3!epr</vt:lpstr>
      <vt:lpstr>PrGr4!epr</vt:lpstr>
      <vt:lpstr>epr</vt:lpstr>
      <vt:lpstr>PrGr1!epzp</vt:lpstr>
      <vt:lpstr>PrGr2!epzp</vt:lpstr>
      <vt:lpstr>PrGr3!epzp</vt:lpstr>
      <vt:lpstr>PrGr4!epzp</vt:lpstr>
      <vt:lpstr>epzp</vt:lpstr>
      <vt:lpstr>PrGr1!epzr</vt:lpstr>
      <vt:lpstr>PrGr2!epzr</vt:lpstr>
      <vt:lpstr>PrGr3!epzr</vt:lpstr>
      <vt:lpstr>PrGr4!epzr</vt:lpstr>
      <vt:lpstr>epzr</vt:lpstr>
      <vt:lpstr>'Evaluation-Bewertung'!ergebnis1</vt:lpstr>
      <vt:lpstr>PrGr1!ergebnis1</vt:lpstr>
      <vt:lpstr>PrGr2!ergebnis1</vt:lpstr>
      <vt:lpstr>PrGr3!ergebnis1</vt:lpstr>
      <vt:lpstr>PrGr4!ergebnis1</vt:lpstr>
      <vt:lpstr>'Evaluation-Bewertung'!ez</vt:lpstr>
      <vt:lpstr>PrGr1!ez</vt:lpstr>
      <vt:lpstr>PrGr2!ez</vt:lpstr>
      <vt:lpstr>PrGr3!ez</vt:lpstr>
      <vt:lpstr>PrGr4!ez</vt:lpstr>
      <vt:lpstr>Lief_Ort</vt:lpstr>
      <vt:lpstr>Lief_PLZ</vt:lpstr>
      <vt:lpstr>Lief_Str</vt:lpstr>
      <vt:lpstr>Lief_Unterschr</vt:lpstr>
      <vt:lpstr>Lieferant</vt:lpstr>
      <vt:lpstr>LieferantNr</vt:lpstr>
      <vt:lpstr>PrSchr1</vt:lpstr>
      <vt:lpstr>PrSchr10</vt:lpstr>
      <vt:lpstr>PrSchr2</vt:lpstr>
      <vt:lpstr>PrSchr3</vt:lpstr>
      <vt:lpstr>PrSchr4</vt:lpstr>
      <vt:lpstr>PrSchr5</vt:lpstr>
      <vt:lpstr>PrSchr6</vt:lpstr>
      <vt:lpstr>PrSchr7</vt:lpstr>
      <vt:lpstr>PrSchr8</vt:lpstr>
      <vt:lpstr>PrSchr9</vt:lpstr>
      <vt:lpstr>PrSchrNr1</vt:lpstr>
      <vt:lpstr>PrSchrNr10</vt:lpstr>
      <vt:lpstr>PrSchrNr2</vt:lpstr>
      <vt:lpstr>PrSchrNr3</vt:lpstr>
      <vt:lpstr>PrSchrNr4</vt:lpstr>
      <vt:lpstr>PrSchrNr5</vt:lpstr>
      <vt:lpstr>PrSchrNr6</vt:lpstr>
      <vt:lpstr>PrSchrNr7</vt:lpstr>
      <vt:lpstr>PrSchrNr8</vt:lpstr>
      <vt:lpstr>PrSchrNr9</vt:lpstr>
      <vt:lpstr>Seite</vt:lpstr>
      <vt:lpstr>Sprachen</vt:lpstr>
      <vt:lpstr>'Actionplan-Maßnahmenplan'!Utskriftsområde</vt:lpstr>
      <vt:lpstr>'Evaluation-Bewertung'!Utskriftsområde</vt:lpstr>
      <vt:lpstr>History!Utskriftsområde</vt:lpstr>
      <vt:lpstr>'Input Form - EingabeMaske'!Utskriftsområde</vt:lpstr>
      <vt:lpstr>'Language-Sprachen'!Utskriftsområde</vt:lpstr>
      <vt:lpstr>PrGr1!Utskriftsområde</vt:lpstr>
      <vt:lpstr>PrGr2!Utskriftsområde</vt:lpstr>
      <vt:lpstr>PrGr3!Utskriftsområde</vt:lpstr>
      <vt:lpstr>PrGr4!Utskriftsområde</vt:lpstr>
      <vt:lpstr>'Questions - Fragen'!Utskriftsområde</vt:lpstr>
      <vt:lpstr>'Report-Bericht'!Utskriftsområde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VDA-QMC</dc:creator>
  <cp:lastModifiedBy>Mehdi Hosseinpour</cp:lastModifiedBy>
  <cp:lastPrinted>2020-11-26T05:19:00Z</cp:lastPrinted>
  <dcterms:created xsi:type="dcterms:W3CDTF">2006-07-24T15:13:03Z</dcterms:created>
  <dcterms:modified xsi:type="dcterms:W3CDTF">2025-10-02T13:35:45Z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7283&quot;/&gt;&lt;partner val=&quot;644&quot;/&gt;&lt;CXlWorkbook id=&quot;1&quot;&gt;&lt;m_cxllink/&gt;&lt;/CXlWorkbook&gt;&lt;/root&gt;">
    <vt:bool>false</vt:bool>
  </property>
  <property fmtid="{D5CDD505-2E9C-101B-9397-08002B2CF9AE}" pid="3" name="_NewReviewCycle">
    <vt:lpwstr/>
  </property>
  <property fmtid="{D5CDD505-2E9C-101B-9397-08002B2CF9AE}" pid="4" name="SV_QUERY_LIST_4F35BF76-6C0D-4D9B-82B2-816C12CF3733">
    <vt:lpwstr>empty_477D106A-C0D6-4607-AEBD-E2C9D60EA279</vt:lpwstr>
  </property>
  <property fmtid="{D5CDD505-2E9C-101B-9397-08002B2CF9AE}" pid="5" name="SV_HIDDEN_GRID_QUERY_LIST_4F35BF76-6C0D-4D9B-82B2-816C12CF3733">
    <vt:lpwstr>empty_477D106A-C0D6-4607-AEBD-E2C9D60EA279</vt:lpwstr>
  </property>
</Properties>
</file>